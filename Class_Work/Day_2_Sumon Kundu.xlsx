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Class Notes/"/>
    </mc:Choice>
  </mc:AlternateContent>
  <xr:revisionPtr revIDLastSave="145" documentId="11_F25DC773A252ABDACC1048C7F11B4CAE5ADE58E8" xr6:coauthVersionLast="47" xr6:coauthVersionMax="47" xr10:uidLastSave="{096C7B5B-A562-4D3E-894F-C2A446166116}"/>
  <bookViews>
    <workbookView xWindow="-108" yWindow="-108" windowWidth="23256" windowHeight="12456" xr2:uid="{00000000-000D-0000-FFFF-FFFF00000000}"/>
  </bookViews>
  <sheets>
    <sheet name="Day_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3" i="1" l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2" i="1"/>
  <c r="AC2" i="1"/>
  <c r="AB2" i="1"/>
  <c r="AA2" i="1"/>
  <c r="Z2" i="1"/>
  <c r="Y2" i="1"/>
  <c r="X3" i="1" a="1"/>
  <c r="X3" i="1"/>
  <c r="X4" i="1" a="1"/>
  <c r="X4" i="1"/>
  <c r="X5" i="1" a="1"/>
  <c r="X5" i="1"/>
  <c r="X6" i="1" a="1"/>
  <c r="X6" i="1" s="1"/>
  <c r="X7" i="1" a="1"/>
  <c r="X7" i="1"/>
  <c r="X8" i="1" a="1"/>
  <c r="X8" i="1"/>
  <c r="X9" i="1" a="1"/>
  <c r="X9" i="1" s="1"/>
  <c r="X10" i="1" a="1"/>
  <c r="X10" i="1"/>
  <c r="X11" i="1" a="1"/>
  <c r="X11" i="1"/>
  <c r="X12" i="1" a="1"/>
  <c r="X12" i="1" s="1"/>
  <c r="X13" i="1" a="1"/>
  <c r="X13" i="1"/>
  <c r="X14" i="1" a="1"/>
  <c r="X14" i="1"/>
  <c r="X15" i="1" a="1"/>
  <c r="X15" i="1" s="1"/>
  <c r="X16" i="1" a="1"/>
  <c r="X16" i="1"/>
  <c r="X17" i="1" a="1"/>
  <c r="X17" i="1"/>
  <c r="X18" i="1" a="1"/>
  <c r="X18" i="1" s="1"/>
  <c r="X19" i="1" a="1"/>
  <c r="X19" i="1"/>
  <c r="X20" i="1" a="1"/>
  <c r="X20" i="1"/>
  <c r="X21" i="1" a="1"/>
  <c r="X21" i="1" s="1"/>
  <c r="X22" i="1" a="1"/>
  <c r="X22" i="1"/>
  <c r="X23" i="1" a="1"/>
  <c r="X23" i="1"/>
  <c r="X24" i="1" a="1"/>
  <c r="X24" i="1" s="1"/>
  <c r="X25" i="1" a="1"/>
  <c r="X25" i="1"/>
  <c r="X26" i="1" a="1"/>
  <c r="X26" i="1"/>
  <c r="X27" i="1" a="1"/>
  <c r="X27" i="1" s="1"/>
  <c r="X28" i="1" a="1"/>
  <c r="X28" i="1"/>
  <c r="X29" i="1" a="1"/>
  <c r="X29" i="1"/>
  <c r="X30" i="1" a="1"/>
  <c r="X30" i="1" s="1"/>
  <c r="X31" i="1" a="1"/>
  <c r="X31" i="1"/>
  <c r="X32" i="1" a="1"/>
  <c r="X32" i="1"/>
  <c r="X33" i="1" a="1"/>
  <c r="X33" i="1" s="1"/>
  <c r="X34" i="1" a="1"/>
  <c r="X34" i="1"/>
  <c r="X35" i="1" a="1"/>
  <c r="X35" i="1"/>
  <c r="X36" i="1" a="1"/>
  <c r="X36" i="1" s="1"/>
  <c r="X37" i="1" a="1"/>
  <c r="X37" i="1"/>
  <c r="X38" i="1" a="1"/>
  <c r="X38" i="1"/>
  <c r="X39" i="1" a="1"/>
  <c r="X39" i="1" s="1"/>
  <c r="X40" i="1" a="1"/>
  <c r="X40" i="1"/>
  <c r="X41" i="1" a="1"/>
  <c r="X41" i="1"/>
  <c r="X42" i="1" a="1"/>
  <c r="X42" i="1" s="1"/>
  <c r="X43" i="1" a="1"/>
  <c r="X43" i="1"/>
  <c r="X44" i="1" a="1"/>
  <c r="X44" i="1"/>
  <c r="X45" i="1" a="1"/>
  <c r="X45" i="1" s="1"/>
  <c r="X46" i="1" a="1"/>
  <c r="X46" i="1"/>
  <c r="X47" i="1" a="1"/>
  <c r="X47" i="1"/>
  <c r="X48" i="1" a="1"/>
  <c r="X48" i="1" s="1"/>
  <c r="X49" i="1" a="1"/>
  <c r="X49" i="1"/>
  <c r="X50" i="1" a="1"/>
  <c r="X50" i="1"/>
  <c r="X51" i="1" a="1"/>
  <c r="X51" i="1" s="1"/>
  <c r="X52" i="1" a="1"/>
  <c r="X52" i="1"/>
  <c r="X53" i="1" a="1"/>
  <c r="X53" i="1"/>
  <c r="X54" i="1" a="1"/>
  <c r="X54" i="1" s="1"/>
  <c r="X55" i="1" a="1"/>
  <c r="X55" i="1"/>
  <c r="X56" i="1" a="1"/>
  <c r="X56" i="1"/>
  <c r="X57" i="1" a="1"/>
  <c r="X57" i="1" s="1"/>
  <c r="X58" i="1" a="1"/>
  <c r="X58" i="1"/>
  <c r="X59" i="1" a="1"/>
  <c r="X59" i="1"/>
  <c r="X60" i="1" a="1"/>
  <c r="X60" i="1" s="1"/>
  <c r="X61" i="1" a="1"/>
  <c r="X61" i="1"/>
  <c r="X62" i="1" a="1"/>
  <c r="X62" i="1"/>
  <c r="X63" i="1" a="1"/>
  <c r="X63" i="1" s="1"/>
  <c r="X64" i="1" a="1"/>
  <c r="X64" i="1"/>
  <c r="X65" i="1" a="1"/>
  <c r="X65" i="1"/>
  <c r="X66" i="1" a="1"/>
  <c r="X66" i="1" s="1"/>
  <c r="X67" i="1" a="1"/>
  <c r="X67" i="1"/>
  <c r="X68" i="1" a="1"/>
  <c r="X68" i="1"/>
  <c r="X69" i="1" a="1"/>
  <c r="X69" i="1" s="1"/>
  <c r="X70" i="1" a="1"/>
  <c r="X70" i="1" s="1"/>
  <c r="X71" i="1" a="1"/>
  <c r="X71" i="1"/>
  <c r="X72" i="1" a="1"/>
  <c r="X72" i="1" s="1"/>
  <c r="X73" i="1" a="1"/>
  <c r="X73" i="1"/>
  <c r="X74" i="1" a="1"/>
  <c r="X74" i="1"/>
  <c r="X75" i="1" a="1"/>
  <c r="X75" i="1" s="1"/>
  <c r="X76" i="1" a="1"/>
  <c r="X76" i="1" s="1"/>
  <c r="X77" i="1" a="1"/>
  <c r="X77" i="1"/>
  <c r="X78" i="1" a="1"/>
  <c r="X78" i="1" s="1"/>
  <c r="X79" i="1" a="1"/>
  <c r="X79" i="1"/>
  <c r="X80" i="1" a="1"/>
  <c r="X80" i="1"/>
  <c r="X81" i="1" a="1"/>
  <c r="X81" i="1" s="1"/>
  <c r="X82" i="1" a="1"/>
  <c r="X82" i="1" s="1"/>
  <c r="X83" i="1" a="1"/>
  <c r="X83" i="1"/>
  <c r="X84" i="1" a="1"/>
  <c r="X84" i="1" s="1"/>
  <c r="X85" i="1" a="1"/>
  <c r="X85" i="1"/>
  <c r="X86" i="1" a="1"/>
  <c r="X86" i="1"/>
  <c r="X87" i="1" a="1"/>
  <c r="X87" i="1" s="1"/>
  <c r="X88" i="1" a="1"/>
  <c r="X88" i="1" s="1"/>
  <c r="X89" i="1" a="1"/>
  <c r="X89" i="1"/>
  <c r="X90" i="1" a="1"/>
  <c r="X90" i="1" s="1"/>
  <c r="X91" i="1" a="1"/>
  <c r="X91" i="1"/>
  <c r="X92" i="1" a="1"/>
  <c r="X92" i="1"/>
  <c r="X93" i="1" a="1"/>
  <c r="X93" i="1" s="1"/>
  <c r="X94" i="1" a="1"/>
  <c r="X94" i="1" s="1"/>
  <c r="X95" i="1" a="1"/>
  <c r="X95" i="1"/>
  <c r="X96" i="1" a="1"/>
  <c r="X96" i="1" s="1"/>
  <c r="X97" i="1" a="1"/>
  <c r="X97" i="1"/>
  <c r="X98" i="1" a="1"/>
  <c r="X98" i="1"/>
  <c r="X99" i="1" a="1"/>
  <c r="X99" i="1" s="1"/>
  <c r="X100" i="1" a="1"/>
  <c r="X100" i="1" s="1"/>
  <c r="X101" i="1" a="1"/>
  <c r="X101" i="1"/>
  <c r="X102" i="1" a="1"/>
  <c r="X102" i="1" s="1"/>
  <c r="X103" i="1" a="1"/>
  <c r="X103" i="1"/>
  <c r="X104" i="1" a="1"/>
  <c r="X104" i="1"/>
  <c r="X105" i="1" a="1"/>
  <c r="X105" i="1" s="1"/>
  <c r="X106" i="1" a="1"/>
  <c r="X106" i="1" s="1"/>
  <c r="X107" i="1" a="1"/>
  <c r="X107" i="1"/>
  <c r="X108" i="1" a="1"/>
  <c r="X108" i="1" s="1"/>
  <c r="X109" i="1" a="1"/>
  <c r="X109" i="1"/>
  <c r="X110" i="1" a="1"/>
  <c r="X110" i="1"/>
  <c r="X111" i="1" a="1"/>
  <c r="X111" i="1" s="1"/>
  <c r="X112" i="1" a="1"/>
  <c r="X112" i="1" s="1"/>
  <c r="X113" i="1" a="1"/>
  <c r="X113" i="1"/>
  <c r="X114" i="1" a="1"/>
  <c r="X114" i="1" s="1"/>
  <c r="X115" i="1" a="1"/>
  <c r="X115" i="1"/>
  <c r="X116" i="1" a="1"/>
  <c r="X116" i="1"/>
  <c r="X117" i="1" a="1"/>
  <c r="X117" i="1" s="1"/>
  <c r="X118" i="1" a="1"/>
  <c r="X118" i="1" s="1"/>
  <c r="X119" i="1" a="1"/>
  <c r="X119" i="1"/>
  <c r="X120" i="1" a="1"/>
  <c r="X120" i="1" s="1"/>
  <c r="X121" i="1" a="1"/>
  <c r="X121" i="1"/>
  <c r="X122" i="1" a="1"/>
  <c r="X122" i="1"/>
  <c r="X123" i="1" a="1"/>
  <c r="X123" i="1" s="1"/>
  <c r="X124" i="1" a="1"/>
  <c r="X124" i="1" s="1"/>
  <c r="X125" i="1" a="1"/>
  <c r="X125" i="1"/>
  <c r="X126" i="1" a="1"/>
  <c r="X126" i="1" s="1"/>
  <c r="X127" i="1" a="1"/>
  <c r="X127" i="1"/>
  <c r="X128" i="1" a="1"/>
  <c r="X128" i="1"/>
  <c r="X129" i="1" a="1"/>
  <c r="X129" i="1" s="1"/>
  <c r="X130" i="1" a="1"/>
  <c r="X130" i="1" s="1"/>
  <c r="X131" i="1" a="1"/>
  <c r="X131" i="1"/>
  <c r="X132" i="1" a="1"/>
  <c r="X132" i="1" s="1"/>
  <c r="X133" i="1" a="1"/>
  <c r="X133" i="1"/>
  <c r="X134" i="1" a="1"/>
  <c r="X134" i="1"/>
  <c r="X135" i="1" a="1"/>
  <c r="X135" i="1" s="1"/>
  <c r="X136" i="1" a="1"/>
  <c r="X136" i="1" s="1"/>
  <c r="X137" i="1" a="1"/>
  <c r="X137" i="1"/>
  <c r="X138" i="1" a="1"/>
  <c r="X138" i="1" s="1"/>
  <c r="X139" i="1" a="1"/>
  <c r="X139" i="1"/>
  <c r="X140" i="1" a="1"/>
  <c r="X140" i="1"/>
  <c r="X141" i="1" a="1"/>
  <c r="X141" i="1" s="1"/>
  <c r="X142" i="1" a="1"/>
  <c r="X142" i="1" s="1"/>
  <c r="X143" i="1" a="1"/>
  <c r="X143" i="1"/>
  <c r="X144" i="1" a="1"/>
  <c r="X144" i="1" s="1"/>
  <c r="X145" i="1" a="1"/>
  <c r="X145" i="1"/>
  <c r="X146" i="1" a="1"/>
  <c r="X146" i="1"/>
  <c r="X147" i="1" a="1"/>
  <c r="X147" i="1" s="1"/>
  <c r="X148" i="1" a="1"/>
  <c r="X148" i="1" s="1"/>
  <c r="X149" i="1" a="1"/>
  <c r="X149" i="1"/>
  <c r="X150" i="1" a="1"/>
  <c r="X150" i="1" s="1"/>
  <c r="X151" i="1" a="1"/>
  <c r="X151" i="1"/>
  <c r="X152" i="1" a="1"/>
  <c r="X152" i="1"/>
  <c r="X153" i="1" a="1"/>
  <c r="X153" i="1" s="1"/>
  <c r="X154" i="1" a="1"/>
  <c r="X154" i="1" s="1"/>
  <c r="X155" i="1" a="1"/>
  <c r="X155" i="1"/>
  <c r="X156" i="1" a="1"/>
  <c r="X156" i="1" s="1"/>
  <c r="X157" i="1" a="1"/>
  <c r="X157" i="1"/>
  <c r="X158" i="1" a="1"/>
  <c r="X158" i="1"/>
  <c r="X159" i="1" a="1"/>
  <c r="X159" i="1" s="1"/>
  <c r="X160" i="1" a="1"/>
  <c r="X160" i="1" s="1"/>
  <c r="X161" i="1" a="1"/>
  <c r="X161" i="1"/>
  <c r="X162" i="1" a="1"/>
  <c r="X162" i="1" s="1"/>
  <c r="X163" i="1" a="1"/>
  <c r="X163" i="1"/>
  <c r="X164" i="1" a="1"/>
  <c r="X164" i="1"/>
  <c r="X165" i="1" a="1"/>
  <c r="X165" i="1" s="1"/>
  <c r="X166" i="1" a="1"/>
  <c r="X166" i="1" s="1"/>
  <c r="X167" i="1" a="1"/>
  <c r="X167" i="1"/>
  <c r="X168" i="1" a="1"/>
  <c r="X168" i="1" s="1"/>
  <c r="X169" i="1" a="1"/>
  <c r="X169" i="1"/>
  <c r="X170" i="1" a="1"/>
  <c r="X170" i="1"/>
  <c r="X171" i="1" a="1"/>
  <c r="X171" i="1" s="1"/>
  <c r="X172" i="1" a="1"/>
  <c r="X172" i="1" s="1"/>
  <c r="X173" i="1" a="1"/>
  <c r="X173" i="1"/>
  <c r="X174" i="1" a="1"/>
  <c r="X174" i="1" s="1"/>
  <c r="X175" i="1" a="1"/>
  <c r="X175" i="1"/>
  <c r="X176" i="1" a="1"/>
  <c r="X176" i="1"/>
  <c r="X177" i="1" a="1"/>
  <c r="X177" i="1" s="1"/>
  <c r="X178" i="1" a="1"/>
  <c r="X178" i="1" s="1"/>
  <c r="X179" i="1" a="1"/>
  <c r="X179" i="1"/>
  <c r="X180" i="1" a="1"/>
  <c r="X180" i="1" s="1"/>
  <c r="X181" i="1" a="1"/>
  <c r="X181" i="1"/>
  <c r="X182" i="1" a="1"/>
  <c r="X182" i="1"/>
  <c r="X183" i="1" a="1"/>
  <c r="X183" i="1" s="1"/>
  <c r="X184" i="1" a="1"/>
  <c r="X184" i="1" s="1"/>
  <c r="X185" i="1" a="1"/>
  <c r="X185" i="1"/>
  <c r="X186" i="1" a="1"/>
  <c r="X186" i="1" s="1"/>
  <c r="X187" i="1" a="1"/>
  <c r="X187" i="1"/>
  <c r="X188" i="1" a="1"/>
  <c r="X188" i="1"/>
  <c r="X189" i="1" a="1"/>
  <c r="X189" i="1" s="1"/>
  <c r="X190" i="1" a="1"/>
  <c r="X190" i="1" s="1"/>
  <c r="X191" i="1" a="1"/>
  <c r="X191" i="1"/>
  <c r="X192" i="1" a="1"/>
  <c r="X192" i="1" s="1"/>
  <c r="X193" i="1" a="1"/>
  <c r="X193" i="1"/>
  <c r="X194" i="1" a="1"/>
  <c r="X194" i="1"/>
  <c r="X195" i="1" a="1"/>
  <c r="X195" i="1" s="1"/>
  <c r="X196" i="1" a="1"/>
  <c r="X196" i="1" s="1"/>
  <c r="X197" i="1" a="1"/>
  <c r="X197" i="1"/>
  <c r="X198" i="1" a="1"/>
  <c r="X198" i="1" s="1"/>
  <c r="X199" i="1" a="1"/>
  <c r="X199" i="1"/>
  <c r="X200" i="1" a="1"/>
  <c r="X200" i="1"/>
  <c r="X201" i="1" a="1"/>
  <c r="X201" i="1" s="1"/>
  <c r="X202" i="1" a="1"/>
  <c r="X202" i="1" s="1"/>
  <c r="X203" i="1" a="1"/>
  <c r="X203" i="1"/>
  <c r="X204" i="1" a="1"/>
  <c r="X204" i="1" s="1"/>
  <c r="X205" i="1" a="1"/>
  <c r="X205" i="1"/>
  <c r="X206" i="1" a="1"/>
  <c r="X206" i="1"/>
  <c r="X207" i="1" a="1"/>
  <c r="X207" i="1" s="1"/>
  <c r="X208" i="1" a="1"/>
  <c r="X208" i="1" s="1"/>
  <c r="X209" i="1" a="1"/>
  <c r="X209" i="1"/>
  <c r="X210" i="1" a="1"/>
  <c r="X210" i="1" s="1"/>
  <c r="X211" i="1" a="1"/>
  <c r="X211" i="1"/>
  <c r="X212" i="1" a="1"/>
  <c r="X212" i="1"/>
  <c r="X213" i="1" a="1"/>
  <c r="X213" i="1" s="1"/>
  <c r="X214" i="1" a="1"/>
  <c r="X214" i="1" s="1"/>
  <c r="X215" i="1" a="1"/>
  <c r="X215" i="1"/>
  <c r="X216" i="1" a="1"/>
  <c r="X216" i="1" s="1"/>
  <c r="X217" i="1" a="1"/>
  <c r="X217" i="1"/>
  <c r="X218" i="1" a="1"/>
  <c r="X218" i="1"/>
  <c r="X219" i="1" a="1"/>
  <c r="X219" i="1" s="1"/>
  <c r="X220" i="1" a="1"/>
  <c r="X220" i="1" s="1"/>
  <c r="X221" i="1" a="1"/>
  <c r="X221" i="1"/>
  <c r="X222" i="1" a="1"/>
  <c r="X222" i="1" s="1"/>
  <c r="X223" i="1" a="1"/>
  <c r="X223" i="1"/>
  <c r="X224" i="1" a="1"/>
  <c r="X224" i="1"/>
  <c r="X225" i="1" a="1"/>
  <c r="X225" i="1" s="1"/>
  <c r="X226" i="1" a="1"/>
  <c r="X226" i="1" s="1"/>
  <c r="X227" i="1" a="1"/>
  <c r="X227" i="1"/>
  <c r="X228" i="1" a="1"/>
  <c r="X228" i="1" s="1"/>
  <c r="X229" i="1" a="1"/>
  <c r="X229" i="1"/>
  <c r="X230" i="1" a="1"/>
  <c r="X230" i="1"/>
  <c r="X231" i="1" a="1"/>
  <c r="X231" i="1" s="1"/>
  <c r="X232" i="1" a="1"/>
  <c r="X232" i="1" s="1"/>
  <c r="X233" i="1" a="1"/>
  <c r="X233" i="1"/>
  <c r="X234" i="1" a="1"/>
  <c r="X234" i="1" s="1"/>
  <c r="X235" i="1" a="1"/>
  <c r="X235" i="1"/>
  <c r="X236" i="1" a="1"/>
  <c r="X236" i="1"/>
  <c r="X237" i="1" a="1"/>
  <c r="X237" i="1" s="1"/>
  <c r="X238" i="1" a="1"/>
  <c r="X238" i="1" s="1"/>
  <c r="X239" i="1" a="1"/>
  <c r="X239" i="1"/>
  <c r="X240" i="1" a="1"/>
  <c r="X240" i="1" s="1"/>
  <c r="X241" i="1" a="1"/>
  <c r="X241" i="1"/>
  <c r="X242" i="1" a="1"/>
  <c r="X242" i="1"/>
  <c r="X243" i="1" a="1"/>
  <c r="X243" i="1" s="1"/>
  <c r="X244" i="1" a="1"/>
  <c r="X244" i="1" s="1"/>
  <c r="X245" i="1" a="1"/>
  <c r="X245" i="1"/>
  <c r="X246" i="1" a="1"/>
  <c r="X246" i="1" s="1"/>
  <c r="X247" i="1" a="1"/>
  <c r="X247" i="1"/>
  <c r="X248" i="1" a="1"/>
  <c r="X248" i="1"/>
  <c r="X249" i="1" a="1"/>
  <c r="X249" i="1" s="1"/>
  <c r="X250" i="1" a="1"/>
  <c r="X250" i="1" s="1"/>
  <c r="X251" i="1" a="1"/>
  <c r="X251" i="1"/>
  <c r="X252" i="1" a="1"/>
  <c r="X252" i="1" s="1"/>
  <c r="X253" i="1" a="1"/>
  <c r="X253" i="1"/>
  <c r="X254" i="1" a="1"/>
  <c r="X254" i="1"/>
  <c r="X255" i="1" a="1"/>
  <c r="X255" i="1" s="1"/>
  <c r="X256" i="1" a="1"/>
  <c r="X256" i="1" s="1"/>
  <c r="X257" i="1" a="1"/>
  <c r="X257" i="1"/>
  <c r="X258" i="1" a="1"/>
  <c r="X258" i="1" s="1"/>
  <c r="X259" i="1" a="1"/>
  <c r="X259" i="1"/>
  <c r="X260" i="1" a="1"/>
  <c r="X260" i="1"/>
  <c r="X261" i="1" a="1"/>
  <c r="X261" i="1" s="1"/>
  <c r="X262" i="1" a="1"/>
  <c r="X262" i="1" s="1"/>
  <c r="X263" i="1" a="1"/>
  <c r="X263" i="1"/>
  <c r="X264" i="1" a="1"/>
  <c r="X264" i="1" s="1"/>
  <c r="X265" i="1" a="1"/>
  <c r="X265" i="1"/>
  <c r="X266" i="1" a="1"/>
  <c r="X266" i="1"/>
  <c r="X267" i="1" a="1"/>
  <c r="X267" i="1" s="1"/>
  <c r="X268" i="1" a="1"/>
  <c r="X268" i="1" s="1"/>
  <c r="X269" i="1" a="1"/>
  <c r="X269" i="1"/>
  <c r="X270" i="1" a="1"/>
  <c r="X270" i="1" s="1"/>
  <c r="X271" i="1" a="1"/>
  <c r="X271" i="1"/>
  <c r="X272" i="1" a="1"/>
  <c r="X272" i="1"/>
  <c r="X273" i="1" a="1"/>
  <c r="X273" i="1" s="1"/>
  <c r="X274" i="1" a="1"/>
  <c r="X274" i="1" s="1"/>
  <c r="X275" i="1" a="1"/>
  <c r="X275" i="1"/>
  <c r="X276" i="1" a="1"/>
  <c r="X276" i="1" s="1"/>
  <c r="X277" i="1" a="1"/>
  <c r="X277" i="1"/>
  <c r="X278" i="1" a="1"/>
  <c r="X278" i="1"/>
  <c r="X279" i="1" a="1"/>
  <c r="X279" i="1" s="1"/>
  <c r="X280" i="1" a="1"/>
  <c r="X280" i="1" s="1"/>
  <c r="X281" i="1" a="1"/>
  <c r="X281" i="1"/>
  <c r="X282" i="1" a="1"/>
  <c r="X282" i="1" s="1"/>
  <c r="X283" i="1" a="1"/>
  <c r="X283" i="1"/>
  <c r="X284" i="1" a="1"/>
  <c r="X284" i="1"/>
  <c r="X285" i="1" a="1"/>
  <c r="X285" i="1" s="1"/>
  <c r="X286" i="1" a="1"/>
  <c r="X286" i="1" s="1"/>
  <c r="X287" i="1" a="1"/>
  <c r="X287" i="1"/>
  <c r="X288" i="1" a="1"/>
  <c r="X288" i="1" s="1"/>
  <c r="X289" i="1" a="1"/>
  <c r="X289" i="1"/>
  <c r="X290" i="1" a="1"/>
  <c r="X290" i="1"/>
  <c r="X291" i="1" a="1"/>
  <c r="X291" i="1" s="1"/>
  <c r="X292" i="1" a="1"/>
  <c r="X292" i="1" s="1"/>
  <c r="X293" i="1" a="1"/>
  <c r="X293" i="1"/>
  <c r="X294" i="1" a="1"/>
  <c r="X294" i="1" s="1"/>
  <c r="X295" i="1" a="1"/>
  <c r="X295" i="1"/>
  <c r="X296" i="1" a="1"/>
  <c r="X296" i="1"/>
  <c r="X297" i="1" a="1"/>
  <c r="X297" i="1" s="1"/>
  <c r="X298" i="1" a="1"/>
  <c r="X298" i="1" s="1"/>
  <c r="X299" i="1" a="1"/>
  <c r="X299" i="1"/>
  <c r="X300" i="1" a="1"/>
  <c r="X300" i="1" s="1"/>
  <c r="X301" i="1" a="1"/>
  <c r="X301" i="1"/>
  <c r="X302" i="1" a="1"/>
  <c r="X302" i="1"/>
  <c r="X303" i="1" a="1"/>
  <c r="X303" i="1" s="1"/>
  <c r="X304" i="1" a="1"/>
  <c r="X304" i="1" s="1"/>
  <c r="X305" i="1" a="1"/>
  <c r="X305" i="1"/>
  <c r="X306" i="1" a="1"/>
  <c r="X306" i="1" s="1"/>
  <c r="X307" i="1" a="1"/>
  <c r="X307" i="1"/>
  <c r="X308" i="1" a="1"/>
  <c r="X308" i="1"/>
  <c r="X309" i="1" a="1"/>
  <c r="X309" i="1" s="1"/>
  <c r="X310" i="1" a="1"/>
  <c r="X310" i="1" s="1"/>
  <c r="X311" i="1" a="1"/>
  <c r="X311" i="1"/>
  <c r="X312" i="1" a="1"/>
  <c r="X312" i="1" s="1"/>
  <c r="X313" i="1" a="1"/>
  <c r="X313" i="1"/>
  <c r="X314" i="1" a="1"/>
  <c r="X314" i="1"/>
  <c r="X315" i="1" a="1"/>
  <c r="X315" i="1" s="1"/>
  <c r="X316" i="1" a="1"/>
  <c r="X316" i="1" s="1"/>
  <c r="X317" i="1" a="1"/>
  <c r="X317" i="1"/>
  <c r="X318" i="1" a="1"/>
  <c r="X318" i="1" s="1"/>
  <c r="X319" i="1" a="1"/>
  <c r="X319" i="1"/>
  <c r="X320" i="1" a="1"/>
  <c r="X320" i="1"/>
  <c r="X321" i="1" a="1"/>
  <c r="X321" i="1" s="1"/>
  <c r="X322" i="1" a="1"/>
  <c r="X322" i="1" s="1"/>
  <c r="X323" i="1" a="1"/>
  <c r="X323" i="1"/>
  <c r="X324" i="1" a="1"/>
  <c r="X324" i="1" s="1"/>
  <c r="X325" i="1" a="1"/>
  <c r="X325" i="1"/>
  <c r="X326" i="1" a="1"/>
  <c r="X326" i="1"/>
  <c r="X327" i="1" a="1"/>
  <c r="X327" i="1" s="1"/>
  <c r="X328" i="1" a="1"/>
  <c r="X328" i="1" s="1"/>
  <c r="X329" i="1" a="1"/>
  <c r="X329" i="1"/>
  <c r="X330" i="1" a="1"/>
  <c r="X330" i="1" s="1"/>
  <c r="X331" i="1" a="1"/>
  <c r="X331" i="1"/>
  <c r="X332" i="1" a="1"/>
  <c r="X332" i="1"/>
  <c r="X333" i="1" a="1"/>
  <c r="X333" i="1" s="1"/>
  <c r="X334" i="1" a="1"/>
  <c r="X334" i="1" s="1"/>
  <c r="X335" i="1" a="1"/>
  <c r="X335" i="1"/>
  <c r="X336" i="1" a="1"/>
  <c r="X336" i="1" s="1"/>
  <c r="X337" i="1" a="1"/>
  <c r="X337" i="1"/>
  <c r="X338" i="1" a="1"/>
  <c r="X338" i="1"/>
  <c r="X339" i="1" a="1"/>
  <c r="X339" i="1" s="1"/>
  <c r="X340" i="1" a="1"/>
  <c r="X340" i="1" s="1"/>
  <c r="X341" i="1" a="1"/>
  <c r="X341" i="1"/>
  <c r="X342" i="1" a="1"/>
  <c r="X342" i="1" s="1"/>
  <c r="X343" i="1" a="1"/>
  <c r="X343" i="1"/>
  <c r="X344" i="1" a="1"/>
  <c r="X344" i="1"/>
  <c r="X345" i="1" a="1"/>
  <c r="X345" i="1" s="1"/>
  <c r="X346" i="1" a="1"/>
  <c r="X346" i="1" s="1"/>
  <c r="X347" i="1" a="1"/>
  <c r="X347" i="1"/>
  <c r="X348" i="1" a="1"/>
  <c r="X348" i="1" s="1"/>
  <c r="X349" i="1" a="1"/>
  <c r="X349" i="1"/>
  <c r="X350" i="1" a="1"/>
  <c r="X350" i="1"/>
  <c r="X351" i="1" a="1"/>
  <c r="X351" i="1" s="1"/>
  <c r="X352" i="1" a="1"/>
  <c r="X352" i="1" s="1"/>
  <c r="X353" i="1" a="1"/>
  <c r="X353" i="1"/>
  <c r="X354" i="1" a="1"/>
  <c r="X354" i="1" s="1"/>
  <c r="X355" i="1" a="1"/>
  <c r="X355" i="1"/>
  <c r="X356" i="1" a="1"/>
  <c r="X356" i="1"/>
  <c r="X357" i="1" a="1"/>
  <c r="X357" i="1" s="1"/>
  <c r="X358" i="1" a="1"/>
  <c r="X358" i="1" s="1"/>
  <c r="X359" i="1" a="1"/>
  <c r="X359" i="1"/>
  <c r="X360" i="1" a="1"/>
  <c r="X360" i="1" s="1"/>
  <c r="X361" i="1" a="1"/>
  <c r="X361" i="1"/>
  <c r="X362" i="1" a="1"/>
  <c r="X362" i="1"/>
  <c r="X363" i="1" a="1"/>
  <c r="X363" i="1" s="1"/>
  <c r="X364" i="1" a="1"/>
  <c r="X364" i="1" s="1"/>
  <c r="X365" i="1" a="1"/>
  <c r="X365" i="1"/>
  <c r="X366" i="1" a="1"/>
  <c r="X366" i="1" s="1"/>
  <c r="X367" i="1" a="1"/>
  <c r="X367" i="1"/>
  <c r="X368" i="1" a="1"/>
  <c r="X368" i="1"/>
  <c r="X369" i="1" a="1"/>
  <c r="X369" i="1" s="1"/>
  <c r="X370" i="1" a="1"/>
  <c r="X370" i="1" s="1"/>
  <c r="X371" i="1" a="1"/>
  <c r="X371" i="1"/>
  <c r="X372" i="1" a="1"/>
  <c r="X372" i="1" s="1"/>
  <c r="X373" i="1" a="1"/>
  <c r="X373" i="1"/>
  <c r="X374" i="1" a="1"/>
  <c r="X374" i="1"/>
  <c r="X375" i="1" a="1"/>
  <c r="X375" i="1" s="1"/>
  <c r="X376" i="1" a="1"/>
  <c r="X376" i="1" s="1"/>
  <c r="X377" i="1" a="1"/>
  <c r="X377" i="1"/>
  <c r="X378" i="1" a="1"/>
  <c r="X378" i="1" s="1"/>
  <c r="X379" i="1" a="1"/>
  <c r="X379" i="1"/>
  <c r="X380" i="1" a="1"/>
  <c r="X380" i="1"/>
  <c r="X381" i="1" a="1"/>
  <c r="X381" i="1" s="1"/>
  <c r="X382" i="1" a="1"/>
  <c r="X382" i="1" s="1"/>
  <c r="X383" i="1" a="1"/>
  <c r="X383" i="1"/>
  <c r="X384" i="1" a="1"/>
  <c r="X384" i="1" s="1"/>
  <c r="X385" i="1" a="1"/>
  <c r="X385" i="1"/>
  <c r="X386" i="1" a="1"/>
  <c r="X386" i="1"/>
  <c r="X387" i="1" a="1"/>
  <c r="X387" i="1" s="1"/>
  <c r="X388" i="1" a="1"/>
  <c r="X388" i="1" s="1"/>
  <c r="X389" i="1" a="1"/>
  <c r="X389" i="1"/>
  <c r="X390" i="1" a="1"/>
  <c r="X390" i="1" s="1"/>
  <c r="X391" i="1" a="1"/>
  <c r="X391" i="1"/>
  <c r="X392" i="1" a="1"/>
  <c r="X392" i="1"/>
  <c r="X393" i="1" a="1"/>
  <c r="X393" i="1" s="1"/>
  <c r="X394" i="1" a="1"/>
  <c r="X394" i="1" s="1"/>
  <c r="X395" i="1" a="1"/>
  <c r="X395" i="1"/>
  <c r="X396" i="1" a="1"/>
  <c r="X396" i="1" s="1"/>
  <c r="X397" i="1" a="1"/>
  <c r="X397" i="1"/>
  <c r="X398" i="1" a="1"/>
  <c r="X398" i="1"/>
  <c r="X399" i="1" a="1"/>
  <c r="X399" i="1" s="1"/>
  <c r="X400" i="1" a="1"/>
  <c r="X400" i="1" s="1"/>
  <c r="X401" i="1" a="1"/>
  <c r="X401" i="1"/>
  <c r="X402" i="1" a="1"/>
  <c r="X402" i="1" s="1"/>
  <c r="X403" i="1" a="1"/>
  <c r="X403" i="1"/>
  <c r="X404" i="1" a="1"/>
  <c r="X404" i="1"/>
  <c r="X405" i="1" a="1"/>
  <c r="X405" i="1" s="1"/>
  <c r="X406" i="1" a="1"/>
  <c r="X406" i="1" s="1"/>
  <c r="X407" i="1" a="1"/>
  <c r="X407" i="1"/>
  <c r="X408" i="1" a="1"/>
  <c r="X408" i="1" s="1"/>
  <c r="X409" i="1" a="1"/>
  <c r="X409" i="1"/>
  <c r="X410" i="1" a="1"/>
  <c r="X410" i="1"/>
  <c r="X411" i="1" a="1"/>
  <c r="X411" i="1" s="1"/>
  <c r="X412" i="1" a="1"/>
  <c r="X412" i="1" s="1"/>
  <c r="X413" i="1" a="1"/>
  <c r="X413" i="1"/>
  <c r="X414" i="1" a="1"/>
  <c r="X414" i="1" s="1"/>
  <c r="X415" i="1" a="1"/>
  <c r="X415" i="1"/>
  <c r="X416" i="1" a="1"/>
  <c r="X416" i="1"/>
  <c r="X417" i="1" a="1"/>
  <c r="X417" i="1" s="1"/>
  <c r="X418" i="1" a="1"/>
  <c r="X418" i="1" s="1"/>
  <c r="X419" i="1" a="1"/>
  <c r="X419" i="1"/>
  <c r="X420" i="1" a="1"/>
  <c r="X420" i="1" s="1"/>
  <c r="X421" i="1" a="1"/>
  <c r="X421" i="1"/>
  <c r="X422" i="1" a="1"/>
  <c r="X422" i="1"/>
  <c r="X423" i="1" a="1"/>
  <c r="X423" i="1" s="1"/>
  <c r="X424" i="1" a="1"/>
  <c r="X424" i="1" s="1"/>
  <c r="X425" i="1" a="1"/>
  <c r="X425" i="1"/>
  <c r="X426" i="1" a="1"/>
  <c r="X426" i="1" s="1"/>
  <c r="X427" i="1" a="1"/>
  <c r="X427" i="1"/>
  <c r="X428" i="1" a="1"/>
  <c r="X428" i="1"/>
  <c r="X429" i="1" a="1"/>
  <c r="X429" i="1" s="1"/>
  <c r="X430" i="1" a="1"/>
  <c r="X430" i="1" s="1"/>
  <c r="X431" i="1" a="1"/>
  <c r="X431" i="1"/>
  <c r="X432" i="1" a="1"/>
  <c r="X432" i="1" s="1"/>
  <c r="X433" i="1" a="1"/>
  <c r="X433" i="1"/>
  <c r="X434" i="1" a="1"/>
  <c r="X434" i="1"/>
  <c r="X435" i="1" a="1"/>
  <c r="X435" i="1" s="1"/>
  <c r="X436" i="1" a="1"/>
  <c r="X436" i="1" s="1"/>
  <c r="X437" i="1" a="1"/>
  <c r="X437" i="1"/>
  <c r="X438" i="1" a="1"/>
  <c r="X438" i="1" s="1"/>
  <c r="X439" i="1" a="1"/>
  <c r="X439" i="1"/>
  <c r="X440" i="1" a="1"/>
  <c r="X440" i="1"/>
  <c r="X441" i="1" a="1"/>
  <c r="X441" i="1" s="1"/>
  <c r="X442" i="1" a="1"/>
  <c r="X442" i="1" s="1"/>
  <c r="X443" i="1" a="1"/>
  <c r="X443" i="1"/>
  <c r="X444" i="1" a="1"/>
  <c r="X444" i="1" s="1"/>
  <c r="X445" i="1" a="1"/>
  <c r="X445" i="1"/>
  <c r="X446" i="1" a="1"/>
  <c r="X446" i="1"/>
  <c r="X447" i="1" a="1"/>
  <c r="X447" i="1" s="1"/>
  <c r="X448" i="1" a="1"/>
  <c r="X448" i="1" s="1"/>
  <c r="X449" i="1" a="1"/>
  <c r="X449" i="1"/>
  <c r="X450" i="1" a="1"/>
  <c r="X450" i="1" s="1"/>
  <c r="X451" i="1" a="1"/>
  <c r="X451" i="1"/>
  <c r="X452" i="1" a="1"/>
  <c r="X452" i="1"/>
  <c r="X453" i="1" a="1"/>
  <c r="X453" i="1" s="1"/>
  <c r="X454" i="1" a="1"/>
  <c r="X454" i="1" s="1"/>
  <c r="X455" i="1" a="1"/>
  <c r="X455" i="1"/>
  <c r="X456" i="1" a="1"/>
  <c r="X456" i="1" s="1"/>
  <c r="X457" i="1" a="1"/>
  <c r="X457" i="1"/>
  <c r="X458" i="1" a="1"/>
  <c r="X458" i="1"/>
  <c r="X459" i="1" a="1"/>
  <c r="X459" i="1" s="1"/>
  <c r="X460" i="1" a="1"/>
  <c r="X460" i="1" s="1"/>
  <c r="X461" i="1" a="1"/>
  <c r="X461" i="1"/>
  <c r="X462" i="1" a="1"/>
  <c r="X462" i="1" s="1"/>
  <c r="X463" i="1" a="1"/>
  <c r="X463" i="1"/>
  <c r="X464" i="1" a="1"/>
  <c r="X464" i="1"/>
  <c r="X465" i="1" a="1"/>
  <c r="X465" i="1" s="1"/>
  <c r="X466" i="1" a="1"/>
  <c r="X466" i="1" s="1"/>
  <c r="X467" i="1" a="1"/>
  <c r="X467" i="1"/>
  <c r="X468" i="1" a="1"/>
  <c r="X468" i="1" s="1"/>
  <c r="X469" i="1" a="1"/>
  <c r="X469" i="1"/>
  <c r="X470" i="1" a="1"/>
  <c r="X470" i="1"/>
  <c r="X471" i="1" a="1"/>
  <c r="X471" i="1" s="1"/>
  <c r="X472" i="1" a="1"/>
  <c r="X472" i="1" s="1"/>
  <c r="X473" i="1" a="1"/>
  <c r="X473" i="1"/>
  <c r="X474" i="1" a="1"/>
  <c r="X474" i="1" s="1"/>
  <c r="X475" i="1" a="1"/>
  <c r="X475" i="1"/>
  <c r="X476" i="1" a="1"/>
  <c r="X476" i="1"/>
  <c r="X477" i="1" a="1"/>
  <c r="X477" i="1" s="1"/>
  <c r="X478" i="1" a="1"/>
  <c r="X478" i="1" s="1"/>
  <c r="X479" i="1" a="1"/>
  <c r="X479" i="1"/>
  <c r="X480" i="1" a="1"/>
  <c r="X480" i="1" s="1"/>
  <c r="X481" i="1" a="1"/>
  <c r="X481" i="1"/>
  <c r="X482" i="1" a="1"/>
  <c r="X482" i="1"/>
  <c r="X483" i="1" a="1"/>
  <c r="X483" i="1" s="1"/>
  <c r="X484" i="1" a="1"/>
  <c r="X484" i="1" s="1"/>
  <c r="X485" i="1" a="1"/>
  <c r="X485" i="1"/>
  <c r="X486" i="1" a="1"/>
  <c r="X486" i="1" s="1"/>
  <c r="X487" i="1" a="1"/>
  <c r="X487" i="1"/>
  <c r="X488" i="1" a="1"/>
  <c r="X488" i="1"/>
  <c r="X489" i="1" a="1"/>
  <c r="X489" i="1" s="1"/>
  <c r="X490" i="1" a="1"/>
  <c r="X490" i="1" s="1"/>
  <c r="X491" i="1" a="1"/>
  <c r="X491" i="1"/>
  <c r="X492" i="1" a="1"/>
  <c r="X492" i="1" s="1"/>
  <c r="X493" i="1" a="1"/>
  <c r="X493" i="1"/>
  <c r="X494" i="1" a="1"/>
  <c r="X494" i="1"/>
  <c r="X495" i="1" a="1"/>
  <c r="X495" i="1" s="1"/>
  <c r="X496" i="1" a="1"/>
  <c r="X496" i="1" s="1"/>
  <c r="X497" i="1" a="1"/>
  <c r="X497" i="1"/>
  <c r="X498" i="1" a="1"/>
  <c r="X498" i="1" s="1"/>
  <c r="X499" i="1" a="1"/>
  <c r="X499" i="1"/>
  <c r="X500" i="1" a="1"/>
  <c r="X500" i="1"/>
  <c r="X2" i="1" a="1"/>
  <c r="X2" i="1" s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2" i="1"/>
  <c r="U501" i="1"/>
  <c r="T501" i="1" a="1"/>
  <c r="T501" i="1" s="1"/>
  <c r="S501" i="1"/>
  <c r="Q501" i="1"/>
  <c r="R501" i="1" s="1"/>
  <c r="P501" i="1"/>
  <c r="U500" i="1"/>
  <c r="T500" i="1" a="1"/>
  <c r="T500" i="1" s="1"/>
  <c r="S500" i="1"/>
  <c r="P500" i="1"/>
  <c r="Q500" i="1" s="1"/>
  <c r="R500" i="1" s="1"/>
  <c r="U499" i="1"/>
  <c r="T499" i="1" a="1"/>
  <c r="T499" i="1" s="1"/>
  <c r="S499" i="1"/>
  <c r="P499" i="1"/>
  <c r="U498" i="1"/>
  <c r="T498" i="1" a="1"/>
  <c r="T498" i="1" s="1"/>
  <c r="S498" i="1"/>
  <c r="Q498" i="1"/>
  <c r="P498" i="1"/>
  <c r="R498" i="1" s="1"/>
  <c r="U497" i="1"/>
  <c r="T497" i="1" a="1"/>
  <c r="T497" i="1" s="1"/>
  <c r="S497" i="1"/>
  <c r="Q497" i="1"/>
  <c r="R497" i="1" s="1"/>
  <c r="P497" i="1"/>
  <c r="U496" i="1"/>
  <c r="T496" i="1" a="1"/>
  <c r="T496" i="1" s="1"/>
  <c r="S496" i="1"/>
  <c r="Q496" i="1"/>
  <c r="P496" i="1"/>
  <c r="U495" i="1"/>
  <c r="T495" i="1" a="1"/>
  <c r="T495" i="1" s="1"/>
  <c r="S495" i="1"/>
  <c r="Q495" i="1"/>
  <c r="R495" i="1" s="1"/>
  <c r="P495" i="1"/>
  <c r="U494" i="1"/>
  <c r="T494" i="1" a="1"/>
  <c r="T494" i="1" s="1"/>
  <c r="S494" i="1"/>
  <c r="Q494" i="1"/>
  <c r="R494" i="1" s="1"/>
  <c r="P494" i="1"/>
  <c r="U493" i="1"/>
  <c r="T493" i="1"/>
  <c r="T493" i="1" a="1"/>
  <c r="S493" i="1"/>
  <c r="Q493" i="1"/>
  <c r="P493" i="1"/>
  <c r="R493" i="1" s="1"/>
  <c r="U492" i="1"/>
  <c r="T492" i="1"/>
  <c r="T492" i="1" a="1"/>
  <c r="S492" i="1"/>
  <c r="P492" i="1"/>
  <c r="U491" i="1"/>
  <c r="T491" i="1" a="1"/>
  <c r="T491" i="1" s="1"/>
  <c r="S491" i="1"/>
  <c r="Q491" i="1"/>
  <c r="P491" i="1"/>
  <c r="U490" i="1"/>
  <c r="T490" i="1"/>
  <c r="T490" i="1" a="1"/>
  <c r="S490" i="1"/>
  <c r="P490" i="1"/>
  <c r="Q490" i="1" s="1"/>
  <c r="R490" i="1" s="1"/>
  <c r="U489" i="1"/>
  <c r="T489" i="1"/>
  <c r="T489" i="1" a="1"/>
  <c r="S489" i="1"/>
  <c r="R489" i="1"/>
  <c r="P489" i="1"/>
  <c r="Q489" i="1" s="1"/>
  <c r="U488" i="1"/>
  <c r="T488" i="1" a="1"/>
  <c r="T488" i="1" s="1"/>
  <c r="S488" i="1"/>
  <c r="P488" i="1"/>
  <c r="Q488" i="1" s="1"/>
  <c r="U487" i="1"/>
  <c r="T487" i="1" a="1"/>
  <c r="T487" i="1" s="1"/>
  <c r="S487" i="1"/>
  <c r="R487" i="1"/>
  <c r="Q487" i="1"/>
  <c r="P487" i="1"/>
  <c r="U486" i="1"/>
  <c r="T486" i="1" a="1"/>
  <c r="T486" i="1" s="1"/>
  <c r="S486" i="1"/>
  <c r="P486" i="1"/>
  <c r="Q486" i="1" s="1"/>
  <c r="U485" i="1"/>
  <c r="T485" i="1" a="1"/>
  <c r="T485" i="1" s="1"/>
  <c r="S485" i="1"/>
  <c r="Q485" i="1"/>
  <c r="P485" i="1"/>
  <c r="U484" i="1"/>
  <c r="T484" i="1" a="1"/>
  <c r="T484" i="1" s="1"/>
  <c r="S484" i="1"/>
  <c r="R484" i="1"/>
  <c r="Q484" i="1"/>
  <c r="P484" i="1"/>
  <c r="U483" i="1"/>
  <c r="T483" i="1"/>
  <c r="T483" i="1" a="1"/>
  <c r="S483" i="1"/>
  <c r="P483" i="1"/>
  <c r="U482" i="1"/>
  <c r="T482" i="1" a="1"/>
  <c r="T482" i="1" s="1"/>
  <c r="S482" i="1"/>
  <c r="Q482" i="1"/>
  <c r="R482" i="1" s="1"/>
  <c r="P482" i="1"/>
  <c r="U481" i="1"/>
  <c r="T481" i="1"/>
  <c r="T481" i="1" a="1"/>
  <c r="S481" i="1"/>
  <c r="R481" i="1"/>
  <c r="Q481" i="1"/>
  <c r="P481" i="1"/>
  <c r="U480" i="1"/>
  <c r="T480" i="1"/>
  <c r="T480" i="1" a="1"/>
  <c r="S480" i="1"/>
  <c r="P480" i="1"/>
  <c r="U479" i="1"/>
  <c r="T479" i="1" a="1"/>
  <c r="T479" i="1" s="1"/>
  <c r="S479" i="1"/>
  <c r="P479" i="1"/>
  <c r="U478" i="1"/>
  <c r="T478" i="1"/>
  <c r="T478" i="1" a="1"/>
  <c r="S478" i="1"/>
  <c r="P478" i="1"/>
  <c r="Q478" i="1" s="1"/>
  <c r="R478" i="1" s="1"/>
  <c r="U477" i="1"/>
  <c r="T477" i="1"/>
  <c r="T477" i="1" a="1"/>
  <c r="S477" i="1"/>
  <c r="P477" i="1"/>
  <c r="Q477" i="1" s="1"/>
  <c r="U476" i="1"/>
  <c r="T476" i="1" a="1"/>
  <c r="T476" i="1" s="1"/>
  <c r="S476" i="1"/>
  <c r="P476" i="1"/>
  <c r="U475" i="1"/>
  <c r="T475" i="1" a="1"/>
  <c r="T475" i="1" s="1"/>
  <c r="S475" i="1"/>
  <c r="R475" i="1"/>
  <c r="Q475" i="1"/>
  <c r="P475" i="1"/>
  <c r="U474" i="1"/>
  <c r="T474" i="1" a="1"/>
  <c r="T474" i="1" s="1"/>
  <c r="S474" i="1"/>
  <c r="P474" i="1"/>
  <c r="Q474" i="1" s="1"/>
  <c r="U473" i="1"/>
  <c r="T473" i="1" a="1"/>
  <c r="T473" i="1" s="1"/>
  <c r="S473" i="1"/>
  <c r="Q473" i="1"/>
  <c r="P473" i="1"/>
  <c r="U472" i="1"/>
  <c r="T472" i="1"/>
  <c r="T472" i="1" a="1"/>
  <c r="S472" i="1"/>
  <c r="Q472" i="1"/>
  <c r="R472" i="1" s="1"/>
  <c r="P472" i="1"/>
  <c r="U471" i="1"/>
  <c r="T471" i="1"/>
  <c r="T471" i="1" a="1"/>
  <c r="S471" i="1"/>
  <c r="P471" i="1"/>
  <c r="U470" i="1"/>
  <c r="T470" i="1" a="1"/>
  <c r="T470" i="1" s="1"/>
  <c r="S470" i="1"/>
  <c r="Q470" i="1"/>
  <c r="R470" i="1" s="1"/>
  <c r="P470" i="1"/>
  <c r="U469" i="1"/>
  <c r="T469" i="1"/>
  <c r="T469" i="1" a="1"/>
  <c r="S469" i="1"/>
  <c r="R469" i="1"/>
  <c r="Q469" i="1"/>
  <c r="P469" i="1"/>
  <c r="U468" i="1"/>
  <c r="T468" i="1"/>
  <c r="T468" i="1" a="1"/>
  <c r="S468" i="1"/>
  <c r="P468" i="1"/>
  <c r="U467" i="1"/>
  <c r="T467" i="1" a="1"/>
  <c r="T467" i="1" s="1"/>
  <c r="S467" i="1"/>
  <c r="P467" i="1"/>
  <c r="U466" i="1"/>
  <c r="T466" i="1"/>
  <c r="T466" i="1" a="1"/>
  <c r="S466" i="1"/>
  <c r="R466" i="1"/>
  <c r="Q466" i="1"/>
  <c r="P466" i="1"/>
  <c r="U465" i="1"/>
  <c r="T465" i="1"/>
  <c r="T465" i="1" a="1"/>
  <c r="S465" i="1"/>
  <c r="R465" i="1"/>
  <c r="P465" i="1"/>
  <c r="Q465" i="1" s="1"/>
  <c r="U464" i="1"/>
  <c r="T464" i="1" a="1"/>
  <c r="T464" i="1" s="1"/>
  <c r="S464" i="1"/>
  <c r="Q464" i="1"/>
  <c r="P464" i="1"/>
  <c r="U463" i="1"/>
  <c r="T463" i="1" a="1"/>
  <c r="T463" i="1" s="1"/>
  <c r="S463" i="1"/>
  <c r="R463" i="1"/>
  <c r="Q463" i="1"/>
  <c r="P463" i="1"/>
  <c r="U462" i="1"/>
  <c r="T462" i="1" a="1"/>
  <c r="T462" i="1" s="1"/>
  <c r="S462" i="1"/>
  <c r="R462" i="1"/>
  <c r="P462" i="1"/>
  <c r="Q462" i="1" s="1"/>
  <c r="U461" i="1"/>
  <c r="T461" i="1" a="1"/>
  <c r="T461" i="1" s="1"/>
  <c r="S461" i="1"/>
  <c r="Q461" i="1"/>
  <c r="P461" i="1"/>
  <c r="R461" i="1" s="1"/>
  <c r="U460" i="1"/>
  <c r="T460" i="1"/>
  <c r="T460" i="1" a="1"/>
  <c r="S460" i="1"/>
  <c r="R460" i="1"/>
  <c r="Q460" i="1"/>
  <c r="P460" i="1"/>
  <c r="U459" i="1"/>
  <c r="T459" i="1"/>
  <c r="T459" i="1" a="1"/>
  <c r="S459" i="1"/>
  <c r="P459" i="1"/>
  <c r="U458" i="1"/>
  <c r="T458" i="1" a="1"/>
  <c r="T458" i="1" s="1"/>
  <c r="S458" i="1"/>
  <c r="Q458" i="1"/>
  <c r="P458" i="1"/>
  <c r="R458" i="1" s="1"/>
  <c r="U457" i="1"/>
  <c r="T457" i="1"/>
  <c r="T457" i="1" a="1"/>
  <c r="S457" i="1"/>
  <c r="Q457" i="1"/>
  <c r="R457" i="1" s="1"/>
  <c r="P457" i="1"/>
  <c r="U456" i="1"/>
  <c r="T456" i="1"/>
  <c r="T456" i="1" a="1"/>
  <c r="S456" i="1"/>
  <c r="P456" i="1"/>
  <c r="U455" i="1"/>
  <c r="T455" i="1" a="1"/>
  <c r="T455" i="1" s="1"/>
  <c r="S455" i="1"/>
  <c r="P455" i="1"/>
  <c r="U454" i="1"/>
  <c r="T454" i="1"/>
  <c r="T454" i="1" a="1"/>
  <c r="S454" i="1"/>
  <c r="R454" i="1"/>
  <c r="P454" i="1"/>
  <c r="Q454" i="1" s="1"/>
  <c r="U453" i="1"/>
  <c r="T453" i="1"/>
  <c r="T453" i="1" a="1"/>
  <c r="S453" i="1"/>
  <c r="P453" i="1"/>
  <c r="Q453" i="1" s="1"/>
  <c r="U452" i="1"/>
  <c r="T452" i="1" a="1"/>
  <c r="T452" i="1" s="1"/>
  <c r="S452" i="1"/>
  <c r="P452" i="1"/>
  <c r="Q452" i="1" s="1"/>
  <c r="U451" i="1"/>
  <c r="T451" i="1"/>
  <c r="T451" i="1" a="1"/>
  <c r="S451" i="1"/>
  <c r="R451" i="1"/>
  <c r="Q451" i="1"/>
  <c r="P451" i="1"/>
  <c r="U450" i="1"/>
  <c r="T450" i="1" a="1"/>
  <c r="T450" i="1" s="1"/>
  <c r="S450" i="1"/>
  <c r="P450" i="1"/>
  <c r="Q450" i="1" s="1"/>
  <c r="U449" i="1"/>
  <c r="T449" i="1" a="1"/>
  <c r="T449" i="1" s="1"/>
  <c r="S449" i="1"/>
  <c r="Q449" i="1"/>
  <c r="P449" i="1"/>
  <c r="R449" i="1" s="1"/>
  <c r="U448" i="1"/>
  <c r="T448" i="1" a="1"/>
  <c r="T448" i="1" s="1"/>
  <c r="S448" i="1"/>
  <c r="Q448" i="1"/>
  <c r="R448" i="1" s="1"/>
  <c r="P448" i="1"/>
  <c r="U447" i="1"/>
  <c r="T447" i="1"/>
  <c r="T447" i="1" a="1"/>
  <c r="S447" i="1"/>
  <c r="P447" i="1"/>
  <c r="U446" i="1"/>
  <c r="T446" i="1" a="1"/>
  <c r="T446" i="1" s="1"/>
  <c r="S446" i="1"/>
  <c r="Q446" i="1"/>
  <c r="P446" i="1"/>
  <c r="R446" i="1" s="1"/>
  <c r="U445" i="1"/>
  <c r="T445" i="1"/>
  <c r="T445" i="1" a="1"/>
  <c r="S445" i="1"/>
  <c r="R445" i="1"/>
  <c r="Q445" i="1"/>
  <c r="P445" i="1"/>
  <c r="U444" i="1"/>
  <c r="T444" i="1"/>
  <c r="T444" i="1" a="1"/>
  <c r="S444" i="1"/>
  <c r="P444" i="1"/>
  <c r="U443" i="1"/>
  <c r="T443" i="1" a="1"/>
  <c r="T443" i="1" s="1"/>
  <c r="S443" i="1"/>
  <c r="Q443" i="1"/>
  <c r="P443" i="1"/>
  <c r="U442" i="1"/>
  <c r="T442" i="1"/>
  <c r="T442" i="1" a="1"/>
  <c r="S442" i="1"/>
  <c r="R442" i="1"/>
  <c r="Q442" i="1"/>
  <c r="P442" i="1"/>
  <c r="U441" i="1"/>
  <c r="T441" i="1"/>
  <c r="T441" i="1" a="1"/>
  <c r="S441" i="1"/>
  <c r="R441" i="1"/>
  <c r="P441" i="1"/>
  <c r="Q441" i="1" s="1"/>
  <c r="U440" i="1"/>
  <c r="T440" i="1" a="1"/>
  <c r="T440" i="1" s="1"/>
  <c r="S440" i="1"/>
  <c r="P440" i="1"/>
  <c r="U439" i="1"/>
  <c r="T439" i="1" a="1"/>
  <c r="T439" i="1" s="1"/>
  <c r="S439" i="1"/>
  <c r="R439" i="1"/>
  <c r="Q439" i="1"/>
  <c r="P439" i="1"/>
  <c r="U438" i="1"/>
  <c r="T438" i="1" a="1"/>
  <c r="T438" i="1" s="1"/>
  <c r="S438" i="1"/>
  <c r="P438" i="1"/>
  <c r="U437" i="1"/>
  <c r="T437" i="1" a="1"/>
  <c r="T437" i="1" s="1"/>
  <c r="S437" i="1"/>
  <c r="Q437" i="1"/>
  <c r="P437" i="1"/>
  <c r="R437" i="1" s="1"/>
  <c r="U436" i="1"/>
  <c r="T436" i="1" a="1"/>
  <c r="T436" i="1" s="1"/>
  <c r="S436" i="1"/>
  <c r="Q436" i="1"/>
  <c r="R436" i="1" s="1"/>
  <c r="P436" i="1"/>
  <c r="U435" i="1"/>
  <c r="T435" i="1"/>
  <c r="T435" i="1" a="1"/>
  <c r="S435" i="1"/>
  <c r="P435" i="1"/>
  <c r="U434" i="1"/>
  <c r="T434" i="1" a="1"/>
  <c r="T434" i="1" s="1"/>
  <c r="S434" i="1"/>
  <c r="Q434" i="1"/>
  <c r="P434" i="1"/>
  <c r="R434" i="1" s="1"/>
  <c r="U433" i="1"/>
  <c r="T433" i="1"/>
  <c r="T433" i="1" a="1"/>
  <c r="S433" i="1"/>
  <c r="R433" i="1"/>
  <c r="Q433" i="1"/>
  <c r="P433" i="1"/>
  <c r="U432" i="1"/>
  <c r="T432" i="1"/>
  <c r="T432" i="1" a="1"/>
  <c r="S432" i="1"/>
  <c r="P432" i="1"/>
  <c r="U431" i="1"/>
  <c r="T431" i="1" a="1"/>
  <c r="T431" i="1" s="1"/>
  <c r="S431" i="1"/>
  <c r="P431" i="1"/>
  <c r="Q431" i="1" s="1"/>
  <c r="U430" i="1"/>
  <c r="T430" i="1"/>
  <c r="T430" i="1" a="1"/>
  <c r="S430" i="1"/>
  <c r="R430" i="1"/>
  <c r="P430" i="1"/>
  <c r="Q430" i="1" s="1"/>
  <c r="U429" i="1"/>
  <c r="T429" i="1"/>
  <c r="T429" i="1" a="1"/>
  <c r="S429" i="1"/>
  <c r="P429" i="1"/>
  <c r="Q429" i="1" s="1"/>
  <c r="U428" i="1"/>
  <c r="T428" i="1" a="1"/>
  <c r="T428" i="1" s="1"/>
  <c r="S428" i="1"/>
  <c r="P428" i="1"/>
  <c r="U427" i="1"/>
  <c r="T427" i="1" a="1"/>
  <c r="T427" i="1" s="1"/>
  <c r="S427" i="1"/>
  <c r="R427" i="1"/>
  <c r="Q427" i="1"/>
  <c r="P427" i="1"/>
  <c r="U426" i="1"/>
  <c r="T426" i="1" a="1"/>
  <c r="T426" i="1" s="1"/>
  <c r="S426" i="1"/>
  <c r="P426" i="1"/>
  <c r="Q426" i="1" s="1"/>
  <c r="U425" i="1"/>
  <c r="T425" i="1" a="1"/>
  <c r="T425" i="1" s="1"/>
  <c r="S425" i="1"/>
  <c r="Q425" i="1"/>
  <c r="P425" i="1"/>
  <c r="R425" i="1" s="1"/>
  <c r="U424" i="1"/>
  <c r="T424" i="1"/>
  <c r="T424" i="1" a="1"/>
  <c r="S424" i="1"/>
  <c r="R424" i="1"/>
  <c r="Q424" i="1"/>
  <c r="P424" i="1"/>
  <c r="U423" i="1"/>
  <c r="T423" i="1" a="1"/>
  <c r="T423" i="1" s="1"/>
  <c r="S423" i="1"/>
  <c r="P423" i="1"/>
  <c r="U422" i="1"/>
  <c r="T422" i="1" a="1"/>
  <c r="T422" i="1" s="1"/>
  <c r="S422" i="1"/>
  <c r="Q422" i="1"/>
  <c r="P422" i="1"/>
  <c r="R422" i="1" s="1"/>
  <c r="U421" i="1"/>
  <c r="T421" i="1"/>
  <c r="T421" i="1" a="1"/>
  <c r="S421" i="1"/>
  <c r="Q421" i="1"/>
  <c r="R421" i="1" s="1"/>
  <c r="P421" i="1"/>
  <c r="U420" i="1"/>
  <c r="T420" i="1"/>
  <c r="T420" i="1" a="1"/>
  <c r="S420" i="1"/>
  <c r="P420" i="1"/>
  <c r="U419" i="1"/>
  <c r="T419" i="1" a="1"/>
  <c r="T419" i="1" s="1"/>
  <c r="S419" i="1"/>
  <c r="P419" i="1"/>
  <c r="U418" i="1"/>
  <c r="T418" i="1"/>
  <c r="T418" i="1" a="1"/>
  <c r="S418" i="1"/>
  <c r="R418" i="1"/>
  <c r="P418" i="1"/>
  <c r="Q418" i="1" s="1"/>
  <c r="U417" i="1"/>
  <c r="T417" i="1"/>
  <c r="T417" i="1" a="1"/>
  <c r="S417" i="1"/>
  <c r="P417" i="1"/>
  <c r="Q417" i="1" s="1"/>
  <c r="U416" i="1"/>
  <c r="T416" i="1" a="1"/>
  <c r="T416" i="1" s="1"/>
  <c r="S416" i="1"/>
  <c r="Q416" i="1"/>
  <c r="P416" i="1"/>
  <c r="U415" i="1"/>
  <c r="T415" i="1"/>
  <c r="T415" i="1" a="1"/>
  <c r="S415" i="1"/>
  <c r="R415" i="1"/>
  <c r="Q415" i="1"/>
  <c r="P415" i="1"/>
  <c r="U414" i="1"/>
  <c r="T414" i="1" a="1"/>
  <c r="T414" i="1" s="1"/>
  <c r="S414" i="1"/>
  <c r="R414" i="1"/>
  <c r="P414" i="1"/>
  <c r="Q414" i="1" s="1"/>
  <c r="U413" i="1"/>
  <c r="T413" i="1" a="1"/>
  <c r="T413" i="1" s="1"/>
  <c r="S413" i="1"/>
  <c r="Q413" i="1"/>
  <c r="P413" i="1"/>
  <c r="R413" i="1" s="1"/>
  <c r="U412" i="1"/>
  <c r="T412" i="1" a="1"/>
  <c r="T412" i="1" s="1"/>
  <c r="S412" i="1"/>
  <c r="Q412" i="1"/>
  <c r="R412" i="1" s="1"/>
  <c r="P412" i="1"/>
  <c r="U411" i="1"/>
  <c r="T411" i="1" a="1"/>
  <c r="T411" i="1" s="1"/>
  <c r="S411" i="1"/>
  <c r="P411" i="1"/>
  <c r="U410" i="1"/>
  <c r="T410" i="1" a="1"/>
  <c r="T410" i="1" s="1"/>
  <c r="S410" i="1"/>
  <c r="Q410" i="1"/>
  <c r="P410" i="1"/>
  <c r="R410" i="1" s="1"/>
  <c r="U409" i="1"/>
  <c r="T409" i="1"/>
  <c r="T409" i="1" a="1"/>
  <c r="S409" i="1"/>
  <c r="R409" i="1"/>
  <c r="Q409" i="1"/>
  <c r="P409" i="1"/>
  <c r="U408" i="1"/>
  <c r="T408" i="1"/>
  <c r="T408" i="1" a="1"/>
  <c r="S408" i="1"/>
  <c r="P408" i="1"/>
  <c r="U407" i="1"/>
  <c r="T407" i="1" a="1"/>
  <c r="T407" i="1" s="1"/>
  <c r="S407" i="1"/>
  <c r="P407" i="1"/>
  <c r="U406" i="1"/>
  <c r="T406" i="1"/>
  <c r="T406" i="1" a="1"/>
  <c r="S406" i="1"/>
  <c r="P406" i="1"/>
  <c r="Q406" i="1" s="1"/>
  <c r="R406" i="1" s="1"/>
  <c r="U405" i="1"/>
  <c r="T405" i="1"/>
  <c r="T405" i="1" a="1"/>
  <c r="S405" i="1"/>
  <c r="P405" i="1"/>
  <c r="Q405" i="1" s="1"/>
  <c r="U404" i="1"/>
  <c r="T404" i="1" a="1"/>
  <c r="T404" i="1" s="1"/>
  <c r="S404" i="1"/>
  <c r="P404" i="1"/>
  <c r="U403" i="1"/>
  <c r="T403" i="1"/>
  <c r="T403" i="1" a="1"/>
  <c r="S403" i="1"/>
  <c r="R403" i="1"/>
  <c r="Q403" i="1"/>
  <c r="P403" i="1"/>
  <c r="U402" i="1"/>
  <c r="T402" i="1"/>
  <c r="T402" i="1" a="1"/>
  <c r="S402" i="1"/>
  <c r="P402" i="1"/>
  <c r="Q402" i="1" s="1"/>
  <c r="U401" i="1"/>
  <c r="T401" i="1" a="1"/>
  <c r="T401" i="1" s="1"/>
  <c r="S401" i="1"/>
  <c r="Q401" i="1"/>
  <c r="P401" i="1"/>
  <c r="U400" i="1"/>
  <c r="T400" i="1"/>
  <c r="T400" i="1" a="1"/>
  <c r="S400" i="1"/>
  <c r="Q400" i="1"/>
  <c r="R400" i="1" s="1"/>
  <c r="P400" i="1"/>
  <c r="U399" i="1"/>
  <c r="T399" i="1" a="1"/>
  <c r="T399" i="1" s="1"/>
  <c r="S399" i="1"/>
  <c r="P399" i="1"/>
  <c r="U398" i="1"/>
  <c r="T398" i="1" a="1"/>
  <c r="T398" i="1" s="1"/>
  <c r="S398" i="1"/>
  <c r="Q398" i="1"/>
  <c r="P398" i="1"/>
  <c r="R398" i="1" s="1"/>
  <c r="U397" i="1"/>
  <c r="T397" i="1"/>
  <c r="T397" i="1" a="1"/>
  <c r="S397" i="1"/>
  <c r="Q397" i="1"/>
  <c r="R397" i="1" s="1"/>
  <c r="P397" i="1"/>
  <c r="U396" i="1"/>
  <c r="T396" i="1"/>
  <c r="T396" i="1" a="1"/>
  <c r="S396" i="1"/>
  <c r="P396" i="1"/>
  <c r="U395" i="1"/>
  <c r="T395" i="1" a="1"/>
  <c r="T395" i="1" s="1"/>
  <c r="S395" i="1"/>
  <c r="P395" i="1"/>
  <c r="U394" i="1"/>
  <c r="T394" i="1"/>
  <c r="T394" i="1" a="1"/>
  <c r="S394" i="1"/>
  <c r="R394" i="1"/>
  <c r="Q394" i="1"/>
  <c r="P394" i="1"/>
  <c r="U393" i="1"/>
  <c r="T393" i="1"/>
  <c r="T393" i="1" a="1"/>
  <c r="S393" i="1"/>
  <c r="P393" i="1"/>
  <c r="Q393" i="1" s="1"/>
  <c r="U392" i="1"/>
  <c r="T392" i="1" a="1"/>
  <c r="T392" i="1" s="1"/>
  <c r="S392" i="1"/>
  <c r="Q392" i="1"/>
  <c r="P392" i="1"/>
  <c r="U391" i="1"/>
  <c r="T391" i="1" a="1"/>
  <c r="T391" i="1" s="1"/>
  <c r="S391" i="1"/>
  <c r="R391" i="1"/>
  <c r="Q391" i="1"/>
  <c r="P391" i="1"/>
  <c r="U390" i="1"/>
  <c r="T390" i="1"/>
  <c r="T390" i="1" a="1"/>
  <c r="S390" i="1"/>
  <c r="P390" i="1"/>
  <c r="Q390" i="1" s="1"/>
  <c r="U389" i="1"/>
  <c r="T389" i="1" a="1"/>
  <c r="T389" i="1" s="1"/>
  <c r="S389" i="1"/>
  <c r="Q389" i="1"/>
  <c r="P389" i="1"/>
  <c r="R389" i="1" s="1"/>
  <c r="U388" i="1"/>
  <c r="T388" i="1"/>
  <c r="T388" i="1" a="1"/>
  <c r="S388" i="1"/>
  <c r="R388" i="1"/>
  <c r="Q388" i="1"/>
  <c r="P388" i="1"/>
  <c r="U387" i="1"/>
  <c r="T387" i="1"/>
  <c r="T387" i="1" a="1"/>
  <c r="S387" i="1"/>
  <c r="P387" i="1"/>
  <c r="U386" i="1"/>
  <c r="T386" i="1" a="1"/>
  <c r="T386" i="1" s="1"/>
  <c r="S386" i="1"/>
  <c r="Q386" i="1"/>
  <c r="P386" i="1"/>
  <c r="U385" i="1"/>
  <c r="T385" i="1"/>
  <c r="T385" i="1" a="1"/>
  <c r="S385" i="1"/>
  <c r="Q385" i="1"/>
  <c r="R385" i="1" s="1"/>
  <c r="P385" i="1"/>
  <c r="U384" i="1"/>
  <c r="T384" i="1"/>
  <c r="T384" i="1" a="1"/>
  <c r="S384" i="1"/>
  <c r="P384" i="1"/>
  <c r="U383" i="1"/>
  <c r="T383" i="1" a="1"/>
  <c r="T383" i="1" s="1"/>
  <c r="S383" i="1"/>
  <c r="P383" i="1"/>
  <c r="U382" i="1"/>
  <c r="T382" i="1"/>
  <c r="T382" i="1" a="1"/>
  <c r="S382" i="1"/>
  <c r="R382" i="1"/>
  <c r="Q382" i="1"/>
  <c r="P382" i="1"/>
  <c r="U381" i="1"/>
  <c r="T381" i="1"/>
  <c r="T381" i="1" a="1"/>
  <c r="S381" i="1"/>
  <c r="P381" i="1"/>
  <c r="U380" i="1"/>
  <c r="T380" i="1" a="1"/>
  <c r="T380" i="1" s="1"/>
  <c r="S380" i="1"/>
  <c r="P380" i="1"/>
  <c r="U379" i="1"/>
  <c r="T379" i="1" a="1"/>
  <c r="T379" i="1" s="1"/>
  <c r="S379" i="1"/>
  <c r="R379" i="1"/>
  <c r="Q379" i="1"/>
  <c r="P379" i="1"/>
  <c r="U378" i="1"/>
  <c r="T378" i="1" a="1"/>
  <c r="T378" i="1" s="1"/>
  <c r="S378" i="1"/>
  <c r="P378" i="1"/>
  <c r="Q378" i="1" s="1"/>
  <c r="U377" i="1"/>
  <c r="T377" i="1" a="1"/>
  <c r="T377" i="1" s="1"/>
  <c r="S377" i="1"/>
  <c r="Q377" i="1"/>
  <c r="P377" i="1"/>
  <c r="R377" i="1" s="1"/>
  <c r="U376" i="1"/>
  <c r="T376" i="1"/>
  <c r="T376" i="1" a="1"/>
  <c r="S376" i="1"/>
  <c r="R376" i="1"/>
  <c r="Q376" i="1"/>
  <c r="P376" i="1"/>
  <c r="U375" i="1"/>
  <c r="T375" i="1"/>
  <c r="T375" i="1" a="1"/>
  <c r="S375" i="1"/>
  <c r="P375" i="1"/>
  <c r="U374" i="1"/>
  <c r="T374" i="1" a="1"/>
  <c r="T374" i="1" s="1"/>
  <c r="S374" i="1"/>
  <c r="Q374" i="1"/>
  <c r="P374" i="1"/>
  <c r="R374" i="1" s="1"/>
  <c r="U373" i="1"/>
  <c r="T373" i="1"/>
  <c r="T373" i="1" a="1"/>
  <c r="S373" i="1"/>
  <c r="R373" i="1"/>
  <c r="Q373" i="1"/>
  <c r="P373" i="1"/>
  <c r="U372" i="1"/>
  <c r="T372" i="1"/>
  <c r="T372" i="1" a="1"/>
  <c r="S372" i="1"/>
  <c r="P372" i="1"/>
  <c r="U371" i="1"/>
  <c r="T371" i="1" a="1"/>
  <c r="T371" i="1" s="1"/>
  <c r="S371" i="1"/>
  <c r="P371" i="1"/>
  <c r="U370" i="1"/>
  <c r="T370" i="1"/>
  <c r="T370" i="1" a="1"/>
  <c r="S370" i="1"/>
  <c r="R370" i="1"/>
  <c r="P370" i="1"/>
  <c r="Q370" i="1" s="1"/>
  <c r="U369" i="1"/>
  <c r="T369" i="1"/>
  <c r="T369" i="1" a="1"/>
  <c r="S369" i="1"/>
  <c r="P369" i="1"/>
  <c r="Q369" i="1" s="1"/>
  <c r="U368" i="1"/>
  <c r="T368" i="1" a="1"/>
  <c r="T368" i="1" s="1"/>
  <c r="S368" i="1"/>
  <c r="Q368" i="1"/>
  <c r="P368" i="1"/>
  <c r="U367" i="1"/>
  <c r="T367" i="1"/>
  <c r="T367" i="1" a="1"/>
  <c r="S367" i="1"/>
  <c r="R367" i="1"/>
  <c r="Q367" i="1"/>
  <c r="P367" i="1"/>
  <c r="U366" i="1"/>
  <c r="T366" i="1" a="1"/>
  <c r="T366" i="1" s="1"/>
  <c r="S366" i="1"/>
  <c r="R366" i="1"/>
  <c r="P366" i="1"/>
  <c r="Q366" i="1" s="1"/>
  <c r="U365" i="1"/>
  <c r="T365" i="1" a="1"/>
  <c r="T365" i="1" s="1"/>
  <c r="S365" i="1"/>
  <c r="Q365" i="1"/>
  <c r="P365" i="1"/>
  <c r="U364" i="1"/>
  <c r="T364" i="1"/>
  <c r="T364" i="1" a="1"/>
  <c r="S364" i="1"/>
  <c r="Q364" i="1"/>
  <c r="R364" i="1" s="1"/>
  <c r="P364" i="1"/>
  <c r="U363" i="1"/>
  <c r="T363" i="1" a="1"/>
  <c r="T363" i="1" s="1"/>
  <c r="S363" i="1"/>
  <c r="P363" i="1"/>
  <c r="U362" i="1"/>
  <c r="T362" i="1" a="1"/>
  <c r="T362" i="1" s="1"/>
  <c r="S362" i="1"/>
  <c r="Q362" i="1"/>
  <c r="P362" i="1"/>
  <c r="R362" i="1" s="1"/>
  <c r="U361" i="1"/>
  <c r="T361" i="1"/>
  <c r="T361" i="1" a="1"/>
  <c r="S361" i="1"/>
  <c r="R361" i="1"/>
  <c r="Q361" i="1"/>
  <c r="P361" i="1"/>
  <c r="U360" i="1"/>
  <c r="T360" i="1"/>
  <c r="T360" i="1" a="1"/>
  <c r="S360" i="1"/>
  <c r="P360" i="1"/>
  <c r="U359" i="1"/>
  <c r="T359" i="1" a="1"/>
  <c r="T359" i="1" s="1"/>
  <c r="S359" i="1"/>
  <c r="P359" i="1"/>
  <c r="U358" i="1"/>
  <c r="T358" i="1"/>
  <c r="T358" i="1" a="1"/>
  <c r="S358" i="1"/>
  <c r="R358" i="1"/>
  <c r="P358" i="1"/>
  <c r="Q358" i="1" s="1"/>
  <c r="U357" i="1"/>
  <c r="T357" i="1"/>
  <c r="T357" i="1" a="1"/>
  <c r="S357" i="1"/>
  <c r="P357" i="1"/>
  <c r="Q357" i="1" s="1"/>
  <c r="U356" i="1"/>
  <c r="T356" i="1" a="1"/>
  <c r="T356" i="1" s="1"/>
  <c r="S356" i="1"/>
  <c r="P356" i="1"/>
  <c r="U355" i="1"/>
  <c r="T355" i="1" a="1"/>
  <c r="T355" i="1" s="1"/>
  <c r="S355" i="1"/>
  <c r="R355" i="1"/>
  <c r="Q355" i="1"/>
  <c r="P355" i="1"/>
  <c r="U354" i="1"/>
  <c r="T354" i="1" a="1"/>
  <c r="T354" i="1" s="1"/>
  <c r="S354" i="1"/>
  <c r="P354" i="1"/>
  <c r="Q354" i="1" s="1"/>
  <c r="U353" i="1"/>
  <c r="T353" i="1" a="1"/>
  <c r="T353" i="1" s="1"/>
  <c r="S353" i="1"/>
  <c r="Q353" i="1"/>
  <c r="P353" i="1"/>
  <c r="R353" i="1" s="1"/>
  <c r="U352" i="1"/>
  <c r="T352" i="1"/>
  <c r="T352" i="1" a="1"/>
  <c r="S352" i="1"/>
  <c r="R352" i="1"/>
  <c r="Q352" i="1"/>
  <c r="P352" i="1"/>
  <c r="U351" i="1"/>
  <c r="T351" i="1" a="1"/>
  <c r="T351" i="1" s="1"/>
  <c r="S351" i="1"/>
  <c r="P351" i="1"/>
  <c r="U350" i="1"/>
  <c r="T350" i="1" a="1"/>
  <c r="T350" i="1" s="1"/>
  <c r="S350" i="1"/>
  <c r="Q350" i="1"/>
  <c r="P350" i="1"/>
  <c r="R350" i="1" s="1"/>
  <c r="U349" i="1"/>
  <c r="T349" i="1"/>
  <c r="T349" i="1" a="1"/>
  <c r="S349" i="1"/>
  <c r="Q349" i="1"/>
  <c r="R349" i="1" s="1"/>
  <c r="P349" i="1"/>
  <c r="U348" i="1"/>
  <c r="T348" i="1"/>
  <c r="T348" i="1" a="1"/>
  <c r="S348" i="1"/>
  <c r="P348" i="1"/>
  <c r="U347" i="1"/>
  <c r="T347" i="1" a="1"/>
  <c r="T347" i="1" s="1"/>
  <c r="S347" i="1"/>
  <c r="P347" i="1"/>
  <c r="U346" i="1"/>
  <c r="T346" i="1"/>
  <c r="T346" i="1" a="1"/>
  <c r="S346" i="1"/>
  <c r="R346" i="1"/>
  <c r="P346" i="1"/>
  <c r="Q346" i="1" s="1"/>
  <c r="U345" i="1"/>
  <c r="T345" i="1"/>
  <c r="T345" i="1" a="1"/>
  <c r="S345" i="1"/>
  <c r="P345" i="1"/>
  <c r="Q345" i="1" s="1"/>
  <c r="U344" i="1"/>
  <c r="T344" i="1" a="1"/>
  <c r="T344" i="1" s="1"/>
  <c r="S344" i="1"/>
  <c r="Q344" i="1"/>
  <c r="P344" i="1"/>
  <c r="U343" i="1"/>
  <c r="T343" i="1"/>
  <c r="T343" i="1" a="1"/>
  <c r="S343" i="1"/>
  <c r="R343" i="1"/>
  <c r="Q343" i="1"/>
  <c r="P343" i="1"/>
  <c r="U342" i="1"/>
  <c r="T342" i="1" a="1"/>
  <c r="T342" i="1" s="1"/>
  <c r="S342" i="1"/>
  <c r="R342" i="1"/>
  <c r="P342" i="1"/>
  <c r="Q342" i="1" s="1"/>
  <c r="U341" i="1"/>
  <c r="T341" i="1" a="1"/>
  <c r="T341" i="1" s="1"/>
  <c r="S341" i="1"/>
  <c r="Q341" i="1"/>
  <c r="P341" i="1"/>
  <c r="R341" i="1" s="1"/>
  <c r="U340" i="1"/>
  <c r="T340" i="1" a="1"/>
  <c r="T340" i="1" s="1"/>
  <c r="S340" i="1"/>
  <c r="Q340" i="1"/>
  <c r="R340" i="1" s="1"/>
  <c r="P340" i="1"/>
  <c r="U339" i="1"/>
  <c r="T339" i="1" a="1"/>
  <c r="T339" i="1" s="1"/>
  <c r="S339" i="1"/>
  <c r="P339" i="1"/>
  <c r="U338" i="1"/>
  <c r="T338" i="1" a="1"/>
  <c r="T338" i="1" s="1"/>
  <c r="S338" i="1"/>
  <c r="Q338" i="1"/>
  <c r="P338" i="1"/>
  <c r="R338" i="1" s="1"/>
  <c r="U337" i="1"/>
  <c r="T337" i="1"/>
  <c r="T337" i="1" a="1"/>
  <c r="S337" i="1"/>
  <c r="R337" i="1"/>
  <c r="Q337" i="1"/>
  <c r="P337" i="1"/>
  <c r="U336" i="1"/>
  <c r="T336" i="1"/>
  <c r="T336" i="1" a="1"/>
  <c r="S336" i="1"/>
  <c r="P336" i="1"/>
  <c r="U335" i="1"/>
  <c r="T335" i="1" a="1"/>
  <c r="T335" i="1" s="1"/>
  <c r="S335" i="1"/>
  <c r="P335" i="1"/>
  <c r="U334" i="1"/>
  <c r="T334" i="1"/>
  <c r="T334" i="1" a="1"/>
  <c r="S334" i="1"/>
  <c r="P334" i="1"/>
  <c r="Q334" i="1" s="1"/>
  <c r="R334" i="1" s="1"/>
  <c r="U333" i="1"/>
  <c r="T333" i="1"/>
  <c r="T333" i="1" a="1"/>
  <c r="S333" i="1"/>
  <c r="P333" i="1"/>
  <c r="Q333" i="1" s="1"/>
  <c r="U332" i="1"/>
  <c r="T332" i="1" a="1"/>
  <c r="T332" i="1" s="1"/>
  <c r="S332" i="1"/>
  <c r="P332" i="1"/>
  <c r="U331" i="1"/>
  <c r="T331" i="1"/>
  <c r="T331" i="1" a="1"/>
  <c r="S331" i="1"/>
  <c r="R331" i="1"/>
  <c r="Q331" i="1"/>
  <c r="P331" i="1"/>
  <c r="U330" i="1"/>
  <c r="T330" i="1" a="1"/>
  <c r="T330" i="1" s="1"/>
  <c r="S330" i="1"/>
  <c r="P330" i="1"/>
  <c r="Q330" i="1" s="1"/>
  <c r="U329" i="1"/>
  <c r="T329" i="1" a="1"/>
  <c r="T329" i="1" s="1"/>
  <c r="S329" i="1"/>
  <c r="Q329" i="1"/>
  <c r="P329" i="1"/>
  <c r="R329" i="1" s="1"/>
  <c r="U328" i="1"/>
  <c r="T328" i="1" a="1"/>
  <c r="T328" i="1" s="1"/>
  <c r="S328" i="1"/>
  <c r="R328" i="1"/>
  <c r="Q328" i="1"/>
  <c r="P328" i="1"/>
  <c r="U327" i="1"/>
  <c r="T327" i="1" a="1"/>
  <c r="T327" i="1" s="1"/>
  <c r="S327" i="1"/>
  <c r="P327" i="1"/>
  <c r="U326" i="1"/>
  <c r="T326" i="1" a="1"/>
  <c r="T326" i="1" s="1"/>
  <c r="S326" i="1"/>
  <c r="Q326" i="1"/>
  <c r="P326" i="1"/>
  <c r="U325" i="1"/>
  <c r="T325" i="1"/>
  <c r="T325" i="1" a="1"/>
  <c r="S325" i="1"/>
  <c r="Q325" i="1"/>
  <c r="R325" i="1" s="1"/>
  <c r="P325" i="1"/>
  <c r="U324" i="1"/>
  <c r="T324" i="1"/>
  <c r="T324" i="1" a="1"/>
  <c r="S324" i="1"/>
  <c r="P324" i="1"/>
  <c r="U323" i="1"/>
  <c r="T323" i="1" a="1"/>
  <c r="T323" i="1" s="1"/>
  <c r="S323" i="1"/>
  <c r="P323" i="1"/>
  <c r="U322" i="1"/>
  <c r="T322" i="1"/>
  <c r="T322" i="1" a="1"/>
  <c r="S322" i="1"/>
  <c r="P322" i="1"/>
  <c r="Q322" i="1" s="1"/>
  <c r="R322" i="1" s="1"/>
  <c r="U321" i="1"/>
  <c r="T321" i="1"/>
  <c r="T321" i="1" a="1"/>
  <c r="S321" i="1"/>
  <c r="P321" i="1"/>
  <c r="U320" i="1"/>
  <c r="T320" i="1" a="1"/>
  <c r="T320" i="1" s="1"/>
  <c r="S320" i="1"/>
  <c r="P320" i="1"/>
  <c r="U319" i="1"/>
  <c r="T319" i="1" a="1"/>
  <c r="T319" i="1" s="1"/>
  <c r="S319" i="1"/>
  <c r="R319" i="1"/>
  <c r="Q319" i="1"/>
  <c r="P319" i="1"/>
  <c r="U318" i="1"/>
  <c r="T318" i="1" a="1"/>
  <c r="T318" i="1" s="1"/>
  <c r="S318" i="1"/>
  <c r="P318" i="1"/>
  <c r="Q318" i="1" s="1"/>
  <c r="U317" i="1"/>
  <c r="T317" i="1" a="1"/>
  <c r="T317" i="1" s="1"/>
  <c r="S317" i="1"/>
  <c r="Q317" i="1"/>
  <c r="R317" i="1" s="1"/>
  <c r="P317" i="1"/>
  <c r="U316" i="1"/>
  <c r="T316" i="1" a="1"/>
  <c r="T316" i="1" s="1"/>
  <c r="S316" i="1"/>
  <c r="R316" i="1"/>
  <c r="Q316" i="1"/>
  <c r="P316" i="1"/>
  <c r="U315" i="1"/>
  <c r="T315" i="1" a="1"/>
  <c r="T315" i="1" s="1"/>
  <c r="S315" i="1"/>
  <c r="P315" i="1"/>
  <c r="U314" i="1"/>
  <c r="T314" i="1" a="1"/>
  <c r="T314" i="1" s="1"/>
  <c r="S314" i="1"/>
  <c r="Q314" i="1"/>
  <c r="P314" i="1"/>
  <c r="R314" i="1" s="1"/>
  <c r="U313" i="1"/>
  <c r="T313" i="1"/>
  <c r="T313" i="1" a="1"/>
  <c r="S313" i="1"/>
  <c r="Q313" i="1"/>
  <c r="R313" i="1" s="1"/>
  <c r="P313" i="1"/>
  <c r="U312" i="1"/>
  <c r="T312" i="1"/>
  <c r="T312" i="1" a="1"/>
  <c r="S312" i="1"/>
  <c r="P312" i="1"/>
  <c r="U311" i="1"/>
  <c r="T311" i="1" a="1"/>
  <c r="T311" i="1" s="1"/>
  <c r="S311" i="1"/>
  <c r="Q311" i="1"/>
  <c r="P311" i="1"/>
  <c r="U310" i="1"/>
  <c r="T310" i="1"/>
  <c r="T310" i="1" a="1"/>
  <c r="S310" i="1"/>
  <c r="P310" i="1"/>
  <c r="Q310" i="1" s="1"/>
  <c r="R310" i="1" s="1"/>
  <c r="U309" i="1"/>
  <c r="T309" i="1"/>
  <c r="T309" i="1" a="1"/>
  <c r="S309" i="1"/>
  <c r="R309" i="1"/>
  <c r="P309" i="1"/>
  <c r="Q309" i="1" s="1"/>
  <c r="U308" i="1"/>
  <c r="T308" i="1" a="1"/>
  <c r="T308" i="1" s="1"/>
  <c r="S308" i="1"/>
  <c r="P308" i="1"/>
  <c r="U307" i="1"/>
  <c r="T307" i="1" a="1"/>
  <c r="T307" i="1" s="1"/>
  <c r="S307" i="1"/>
  <c r="P307" i="1"/>
  <c r="Q307" i="1" s="1"/>
  <c r="R307" i="1" s="1"/>
  <c r="U306" i="1"/>
  <c r="T306" i="1" a="1"/>
  <c r="T306" i="1" s="1"/>
  <c r="S306" i="1"/>
  <c r="P306" i="1"/>
  <c r="Q306" i="1" s="1"/>
  <c r="U305" i="1"/>
  <c r="T305" i="1" a="1"/>
  <c r="T305" i="1" s="1"/>
  <c r="S305" i="1"/>
  <c r="Q305" i="1"/>
  <c r="P305" i="1"/>
  <c r="U304" i="1"/>
  <c r="T304" i="1"/>
  <c r="T304" i="1" a="1"/>
  <c r="S304" i="1"/>
  <c r="Q304" i="1"/>
  <c r="R304" i="1" s="1"/>
  <c r="P304" i="1"/>
  <c r="U303" i="1"/>
  <c r="T303" i="1" a="1"/>
  <c r="T303" i="1" s="1"/>
  <c r="S303" i="1"/>
  <c r="P303" i="1"/>
  <c r="U302" i="1"/>
  <c r="T302" i="1" a="1"/>
  <c r="T302" i="1" s="1"/>
  <c r="S302" i="1"/>
  <c r="Q302" i="1"/>
  <c r="P302" i="1"/>
  <c r="R302" i="1" s="1"/>
  <c r="U301" i="1"/>
  <c r="T301" i="1"/>
  <c r="T301" i="1" a="1"/>
  <c r="S301" i="1"/>
  <c r="R301" i="1"/>
  <c r="Q301" i="1"/>
  <c r="P301" i="1"/>
  <c r="U300" i="1"/>
  <c r="T300" i="1"/>
  <c r="T300" i="1" a="1"/>
  <c r="S300" i="1"/>
  <c r="P300" i="1"/>
  <c r="U299" i="1"/>
  <c r="T299" i="1" a="1"/>
  <c r="T299" i="1" s="1"/>
  <c r="S299" i="1"/>
  <c r="Q299" i="1"/>
  <c r="P299" i="1"/>
  <c r="U298" i="1"/>
  <c r="T298" i="1"/>
  <c r="T298" i="1" a="1"/>
  <c r="S298" i="1"/>
  <c r="R298" i="1"/>
  <c r="P298" i="1"/>
  <c r="Q298" i="1" s="1"/>
  <c r="U297" i="1"/>
  <c r="T297" i="1"/>
  <c r="T297" i="1" a="1"/>
  <c r="S297" i="1"/>
  <c r="P297" i="1"/>
  <c r="Q297" i="1" s="1"/>
  <c r="U296" i="1"/>
  <c r="T296" i="1" a="1"/>
  <c r="T296" i="1" s="1"/>
  <c r="S296" i="1"/>
  <c r="Q296" i="1"/>
  <c r="P296" i="1"/>
  <c r="U295" i="1"/>
  <c r="T295" i="1"/>
  <c r="T295" i="1" a="1"/>
  <c r="S295" i="1"/>
  <c r="R295" i="1"/>
  <c r="Q295" i="1"/>
  <c r="P295" i="1"/>
  <c r="U294" i="1"/>
  <c r="T294" i="1" a="1"/>
  <c r="T294" i="1" s="1"/>
  <c r="S294" i="1"/>
  <c r="P294" i="1"/>
  <c r="Q294" i="1" s="1"/>
  <c r="U293" i="1"/>
  <c r="T293" i="1" a="1"/>
  <c r="T293" i="1" s="1"/>
  <c r="S293" i="1"/>
  <c r="Q293" i="1"/>
  <c r="P293" i="1"/>
  <c r="R293" i="1" s="1"/>
  <c r="U292" i="1"/>
  <c r="T292" i="1" a="1"/>
  <c r="T292" i="1" s="1"/>
  <c r="S292" i="1"/>
  <c r="Q292" i="1"/>
  <c r="R292" i="1" s="1"/>
  <c r="P292" i="1"/>
  <c r="U291" i="1"/>
  <c r="T291" i="1" a="1"/>
  <c r="T291" i="1" s="1"/>
  <c r="S291" i="1"/>
  <c r="P291" i="1"/>
  <c r="U290" i="1"/>
  <c r="T290" i="1" a="1"/>
  <c r="T290" i="1" s="1"/>
  <c r="S290" i="1"/>
  <c r="Q290" i="1"/>
  <c r="P290" i="1"/>
  <c r="R290" i="1" s="1"/>
  <c r="U289" i="1"/>
  <c r="T289" i="1"/>
  <c r="T289" i="1" a="1"/>
  <c r="S289" i="1"/>
  <c r="R289" i="1"/>
  <c r="Q289" i="1"/>
  <c r="P289" i="1"/>
  <c r="U288" i="1"/>
  <c r="T288" i="1"/>
  <c r="T288" i="1" a="1"/>
  <c r="S288" i="1"/>
  <c r="P288" i="1"/>
  <c r="U287" i="1"/>
  <c r="T287" i="1" a="1"/>
  <c r="T287" i="1" s="1"/>
  <c r="S287" i="1"/>
  <c r="P287" i="1"/>
  <c r="U286" i="1"/>
  <c r="T286" i="1"/>
  <c r="T286" i="1" a="1"/>
  <c r="S286" i="1"/>
  <c r="R286" i="1"/>
  <c r="P286" i="1"/>
  <c r="Q286" i="1" s="1"/>
  <c r="U285" i="1"/>
  <c r="T285" i="1"/>
  <c r="T285" i="1" a="1"/>
  <c r="S285" i="1"/>
  <c r="P285" i="1"/>
  <c r="Q285" i="1" s="1"/>
  <c r="U284" i="1"/>
  <c r="T284" i="1" a="1"/>
  <c r="T284" i="1" s="1"/>
  <c r="S284" i="1"/>
  <c r="Q284" i="1"/>
  <c r="P284" i="1"/>
  <c r="U283" i="1"/>
  <c r="T283" i="1"/>
  <c r="T283" i="1" a="1"/>
  <c r="S283" i="1"/>
  <c r="R283" i="1"/>
  <c r="Q283" i="1"/>
  <c r="P283" i="1"/>
  <c r="U282" i="1"/>
  <c r="T282" i="1" a="1"/>
  <c r="T282" i="1" s="1"/>
  <c r="S282" i="1"/>
  <c r="R282" i="1"/>
  <c r="P282" i="1"/>
  <c r="Q282" i="1" s="1"/>
  <c r="U281" i="1"/>
  <c r="T281" i="1" a="1"/>
  <c r="T281" i="1" s="1"/>
  <c r="S281" i="1"/>
  <c r="Q281" i="1"/>
  <c r="P281" i="1"/>
  <c r="R281" i="1" s="1"/>
  <c r="U280" i="1"/>
  <c r="T280" i="1"/>
  <c r="T280" i="1" a="1"/>
  <c r="S280" i="1"/>
  <c r="Q280" i="1"/>
  <c r="R280" i="1" s="1"/>
  <c r="P280" i="1"/>
  <c r="U279" i="1"/>
  <c r="T279" i="1" a="1"/>
  <c r="T279" i="1" s="1"/>
  <c r="S279" i="1"/>
  <c r="P279" i="1"/>
  <c r="U278" i="1"/>
  <c r="T278" i="1" a="1"/>
  <c r="T278" i="1" s="1"/>
  <c r="S278" i="1"/>
  <c r="Q278" i="1"/>
  <c r="P278" i="1"/>
  <c r="U277" i="1"/>
  <c r="T277" i="1"/>
  <c r="T277" i="1" a="1"/>
  <c r="S277" i="1"/>
  <c r="R277" i="1"/>
  <c r="Q277" i="1"/>
  <c r="P277" i="1"/>
  <c r="U276" i="1"/>
  <c r="T276" i="1"/>
  <c r="T276" i="1" a="1"/>
  <c r="S276" i="1"/>
  <c r="P276" i="1"/>
  <c r="U275" i="1"/>
  <c r="T275" i="1" a="1"/>
  <c r="T275" i="1" s="1"/>
  <c r="S275" i="1"/>
  <c r="P275" i="1"/>
  <c r="U274" i="1"/>
  <c r="T274" i="1"/>
  <c r="T274" i="1" a="1"/>
  <c r="S274" i="1"/>
  <c r="R274" i="1"/>
  <c r="P274" i="1"/>
  <c r="Q274" i="1" s="1"/>
  <c r="U273" i="1"/>
  <c r="T273" i="1"/>
  <c r="T273" i="1" a="1"/>
  <c r="S273" i="1"/>
  <c r="P273" i="1"/>
  <c r="Q273" i="1" s="1"/>
  <c r="U272" i="1"/>
  <c r="T272" i="1" a="1"/>
  <c r="T272" i="1" s="1"/>
  <c r="S272" i="1"/>
  <c r="P272" i="1"/>
  <c r="U271" i="1"/>
  <c r="T271" i="1" a="1"/>
  <c r="T271" i="1" s="1"/>
  <c r="S271" i="1"/>
  <c r="R271" i="1"/>
  <c r="Q271" i="1"/>
  <c r="P271" i="1"/>
  <c r="U270" i="1"/>
  <c r="T270" i="1" a="1"/>
  <c r="T270" i="1" s="1"/>
  <c r="S270" i="1"/>
  <c r="P270" i="1"/>
  <c r="Q270" i="1" s="1"/>
  <c r="U269" i="1"/>
  <c r="T269" i="1" a="1"/>
  <c r="T269" i="1" s="1"/>
  <c r="S269" i="1"/>
  <c r="Q269" i="1"/>
  <c r="P269" i="1"/>
  <c r="R269" i="1" s="1"/>
  <c r="U268" i="1"/>
  <c r="T268" i="1"/>
  <c r="T268" i="1" a="1"/>
  <c r="S268" i="1"/>
  <c r="R268" i="1"/>
  <c r="Q268" i="1"/>
  <c r="P268" i="1"/>
  <c r="U267" i="1"/>
  <c r="T267" i="1" a="1"/>
  <c r="T267" i="1" s="1"/>
  <c r="S267" i="1"/>
  <c r="P267" i="1"/>
  <c r="U266" i="1"/>
  <c r="T266" i="1" a="1"/>
  <c r="T266" i="1" s="1"/>
  <c r="S266" i="1"/>
  <c r="Q266" i="1"/>
  <c r="P266" i="1"/>
  <c r="R266" i="1" s="1"/>
  <c r="U265" i="1"/>
  <c r="T265" i="1"/>
  <c r="T265" i="1" a="1"/>
  <c r="S265" i="1"/>
  <c r="Q265" i="1"/>
  <c r="R265" i="1" s="1"/>
  <c r="P265" i="1"/>
  <c r="U264" i="1"/>
  <c r="T264" i="1"/>
  <c r="T264" i="1" a="1"/>
  <c r="S264" i="1"/>
  <c r="P264" i="1"/>
  <c r="U263" i="1"/>
  <c r="T263" i="1" a="1"/>
  <c r="T263" i="1" s="1"/>
  <c r="S263" i="1"/>
  <c r="Q263" i="1"/>
  <c r="P263" i="1"/>
  <c r="U262" i="1"/>
  <c r="T262" i="1"/>
  <c r="T262" i="1" a="1"/>
  <c r="S262" i="1"/>
  <c r="R262" i="1"/>
  <c r="P262" i="1"/>
  <c r="Q262" i="1" s="1"/>
  <c r="U261" i="1"/>
  <c r="T261" i="1"/>
  <c r="T261" i="1" a="1"/>
  <c r="S261" i="1"/>
  <c r="P261" i="1"/>
  <c r="Q261" i="1" s="1"/>
  <c r="U260" i="1"/>
  <c r="T260" i="1" a="1"/>
  <c r="T260" i="1" s="1"/>
  <c r="S260" i="1"/>
  <c r="P260" i="1"/>
  <c r="U259" i="1"/>
  <c r="T259" i="1" a="1"/>
  <c r="T259" i="1" s="1"/>
  <c r="S259" i="1"/>
  <c r="R259" i="1"/>
  <c r="Q259" i="1"/>
  <c r="P259" i="1"/>
  <c r="U258" i="1"/>
  <c r="T258" i="1" a="1"/>
  <c r="T258" i="1" s="1"/>
  <c r="S258" i="1"/>
  <c r="R258" i="1"/>
  <c r="P258" i="1"/>
  <c r="Q258" i="1" s="1"/>
  <c r="U257" i="1"/>
  <c r="T257" i="1" a="1"/>
  <c r="T257" i="1" s="1"/>
  <c r="S257" i="1"/>
  <c r="Q257" i="1"/>
  <c r="P257" i="1"/>
  <c r="R257" i="1" s="1"/>
  <c r="U256" i="1"/>
  <c r="T256" i="1" a="1"/>
  <c r="T256" i="1" s="1"/>
  <c r="S256" i="1"/>
  <c r="R256" i="1"/>
  <c r="Q256" i="1"/>
  <c r="P256" i="1"/>
  <c r="U255" i="1"/>
  <c r="T255" i="1" a="1"/>
  <c r="T255" i="1" s="1"/>
  <c r="S255" i="1"/>
  <c r="P255" i="1"/>
  <c r="U254" i="1"/>
  <c r="T254" i="1" a="1"/>
  <c r="T254" i="1" s="1"/>
  <c r="S254" i="1"/>
  <c r="Q254" i="1"/>
  <c r="P254" i="1"/>
  <c r="R254" i="1" s="1"/>
  <c r="U253" i="1"/>
  <c r="T253" i="1"/>
  <c r="T253" i="1" a="1"/>
  <c r="S253" i="1"/>
  <c r="R253" i="1"/>
  <c r="Q253" i="1"/>
  <c r="P253" i="1"/>
  <c r="U252" i="1"/>
  <c r="T252" i="1"/>
  <c r="T252" i="1" a="1"/>
  <c r="S252" i="1"/>
  <c r="P252" i="1"/>
  <c r="U251" i="1"/>
  <c r="T251" i="1" a="1"/>
  <c r="T251" i="1" s="1"/>
  <c r="S251" i="1"/>
  <c r="P251" i="1"/>
  <c r="U250" i="1"/>
  <c r="T250" i="1"/>
  <c r="T250" i="1" a="1"/>
  <c r="S250" i="1"/>
  <c r="P250" i="1"/>
  <c r="Q250" i="1" s="1"/>
  <c r="R250" i="1" s="1"/>
  <c r="U249" i="1"/>
  <c r="T249" i="1"/>
  <c r="T249" i="1" a="1"/>
  <c r="S249" i="1"/>
  <c r="P249" i="1"/>
  <c r="Q249" i="1" s="1"/>
  <c r="U248" i="1"/>
  <c r="T248" i="1" a="1"/>
  <c r="T248" i="1" s="1"/>
  <c r="S248" i="1"/>
  <c r="Q248" i="1"/>
  <c r="P248" i="1"/>
  <c r="U247" i="1"/>
  <c r="T247" i="1" a="1"/>
  <c r="T247" i="1" s="1"/>
  <c r="S247" i="1"/>
  <c r="R247" i="1"/>
  <c r="Q247" i="1"/>
  <c r="P247" i="1"/>
  <c r="U246" i="1"/>
  <c r="T246" i="1" a="1"/>
  <c r="T246" i="1" s="1"/>
  <c r="S246" i="1"/>
  <c r="P246" i="1"/>
  <c r="Q246" i="1" s="1"/>
  <c r="R246" i="1" s="1"/>
  <c r="U245" i="1"/>
  <c r="T245" i="1" a="1"/>
  <c r="T245" i="1" s="1"/>
  <c r="S245" i="1"/>
  <c r="Q245" i="1"/>
  <c r="P245" i="1"/>
  <c r="U244" i="1"/>
  <c r="T244" i="1" a="1"/>
  <c r="T244" i="1" s="1"/>
  <c r="S244" i="1"/>
  <c r="R244" i="1"/>
  <c r="Q244" i="1"/>
  <c r="P244" i="1"/>
  <c r="U243" i="1"/>
  <c r="T243" i="1" a="1"/>
  <c r="T243" i="1" s="1"/>
  <c r="S243" i="1"/>
  <c r="P243" i="1"/>
  <c r="U242" i="1"/>
  <c r="T242" i="1" a="1"/>
  <c r="T242" i="1" s="1"/>
  <c r="S242" i="1"/>
  <c r="Q242" i="1"/>
  <c r="P242" i="1"/>
  <c r="U241" i="1"/>
  <c r="T241" i="1"/>
  <c r="T241" i="1" a="1"/>
  <c r="S241" i="1"/>
  <c r="Q241" i="1"/>
  <c r="R241" i="1" s="1"/>
  <c r="P241" i="1"/>
  <c r="U240" i="1"/>
  <c r="T240" i="1"/>
  <c r="T240" i="1" a="1"/>
  <c r="S240" i="1"/>
  <c r="P240" i="1"/>
  <c r="U239" i="1"/>
  <c r="T239" i="1" a="1"/>
  <c r="T239" i="1" s="1"/>
  <c r="S239" i="1"/>
  <c r="P239" i="1"/>
  <c r="U238" i="1"/>
  <c r="T238" i="1"/>
  <c r="T238" i="1" a="1"/>
  <c r="S238" i="1"/>
  <c r="R238" i="1"/>
  <c r="Q238" i="1"/>
  <c r="P238" i="1"/>
  <c r="U237" i="1"/>
  <c r="T237" i="1"/>
  <c r="T237" i="1" a="1"/>
  <c r="S237" i="1"/>
  <c r="P237" i="1"/>
  <c r="Q237" i="1" s="1"/>
  <c r="U236" i="1"/>
  <c r="T236" i="1" a="1"/>
  <c r="T236" i="1" s="1"/>
  <c r="S236" i="1"/>
  <c r="P236" i="1"/>
  <c r="U235" i="1"/>
  <c r="T235" i="1"/>
  <c r="T235" i="1" a="1"/>
  <c r="S235" i="1"/>
  <c r="R235" i="1"/>
  <c r="Q235" i="1"/>
  <c r="P235" i="1"/>
  <c r="U234" i="1"/>
  <c r="T234" i="1" a="1"/>
  <c r="T234" i="1" s="1"/>
  <c r="S234" i="1"/>
  <c r="P234" i="1"/>
  <c r="Q234" i="1" s="1"/>
  <c r="U233" i="1"/>
  <c r="T233" i="1" a="1"/>
  <c r="T233" i="1" s="1"/>
  <c r="S233" i="1"/>
  <c r="Q233" i="1"/>
  <c r="P233" i="1"/>
  <c r="R233" i="1" s="1"/>
  <c r="U232" i="1"/>
  <c r="T232" i="1" a="1"/>
  <c r="T232" i="1" s="1"/>
  <c r="S232" i="1"/>
  <c r="Q232" i="1"/>
  <c r="R232" i="1" s="1"/>
  <c r="P232" i="1"/>
  <c r="U231" i="1"/>
  <c r="T231" i="1" a="1"/>
  <c r="T231" i="1" s="1"/>
  <c r="S231" i="1"/>
  <c r="P231" i="1"/>
  <c r="U230" i="1"/>
  <c r="T230" i="1" a="1"/>
  <c r="T230" i="1" s="1"/>
  <c r="S230" i="1"/>
  <c r="Q230" i="1"/>
  <c r="P230" i="1"/>
  <c r="R230" i="1" s="1"/>
  <c r="U229" i="1"/>
  <c r="T229" i="1"/>
  <c r="T229" i="1" a="1"/>
  <c r="S229" i="1"/>
  <c r="R229" i="1"/>
  <c r="Q229" i="1"/>
  <c r="P229" i="1"/>
  <c r="U228" i="1"/>
  <c r="T228" i="1"/>
  <c r="T228" i="1" a="1"/>
  <c r="S228" i="1"/>
  <c r="P228" i="1"/>
  <c r="U227" i="1"/>
  <c r="T227" i="1" a="1"/>
  <c r="T227" i="1" s="1"/>
  <c r="S227" i="1"/>
  <c r="P227" i="1"/>
  <c r="U226" i="1"/>
  <c r="T226" i="1"/>
  <c r="T226" i="1" a="1"/>
  <c r="S226" i="1"/>
  <c r="R226" i="1"/>
  <c r="Q226" i="1"/>
  <c r="P226" i="1"/>
  <c r="U225" i="1"/>
  <c r="T225" i="1"/>
  <c r="T225" i="1" a="1"/>
  <c r="S225" i="1"/>
  <c r="R225" i="1"/>
  <c r="P225" i="1"/>
  <c r="Q225" i="1" s="1"/>
  <c r="U224" i="1"/>
  <c r="T224" i="1" a="1"/>
  <c r="T224" i="1" s="1"/>
  <c r="S224" i="1"/>
  <c r="Q224" i="1"/>
  <c r="P224" i="1"/>
  <c r="U223" i="1"/>
  <c r="T223" i="1" a="1"/>
  <c r="T223" i="1" s="1"/>
  <c r="S223" i="1"/>
  <c r="P223" i="1"/>
  <c r="Q223" i="1" s="1"/>
  <c r="R223" i="1" s="1"/>
  <c r="U222" i="1"/>
  <c r="T222" i="1" a="1"/>
  <c r="T222" i="1" s="1"/>
  <c r="S222" i="1"/>
  <c r="P222" i="1"/>
  <c r="Q222" i="1" s="1"/>
  <c r="U221" i="1"/>
  <c r="T221" i="1" a="1"/>
  <c r="T221" i="1" s="1"/>
  <c r="S221" i="1"/>
  <c r="Q221" i="1"/>
  <c r="P221" i="1"/>
  <c r="U220" i="1"/>
  <c r="T220" i="1"/>
  <c r="T220" i="1" a="1"/>
  <c r="S220" i="1"/>
  <c r="Q220" i="1"/>
  <c r="R220" i="1" s="1"/>
  <c r="P220" i="1"/>
  <c r="U219" i="1"/>
  <c r="T219" i="1" a="1"/>
  <c r="T219" i="1" s="1"/>
  <c r="S219" i="1"/>
  <c r="P219" i="1"/>
  <c r="U218" i="1"/>
  <c r="T218" i="1" a="1"/>
  <c r="T218" i="1" s="1"/>
  <c r="S218" i="1"/>
  <c r="Q218" i="1"/>
  <c r="P218" i="1"/>
  <c r="U217" i="1"/>
  <c r="T217" i="1"/>
  <c r="T217" i="1" a="1"/>
  <c r="S217" i="1"/>
  <c r="R217" i="1"/>
  <c r="Q217" i="1"/>
  <c r="P217" i="1"/>
  <c r="U216" i="1"/>
  <c r="T216" i="1"/>
  <c r="T216" i="1" a="1"/>
  <c r="S216" i="1"/>
  <c r="P216" i="1"/>
  <c r="U215" i="1"/>
  <c r="T215" i="1" a="1"/>
  <c r="T215" i="1" s="1"/>
  <c r="S215" i="1"/>
  <c r="Q215" i="1"/>
  <c r="P215" i="1"/>
  <c r="U214" i="1"/>
  <c r="T214" i="1"/>
  <c r="T214" i="1" a="1"/>
  <c r="S214" i="1"/>
  <c r="R214" i="1"/>
  <c r="Q214" i="1"/>
  <c r="P214" i="1"/>
  <c r="U213" i="1"/>
  <c r="T213" i="1"/>
  <c r="T213" i="1" a="1"/>
  <c r="S213" i="1"/>
  <c r="R213" i="1"/>
  <c r="P213" i="1"/>
  <c r="Q213" i="1" s="1"/>
  <c r="U212" i="1"/>
  <c r="T212" i="1" a="1"/>
  <c r="T212" i="1" s="1"/>
  <c r="S212" i="1"/>
  <c r="Q212" i="1"/>
  <c r="P212" i="1"/>
  <c r="U211" i="1"/>
  <c r="T211" i="1" a="1"/>
  <c r="T211" i="1" s="1"/>
  <c r="S211" i="1"/>
  <c r="R211" i="1"/>
  <c r="Q211" i="1"/>
  <c r="P211" i="1"/>
  <c r="U210" i="1"/>
  <c r="T210" i="1" a="1"/>
  <c r="T210" i="1" s="1"/>
  <c r="S210" i="1"/>
  <c r="R210" i="1"/>
  <c r="P210" i="1"/>
  <c r="Q210" i="1" s="1"/>
  <c r="U209" i="1"/>
  <c r="T209" i="1" a="1"/>
  <c r="T209" i="1" s="1"/>
  <c r="S209" i="1"/>
  <c r="Q209" i="1"/>
  <c r="P209" i="1"/>
  <c r="R209" i="1" s="1"/>
  <c r="U208" i="1"/>
  <c r="T208" i="1" a="1"/>
  <c r="T208" i="1" s="1"/>
  <c r="S208" i="1"/>
  <c r="Q208" i="1"/>
  <c r="R208" i="1" s="1"/>
  <c r="P208" i="1"/>
  <c r="U207" i="1"/>
  <c r="T207" i="1" a="1"/>
  <c r="T207" i="1" s="1"/>
  <c r="S207" i="1"/>
  <c r="P207" i="1"/>
  <c r="U206" i="1"/>
  <c r="T206" i="1" a="1"/>
  <c r="T206" i="1" s="1"/>
  <c r="S206" i="1"/>
  <c r="Q206" i="1"/>
  <c r="P206" i="1"/>
  <c r="U205" i="1"/>
  <c r="T205" i="1"/>
  <c r="T205" i="1" a="1"/>
  <c r="S205" i="1"/>
  <c r="Q205" i="1"/>
  <c r="R205" i="1" s="1"/>
  <c r="P205" i="1"/>
  <c r="U204" i="1"/>
  <c r="T204" i="1"/>
  <c r="T204" i="1" a="1"/>
  <c r="S204" i="1"/>
  <c r="P204" i="1"/>
  <c r="U203" i="1"/>
  <c r="T203" i="1" a="1"/>
  <c r="T203" i="1" s="1"/>
  <c r="S203" i="1"/>
  <c r="P203" i="1"/>
  <c r="U202" i="1"/>
  <c r="T202" i="1"/>
  <c r="T202" i="1" a="1"/>
  <c r="S202" i="1"/>
  <c r="R202" i="1"/>
  <c r="Q202" i="1"/>
  <c r="P202" i="1"/>
  <c r="U201" i="1"/>
  <c r="T201" i="1"/>
  <c r="T201" i="1" a="1"/>
  <c r="S201" i="1"/>
  <c r="P201" i="1"/>
  <c r="U200" i="1"/>
  <c r="T200" i="1" a="1"/>
  <c r="T200" i="1" s="1"/>
  <c r="S200" i="1"/>
  <c r="P200" i="1"/>
  <c r="U199" i="1"/>
  <c r="T199" i="1" a="1"/>
  <c r="T199" i="1" s="1"/>
  <c r="S199" i="1"/>
  <c r="R199" i="1"/>
  <c r="Q199" i="1"/>
  <c r="P199" i="1"/>
  <c r="U198" i="1"/>
  <c r="T198" i="1" a="1"/>
  <c r="T198" i="1" s="1"/>
  <c r="S198" i="1"/>
  <c r="P198" i="1"/>
  <c r="Q198" i="1" s="1"/>
  <c r="U197" i="1"/>
  <c r="T197" i="1" a="1"/>
  <c r="T197" i="1" s="1"/>
  <c r="S197" i="1"/>
  <c r="Q197" i="1"/>
  <c r="P197" i="1"/>
  <c r="U196" i="1"/>
  <c r="T196" i="1" a="1"/>
  <c r="T196" i="1" s="1"/>
  <c r="S196" i="1"/>
  <c r="R196" i="1"/>
  <c r="Q196" i="1"/>
  <c r="P196" i="1"/>
  <c r="U195" i="1"/>
  <c r="T195" i="1" a="1"/>
  <c r="T195" i="1" s="1"/>
  <c r="S195" i="1"/>
  <c r="P195" i="1"/>
  <c r="U194" i="1"/>
  <c r="T194" i="1" a="1"/>
  <c r="T194" i="1" s="1"/>
  <c r="S194" i="1"/>
  <c r="Q194" i="1"/>
  <c r="P194" i="1"/>
  <c r="U193" i="1"/>
  <c r="T193" i="1"/>
  <c r="T193" i="1" a="1"/>
  <c r="S193" i="1"/>
  <c r="Q193" i="1"/>
  <c r="R193" i="1" s="1"/>
  <c r="P193" i="1"/>
  <c r="U192" i="1"/>
  <c r="T192" i="1"/>
  <c r="T192" i="1" a="1"/>
  <c r="S192" i="1"/>
  <c r="P192" i="1"/>
  <c r="U191" i="1"/>
  <c r="T191" i="1" a="1"/>
  <c r="T191" i="1" s="1"/>
  <c r="S191" i="1"/>
  <c r="Q191" i="1"/>
  <c r="P191" i="1"/>
  <c r="U190" i="1"/>
  <c r="T190" i="1"/>
  <c r="T190" i="1" a="1"/>
  <c r="S190" i="1"/>
  <c r="R190" i="1"/>
  <c r="Q190" i="1"/>
  <c r="P190" i="1"/>
  <c r="U189" i="1"/>
  <c r="T189" i="1"/>
  <c r="T189" i="1" a="1"/>
  <c r="S189" i="1"/>
  <c r="P189" i="1"/>
  <c r="Q189" i="1" s="1"/>
  <c r="U188" i="1"/>
  <c r="T188" i="1" a="1"/>
  <c r="T188" i="1" s="1"/>
  <c r="S188" i="1"/>
  <c r="P188" i="1"/>
  <c r="U187" i="1"/>
  <c r="T187" i="1"/>
  <c r="T187" i="1" a="1"/>
  <c r="S187" i="1"/>
  <c r="R187" i="1"/>
  <c r="Q187" i="1"/>
  <c r="P187" i="1"/>
  <c r="U186" i="1"/>
  <c r="T186" i="1" a="1"/>
  <c r="T186" i="1" s="1"/>
  <c r="S186" i="1"/>
  <c r="P186" i="1"/>
  <c r="Q186" i="1" s="1"/>
  <c r="U185" i="1"/>
  <c r="T185" i="1" a="1"/>
  <c r="T185" i="1" s="1"/>
  <c r="S185" i="1"/>
  <c r="Q185" i="1"/>
  <c r="P185" i="1"/>
  <c r="R185" i="1" s="1"/>
  <c r="U184" i="1"/>
  <c r="T184" i="1"/>
  <c r="T184" i="1" a="1"/>
  <c r="S184" i="1"/>
  <c r="Q184" i="1"/>
  <c r="R184" i="1" s="1"/>
  <c r="P184" i="1"/>
  <c r="U183" i="1"/>
  <c r="T183" i="1" a="1"/>
  <c r="T183" i="1" s="1"/>
  <c r="S183" i="1"/>
  <c r="P183" i="1"/>
  <c r="U182" i="1"/>
  <c r="T182" i="1" a="1"/>
  <c r="T182" i="1" s="1"/>
  <c r="S182" i="1"/>
  <c r="Q182" i="1"/>
  <c r="P182" i="1"/>
  <c r="U181" i="1"/>
  <c r="T181" i="1"/>
  <c r="T181" i="1" a="1"/>
  <c r="S181" i="1"/>
  <c r="R181" i="1"/>
  <c r="Q181" i="1"/>
  <c r="P181" i="1"/>
  <c r="U180" i="1"/>
  <c r="T180" i="1"/>
  <c r="T180" i="1" a="1"/>
  <c r="S180" i="1"/>
  <c r="P180" i="1"/>
  <c r="U179" i="1"/>
  <c r="T179" i="1" a="1"/>
  <c r="T179" i="1" s="1"/>
  <c r="S179" i="1"/>
  <c r="Q179" i="1"/>
  <c r="P179" i="1"/>
  <c r="U178" i="1"/>
  <c r="T178" i="1"/>
  <c r="T178" i="1" a="1"/>
  <c r="S178" i="1"/>
  <c r="R178" i="1"/>
  <c r="P178" i="1"/>
  <c r="Q178" i="1" s="1"/>
  <c r="U177" i="1"/>
  <c r="T177" i="1"/>
  <c r="T177" i="1" a="1"/>
  <c r="S177" i="1"/>
  <c r="P177" i="1"/>
  <c r="Q177" i="1" s="1"/>
  <c r="R177" i="1" s="1"/>
  <c r="U176" i="1"/>
  <c r="T176" i="1" a="1"/>
  <c r="T176" i="1" s="1"/>
  <c r="S176" i="1"/>
  <c r="P176" i="1"/>
  <c r="U175" i="1"/>
  <c r="T175" i="1" a="1"/>
  <c r="T175" i="1" s="1"/>
  <c r="S175" i="1"/>
  <c r="R175" i="1"/>
  <c r="Q175" i="1"/>
  <c r="P175" i="1"/>
  <c r="U174" i="1"/>
  <c r="T174" i="1" a="1"/>
  <c r="T174" i="1" s="1"/>
  <c r="S174" i="1"/>
  <c r="P174" i="1"/>
  <c r="Q174" i="1" s="1"/>
  <c r="U173" i="1"/>
  <c r="T173" i="1" a="1"/>
  <c r="T173" i="1" s="1"/>
  <c r="S173" i="1"/>
  <c r="Q173" i="1"/>
  <c r="P173" i="1"/>
  <c r="U172" i="1"/>
  <c r="T172" i="1"/>
  <c r="T172" i="1" a="1"/>
  <c r="S172" i="1"/>
  <c r="R172" i="1"/>
  <c r="Q172" i="1"/>
  <c r="P172" i="1"/>
  <c r="U171" i="1"/>
  <c r="T171" i="1" a="1"/>
  <c r="T171" i="1" s="1"/>
  <c r="S171" i="1"/>
  <c r="P171" i="1"/>
  <c r="U170" i="1"/>
  <c r="T170" i="1" a="1"/>
  <c r="T170" i="1" s="1"/>
  <c r="S170" i="1"/>
  <c r="Q170" i="1"/>
  <c r="P170" i="1"/>
  <c r="R170" i="1" s="1"/>
  <c r="U169" i="1"/>
  <c r="T169" i="1"/>
  <c r="T169" i="1" a="1"/>
  <c r="S169" i="1"/>
  <c r="Q169" i="1"/>
  <c r="R169" i="1" s="1"/>
  <c r="P169" i="1"/>
  <c r="U168" i="1"/>
  <c r="T168" i="1"/>
  <c r="T168" i="1" a="1"/>
  <c r="S168" i="1"/>
  <c r="P168" i="1"/>
  <c r="U167" i="1"/>
  <c r="T167" i="1" a="1"/>
  <c r="T167" i="1" s="1"/>
  <c r="S167" i="1"/>
  <c r="Q167" i="1"/>
  <c r="P167" i="1"/>
  <c r="U166" i="1"/>
  <c r="T166" i="1"/>
  <c r="T166" i="1" a="1"/>
  <c r="S166" i="1"/>
  <c r="R166" i="1"/>
  <c r="P166" i="1"/>
  <c r="Q166" i="1" s="1"/>
  <c r="U165" i="1"/>
  <c r="T165" i="1"/>
  <c r="T165" i="1" a="1"/>
  <c r="S165" i="1"/>
  <c r="R165" i="1"/>
  <c r="P165" i="1"/>
  <c r="Q165" i="1" s="1"/>
  <c r="U164" i="1"/>
  <c r="T164" i="1" a="1"/>
  <c r="T164" i="1" s="1"/>
  <c r="S164" i="1"/>
  <c r="P164" i="1"/>
  <c r="U163" i="1"/>
  <c r="T163" i="1" a="1"/>
  <c r="T163" i="1" s="1"/>
  <c r="S163" i="1"/>
  <c r="R163" i="1"/>
  <c r="Q163" i="1"/>
  <c r="P163" i="1"/>
  <c r="U162" i="1"/>
  <c r="T162" i="1" a="1"/>
  <c r="T162" i="1" s="1"/>
  <c r="S162" i="1"/>
  <c r="P162" i="1"/>
  <c r="Q162" i="1" s="1"/>
  <c r="R162" i="1" s="1"/>
  <c r="U161" i="1"/>
  <c r="T161" i="1" a="1"/>
  <c r="T161" i="1" s="1"/>
  <c r="S161" i="1"/>
  <c r="P161" i="1"/>
  <c r="U160" i="1"/>
  <c r="T160" i="1" a="1"/>
  <c r="T160" i="1" s="1"/>
  <c r="S160" i="1"/>
  <c r="Q160" i="1"/>
  <c r="R160" i="1" s="1"/>
  <c r="P160" i="1"/>
  <c r="U159" i="1"/>
  <c r="T159" i="1"/>
  <c r="T159" i="1" a="1"/>
  <c r="S159" i="1"/>
  <c r="P159" i="1"/>
  <c r="U158" i="1"/>
  <c r="T158" i="1" a="1"/>
  <c r="T158" i="1" s="1"/>
  <c r="S158" i="1"/>
  <c r="Q158" i="1"/>
  <c r="P158" i="1"/>
  <c r="R158" i="1" s="1"/>
  <c r="U157" i="1"/>
  <c r="T157" i="1" a="1"/>
  <c r="T157" i="1" s="1"/>
  <c r="S157" i="1"/>
  <c r="Q157" i="1"/>
  <c r="R157" i="1" s="1"/>
  <c r="P157" i="1"/>
  <c r="U156" i="1"/>
  <c r="T156" i="1"/>
  <c r="T156" i="1" a="1"/>
  <c r="S156" i="1"/>
  <c r="P156" i="1"/>
  <c r="U155" i="1"/>
  <c r="T155" i="1" a="1"/>
  <c r="T155" i="1" s="1"/>
  <c r="S155" i="1"/>
  <c r="Q155" i="1"/>
  <c r="P155" i="1"/>
  <c r="R155" i="1" s="1"/>
  <c r="U154" i="1"/>
  <c r="T154" i="1"/>
  <c r="T154" i="1" a="1"/>
  <c r="S154" i="1"/>
  <c r="P154" i="1"/>
  <c r="Q154" i="1" s="1"/>
  <c r="U153" i="1"/>
  <c r="T153" i="1"/>
  <c r="T153" i="1" a="1"/>
  <c r="S153" i="1"/>
  <c r="P153" i="1"/>
  <c r="U152" i="1"/>
  <c r="T152" i="1" a="1"/>
  <c r="T152" i="1" s="1"/>
  <c r="S152" i="1"/>
  <c r="P152" i="1"/>
  <c r="U151" i="1"/>
  <c r="T151" i="1" a="1"/>
  <c r="T151" i="1" s="1"/>
  <c r="S151" i="1"/>
  <c r="R151" i="1"/>
  <c r="Q151" i="1"/>
  <c r="P151" i="1"/>
  <c r="U150" i="1"/>
  <c r="T150" i="1" a="1"/>
  <c r="T150" i="1" s="1"/>
  <c r="S150" i="1"/>
  <c r="P150" i="1"/>
  <c r="Q150" i="1" s="1"/>
  <c r="R150" i="1" s="1"/>
  <c r="U149" i="1"/>
  <c r="T149" i="1" a="1"/>
  <c r="T149" i="1" s="1"/>
  <c r="S149" i="1"/>
  <c r="P149" i="1"/>
  <c r="U148" i="1"/>
  <c r="T148" i="1" a="1"/>
  <c r="T148" i="1" s="1"/>
  <c r="S148" i="1"/>
  <c r="Q148" i="1"/>
  <c r="R148" i="1" s="1"/>
  <c r="P148" i="1"/>
  <c r="U147" i="1"/>
  <c r="T147" i="1"/>
  <c r="T147" i="1" a="1"/>
  <c r="S147" i="1"/>
  <c r="Q147" i="1"/>
  <c r="P147" i="1"/>
  <c r="R147" i="1" s="1"/>
  <c r="U146" i="1"/>
  <c r="T146" i="1" a="1"/>
  <c r="T146" i="1" s="1"/>
  <c r="S146" i="1"/>
  <c r="Q146" i="1"/>
  <c r="P146" i="1"/>
  <c r="R146" i="1" s="1"/>
  <c r="U145" i="1"/>
  <c r="T145" i="1" a="1"/>
  <c r="T145" i="1" s="1"/>
  <c r="S145" i="1"/>
  <c r="R145" i="1"/>
  <c r="Q145" i="1"/>
  <c r="P145" i="1"/>
  <c r="U144" i="1"/>
  <c r="T144" i="1"/>
  <c r="T144" i="1" a="1"/>
  <c r="S144" i="1"/>
  <c r="P144" i="1"/>
  <c r="U143" i="1"/>
  <c r="T143" i="1" a="1"/>
  <c r="T143" i="1" s="1"/>
  <c r="S143" i="1"/>
  <c r="P143" i="1"/>
  <c r="U142" i="1"/>
  <c r="T142" i="1"/>
  <c r="T142" i="1" a="1"/>
  <c r="S142" i="1"/>
  <c r="Q142" i="1"/>
  <c r="P142" i="1"/>
  <c r="U141" i="1"/>
  <c r="T141" i="1"/>
  <c r="T141" i="1" a="1"/>
  <c r="S141" i="1"/>
  <c r="P141" i="1"/>
  <c r="U140" i="1"/>
  <c r="T140" i="1" a="1"/>
  <c r="T140" i="1" s="1"/>
  <c r="S140" i="1"/>
  <c r="P140" i="1"/>
  <c r="U139" i="1"/>
  <c r="T139" i="1" a="1"/>
  <c r="T139" i="1" s="1"/>
  <c r="S139" i="1"/>
  <c r="R139" i="1"/>
  <c r="Q139" i="1"/>
  <c r="P139" i="1"/>
  <c r="U138" i="1"/>
  <c r="T138" i="1" a="1"/>
  <c r="T138" i="1" s="1"/>
  <c r="S138" i="1"/>
  <c r="P138" i="1"/>
  <c r="Q138" i="1" s="1"/>
  <c r="R138" i="1" s="1"/>
  <c r="U137" i="1"/>
  <c r="T137" i="1" a="1"/>
  <c r="T137" i="1" s="1"/>
  <c r="S137" i="1"/>
  <c r="P137" i="1"/>
  <c r="U136" i="1"/>
  <c r="T136" i="1" a="1"/>
  <c r="T136" i="1" s="1"/>
  <c r="S136" i="1"/>
  <c r="Q136" i="1"/>
  <c r="R136" i="1" s="1"/>
  <c r="P136" i="1"/>
  <c r="U135" i="1"/>
  <c r="T135" i="1"/>
  <c r="T135" i="1" a="1"/>
  <c r="S135" i="1"/>
  <c r="P135" i="1"/>
  <c r="U134" i="1"/>
  <c r="T134" i="1" a="1"/>
  <c r="T134" i="1" s="1"/>
  <c r="S134" i="1"/>
  <c r="Q134" i="1"/>
  <c r="P134" i="1"/>
  <c r="R134" i="1" s="1"/>
  <c r="U133" i="1"/>
  <c r="T133" i="1" a="1"/>
  <c r="T133" i="1" s="1"/>
  <c r="S133" i="1"/>
  <c r="R133" i="1"/>
  <c r="Q133" i="1"/>
  <c r="P133" i="1"/>
  <c r="U132" i="1"/>
  <c r="T132" i="1"/>
  <c r="T132" i="1" a="1"/>
  <c r="S132" i="1"/>
  <c r="P132" i="1"/>
  <c r="U131" i="1"/>
  <c r="T131" i="1" a="1"/>
  <c r="T131" i="1" s="1"/>
  <c r="S131" i="1"/>
  <c r="P131" i="1"/>
  <c r="U130" i="1"/>
  <c r="T130" i="1"/>
  <c r="T130" i="1" a="1"/>
  <c r="S130" i="1"/>
  <c r="Q130" i="1"/>
  <c r="P130" i="1"/>
  <c r="U129" i="1"/>
  <c r="T129" i="1"/>
  <c r="T129" i="1" a="1"/>
  <c r="S129" i="1"/>
  <c r="P129" i="1"/>
  <c r="U128" i="1"/>
  <c r="T128" i="1" a="1"/>
  <c r="T128" i="1" s="1"/>
  <c r="S128" i="1"/>
  <c r="P128" i="1"/>
  <c r="U127" i="1"/>
  <c r="T127" i="1" a="1"/>
  <c r="T127" i="1" s="1"/>
  <c r="S127" i="1"/>
  <c r="R127" i="1"/>
  <c r="Q127" i="1"/>
  <c r="P127" i="1"/>
  <c r="U126" i="1"/>
  <c r="T126" i="1" a="1"/>
  <c r="T126" i="1" s="1"/>
  <c r="S126" i="1"/>
  <c r="P126" i="1"/>
  <c r="Q126" i="1" s="1"/>
  <c r="R126" i="1" s="1"/>
  <c r="U125" i="1"/>
  <c r="T125" i="1" a="1"/>
  <c r="T125" i="1" s="1"/>
  <c r="S125" i="1"/>
  <c r="P125" i="1"/>
  <c r="U124" i="1"/>
  <c r="T124" i="1" a="1"/>
  <c r="T124" i="1" s="1"/>
  <c r="S124" i="1"/>
  <c r="Q124" i="1"/>
  <c r="R124" i="1" s="1"/>
  <c r="P124" i="1"/>
  <c r="U123" i="1"/>
  <c r="T123" i="1"/>
  <c r="T123" i="1" a="1"/>
  <c r="S123" i="1"/>
  <c r="P123" i="1"/>
  <c r="U122" i="1"/>
  <c r="T122" i="1" a="1"/>
  <c r="T122" i="1" s="1"/>
  <c r="S122" i="1"/>
  <c r="Q122" i="1"/>
  <c r="P122" i="1"/>
  <c r="R122" i="1" s="1"/>
  <c r="U121" i="1"/>
  <c r="T121" i="1" a="1"/>
  <c r="T121" i="1" s="1"/>
  <c r="S121" i="1"/>
  <c r="R121" i="1"/>
  <c r="Q121" i="1"/>
  <c r="P121" i="1"/>
  <c r="U120" i="1"/>
  <c r="T120" i="1"/>
  <c r="T120" i="1" a="1"/>
  <c r="S120" i="1"/>
  <c r="P120" i="1"/>
  <c r="U119" i="1"/>
  <c r="T119" i="1" a="1"/>
  <c r="T119" i="1" s="1"/>
  <c r="S119" i="1"/>
  <c r="P119" i="1"/>
  <c r="U118" i="1"/>
  <c r="T118" i="1"/>
  <c r="T118" i="1" a="1"/>
  <c r="S118" i="1"/>
  <c r="Q118" i="1"/>
  <c r="P118" i="1"/>
  <c r="U117" i="1"/>
  <c r="T117" i="1"/>
  <c r="T117" i="1" a="1"/>
  <c r="S117" i="1"/>
  <c r="P117" i="1"/>
  <c r="U116" i="1"/>
  <c r="T116" i="1" a="1"/>
  <c r="T116" i="1" s="1"/>
  <c r="S116" i="1"/>
  <c r="P116" i="1"/>
  <c r="U115" i="1"/>
  <c r="T115" i="1" a="1"/>
  <c r="T115" i="1" s="1"/>
  <c r="S115" i="1"/>
  <c r="R115" i="1"/>
  <c r="Q115" i="1"/>
  <c r="P115" i="1"/>
  <c r="U114" i="1"/>
  <c r="T114" i="1" a="1"/>
  <c r="T114" i="1" s="1"/>
  <c r="S114" i="1"/>
  <c r="P114" i="1"/>
  <c r="Q114" i="1" s="1"/>
  <c r="R114" i="1" s="1"/>
  <c r="U113" i="1"/>
  <c r="T113" i="1" a="1"/>
  <c r="T113" i="1" s="1"/>
  <c r="S113" i="1"/>
  <c r="P113" i="1"/>
  <c r="U112" i="1"/>
  <c r="T112" i="1" a="1"/>
  <c r="T112" i="1" s="1"/>
  <c r="S112" i="1"/>
  <c r="Q112" i="1"/>
  <c r="R112" i="1" s="1"/>
  <c r="P112" i="1"/>
  <c r="U111" i="1"/>
  <c r="T111" i="1"/>
  <c r="T111" i="1" a="1"/>
  <c r="S111" i="1"/>
  <c r="P111" i="1"/>
  <c r="U110" i="1"/>
  <c r="T110" i="1" a="1"/>
  <c r="T110" i="1" s="1"/>
  <c r="S110" i="1"/>
  <c r="Q110" i="1"/>
  <c r="P110" i="1"/>
  <c r="R110" i="1" s="1"/>
  <c r="U109" i="1"/>
  <c r="T109" i="1" a="1"/>
  <c r="T109" i="1" s="1"/>
  <c r="S109" i="1"/>
  <c r="Q109" i="1"/>
  <c r="R109" i="1" s="1"/>
  <c r="P109" i="1"/>
  <c r="U108" i="1"/>
  <c r="T108" i="1"/>
  <c r="T108" i="1" a="1"/>
  <c r="S108" i="1"/>
  <c r="P108" i="1"/>
  <c r="U107" i="1"/>
  <c r="T107" i="1" a="1"/>
  <c r="T107" i="1" s="1"/>
  <c r="S107" i="1"/>
  <c r="P107" i="1"/>
  <c r="U106" i="1"/>
  <c r="T106" i="1"/>
  <c r="T106" i="1" a="1"/>
  <c r="S106" i="1"/>
  <c r="P106" i="1"/>
  <c r="Q106" i="1" s="1"/>
  <c r="R106" i="1" s="1"/>
  <c r="U105" i="1"/>
  <c r="T105" i="1"/>
  <c r="T105" i="1" a="1"/>
  <c r="S105" i="1"/>
  <c r="P105" i="1"/>
  <c r="U104" i="1"/>
  <c r="T104" i="1" a="1"/>
  <c r="T104" i="1" s="1"/>
  <c r="S104" i="1"/>
  <c r="Q104" i="1"/>
  <c r="P104" i="1"/>
  <c r="R104" i="1" s="1"/>
  <c r="U103" i="1"/>
  <c r="T103" i="1" a="1"/>
  <c r="T103" i="1" s="1"/>
  <c r="S103" i="1"/>
  <c r="R103" i="1"/>
  <c r="Q103" i="1"/>
  <c r="P103" i="1"/>
  <c r="U102" i="1"/>
  <c r="T102" i="1" a="1"/>
  <c r="T102" i="1" s="1"/>
  <c r="S102" i="1"/>
  <c r="R102" i="1"/>
  <c r="P102" i="1"/>
  <c r="Q102" i="1" s="1"/>
  <c r="U101" i="1"/>
  <c r="T101" i="1" a="1"/>
  <c r="T101" i="1" s="1"/>
  <c r="S101" i="1"/>
  <c r="Q101" i="1"/>
  <c r="P101" i="1"/>
  <c r="U100" i="1"/>
  <c r="T100" i="1" a="1"/>
  <c r="T100" i="1" s="1"/>
  <c r="S100" i="1"/>
  <c r="Q100" i="1"/>
  <c r="R100" i="1" s="1"/>
  <c r="P100" i="1"/>
  <c r="U99" i="1"/>
  <c r="T99" i="1"/>
  <c r="T99" i="1" a="1"/>
  <c r="S99" i="1"/>
  <c r="P99" i="1"/>
  <c r="U98" i="1"/>
  <c r="T98" i="1" a="1"/>
  <c r="T98" i="1" s="1"/>
  <c r="S98" i="1"/>
  <c r="Q98" i="1"/>
  <c r="P98" i="1"/>
  <c r="R98" i="1" s="1"/>
  <c r="U97" i="1"/>
  <c r="T97" i="1" a="1"/>
  <c r="T97" i="1" s="1"/>
  <c r="S97" i="1"/>
  <c r="R97" i="1"/>
  <c r="Q97" i="1"/>
  <c r="P97" i="1"/>
  <c r="U96" i="1"/>
  <c r="T96" i="1"/>
  <c r="T96" i="1" a="1"/>
  <c r="S96" i="1"/>
  <c r="P96" i="1"/>
  <c r="U95" i="1"/>
  <c r="T95" i="1" a="1"/>
  <c r="T95" i="1" s="1"/>
  <c r="S95" i="1"/>
  <c r="Q95" i="1"/>
  <c r="P95" i="1"/>
  <c r="R95" i="1" s="1"/>
  <c r="U94" i="1"/>
  <c r="T94" i="1"/>
  <c r="T94" i="1" a="1"/>
  <c r="S94" i="1"/>
  <c r="Q94" i="1"/>
  <c r="P94" i="1"/>
  <c r="R94" i="1" s="1"/>
  <c r="U93" i="1"/>
  <c r="T93" i="1"/>
  <c r="T93" i="1" a="1"/>
  <c r="S93" i="1"/>
  <c r="P93" i="1"/>
  <c r="U92" i="1"/>
  <c r="T92" i="1" a="1"/>
  <c r="T92" i="1" s="1"/>
  <c r="S92" i="1"/>
  <c r="P92" i="1"/>
  <c r="Q92" i="1" s="1"/>
  <c r="R92" i="1" s="1"/>
  <c r="U91" i="1"/>
  <c r="T91" i="1" a="1"/>
  <c r="T91" i="1" s="1"/>
  <c r="S91" i="1"/>
  <c r="R91" i="1"/>
  <c r="Q91" i="1"/>
  <c r="P91" i="1"/>
  <c r="U90" i="1"/>
  <c r="T90" i="1" a="1"/>
  <c r="T90" i="1" s="1"/>
  <c r="S90" i="1"/>
  <c r="P90" i="1"/>
  <c r="Q90" i="1" s="1"/>
  <c r="R90" i="1" s="1"/>
  <c r="U89" i="1"/>
  <c r="T89" i="1" a="1"/>
  <c r="T89" i="1" s="1"/>
  <c r="S89" i="1"/>
  <c r="P89" i="1"/>
  <c r="U88" i="1"/>
  <c r="T88" i="1" a="1"/>
  <c r="T88" i="1" s="1"/>
  <c r="S88" i="1"/>
  <c r="Q88" i="1"/>
  <c r="R88" i="1" s="1"/>
  <c r="P88" i="1"/>
  <c r="U87" i="1"/>
  <c r="T87" i="1"/>
  <c r="T87" i="1" a="1"/>
  <c r="S87" i="1"/>
  <c r="Q87" i="1"/>
  <c r="P87" i="1"/>
  <c r="R87" i="1" s="1"/>
  <c r="U86" i="1"/>
  <c r="T86" i="1" a="1"/>
  <c r="T86" i="1" s="1"/>
  <c r="S86" i="1"/>
  <c r="Q86" i="1"/>
  <c r="P86" i="1"/>
  <c r="R86" i="1" s="1"/>
  <c r="U85" i="1"/>
  <c r="T85" i="1" a="1"/>
  <c r="T85" i="1" s="1"/>
  <c r="S85" i="1"/>
  <c r="Q85" i="1"/>
  <c r="R85" i="1" s="1"/>
  <c r="P85" i="1"/>
  <c r="U84" i="1"/>
  <c r="T84" i="1"/>
  <c r="T84" i="1" a="1"/>
  <c r="S84" i="1"/>
  <c r="P84" i="1"/>
  <c r="U83" i="1"/>
  <c r="T83" i="1" a="1"/>
  <c r="T83" i="1" s="1"/>
  <c r="S83" i="1"/>
  <c r="Q83" i="1"/>
  <c r="P83" i="1"/>
  <c r="R83" i="1" s="1"/>
  <c r="U82" i="1"/>
  <c r="T82" i="1"/>
  <c r="T82" i="1" a="1"/>
  <c r="S82" i="1"/>
  <c r="P82" i="1"/>
  <c r="Q82" i="1" s="1"/>
  <c r="R82" i="1" s="1"/>
  <c r="U81" i="1"/>
  <c r="T81" i="1"/>
  <c r="T81" i="1" a="1"/>
  <c r="S81" i="1"/>
  <c r="P81" i="1"/>
  <c r="U80" i="1"/>
  <c r="T80" i="1" a="1"/>
  <c r="T80" i="1" s="1"/>
  <c r="S80" i="1"/>
  <c r="Q80" i="1"/>
  <c r="R80" i="1" s="1"/>
  <c r="P80" i="1"/>
  <c r="U79" i="1"/>
  <c r="T79" i="1" a="1"/>
  <c r="T79" i="1" s="1"/>
  <c r="S79" i="1"/>
  <c r="R79" i="1"/>
  <c r="Q79" i="1"/>
  <c r="P79" i="1"/>
  <c r="U78" i="1"/>
  <c r="T78" i="1" a="1"/>
  <c r="T78" i="1" s="1"/>
  <c r="S78" i="1"/>
  <c r="R78" i="1"/>
  <c r="P78" i="1"/>
  <c r="Q78" i="1" s="1"/>
  <c r="U77" i="1"/>
  <c r="T77" i="1" a="1"/>
  <c r="T77" i="1" s="1"/>
  <c r="S77" i="1"/>
  <c r="Q77" i="1"/>
  <c r="P77" i="1"/>
  <c r="U76" i="1"/>
  <c r="T76" i="1" a="1"/>
  <c r="T76" i="1" s="1"/>
  <c r="S76" i="1"/>
  <c r="Q76" i="1"/>
  <c r="R76" i="1" s="1"/>
  <c r="P76" i="1"/>
  <c r="U75" i="1"/>
  <c r="T75" i="1"/>
  <c r="T75" i="1" a="1"/>
  <c r="S75" i="1"/>
  <c r="P75" i="1"/>
  <c r="U74" i="1"/>
  <c r="T74" i="1" a="1"/>
  <c r="T74" i="1" s="1"/>
  <c r="S74" i="1"/>
  <c r="Q74" i="1"/>
  <c r="P74" i="1"/>
  <c r="R74" i="1" s="1"/>
  <c r="U73" i="1"/>
  <c r="T73" i="1"/>
  <c r="T73" i="1" a="1"/>
  <c r="S73" i="1"/>
  <c r="R73" i="1"/>
  <c r="Q73" i="1"/>
  <c r="P73" i="1"/>
  <c r="U72" i="1"/>
  <c r="T72" i="1"/>
  <c r="T72" i="1" a="1"/>
  <c r="S72" i="1"/>
  <c r="P72" i="1"/>
  <c r="U71" i="1"/>
  <c r="T71" i="1"/>
  <c r="T71" i="1" a="1"/>
  <c r="S71" i="1"/>
  <c r="Q71" i="1"/>
  <c r="P71" i="1"/>
  <c r="R71" i="1" s="1"/>
  <c r="U70" i="1"/>
  <c r="T70" i="1"/>
  <c r="T70" i="1" a="1"/>
  <c r="S70" i="1"/>
  <c r="Q70" i="1"/>
  <c r="R70" i="1" s="1"/>
  <c r="P70" i="1"/>
  <c r="U69" i="1"/>
  <c r="T69" i="1"/>
  <c r="T69" i="1" a="1"/>
  <c r="S69" i="1"/>
  <c r="P69" i="1"/>
  <c r="U68" i="1"/>
  <c r="T68" i="1" a="1"/>
  <c r="T68" i="1" s="1"/>
  <c r="S68" i="1"/>
  <c r="P68" i="1"/>
  <c r="U67" i="1"/>
  <c r="T67" i="1" a="1"/>
  <c r="T67" i="1" s="1"/>
  <c r="S67" i="1"/>
  <c r="R67" i="1"/>
  <c r="Q67" i="1"/>
  <c r="P67" i="1"/>
  <c r="U66" i="1"/>
  <c r="T66" i="1" a="1"/>
  <c r="T66" i="1" s="1"/>
  <c r="S66" i="1"/>
  <c r="P66" i="1"/>
  <c r="Q66" i="1" s="1"/>
  <c r="R66" i="1" s="1"/>
  <c r="U65" i="1"/>
  <c r="T65" i="1" a="1"/>
  <c r="T65" i="1" s="1"/>
  <c r="S65" i="1"/>
  <c r="P65" i="1"/>
  <c r="U64" i="1"/>
  <c r="T64" i="1"/>
  <c r="T64" i="1" a="1"/>
  <c r="S64" i="1"/>
  <c r="Q64" i="1"/>
  <c r="R64" i="1" s="1"/>
  <c r="P64" i="1"/>
  <c r="U63" i="1"/>
  <c r="T63" i="1"/>
  <c r="T63" i="1" a="1"/>
  <c r="S63" i="1"/>
  <c r="Q63" i="1"/>
  <c r="P63" i="1"/>
  <c r="R63" i="1" s="1"/>
  <c r="U62" i="1"/>
  <c r="T62" i="1" a="1"/>
  <c r="T62" i="1" s="1"/>
  <c r="S62" i="1"/>
  <c r="Q62" i="1"/>
  <c r="P62" i="1"/>
  <c r="R62" i="1" s="1"/>
  <c r="U61" i="1"/>
  <c r="T61" i="1" a="1"/>
  <c r="T61" i="1" s="1"/>
  <c r="S61" i="1"/>
  <c r="Q61" i="1"/>
  <c r="R61" i="1" s="1"/>
  <c r="P61" i="1"/>
  <c r="U60" i="1"/>
  <c r="T60" i="1"/>
  <c r="T60" i="1" a="1"/>
  <c r="S60" i="1"/>
  <c r="P60" i="1"/>
  <c r="U59" i="1"/>
  <c r="T59" i="1" a="1"/>
  <c r="T59" i="1" s="1"/>
  <c r="S59" i="1"/>
  <c r="Q59" i="1"/>
  <c r="P59" i="1"/>
  <c r="R59" i="1" s="1"/>
  <c r="U58" i="1"/>
  <c r="T58" i="1"/>
  <c r="T58" i="1" a="1"/>
  <c r="S58" i="1"/>
  <c r="P58" i="1"/>
  <c r="Q58" i="1" s="1"/>
  <c r="U57" i="1"/>
  <c r="T57" i="1"/>
  <c r="T57" i="1" a="1"/>
  <c r="S57" i="1"/>
  <c r="P57" i="1"/>
  <c r="U56" i="1"/>
  <c r="T56" i="1" a="1"/>
  <c r="T56" i="1" s="1"/>
  <c r="S56" i="1"/>
  <c r="P56" i="1"/>
  <c r="Q56" i="1" s="1"/>
  <c r="U55" i="1"/>
  <c r="T55" i="1" a="1"/>
  <c r="T55" i="1" s="1"/>
  <c r="S55" i="1"/>
  <c r="R55" i="1"/>
  <c r="Q55" i="1"/>
  <c r="P55" i="1"/>
  <c r="U54" i="1"/>
  <c r="T54" i="1"/>
  <c r="T54" i="1" a="1"/>
  <c r="S54" i="1"/>
  <c r="P54" i="1"/>
  <c r="Q54" i="1" s="1"/>
  <c r="R54" i="1" s="1"/>
  <c r="U53" i="1"/>
  <c r="T53" i="1" a="1"/>
  <c r="T53" i="1" s="1"/>
  <c r="S53" i="1"/>
  <c r="P53" i="1"/>
  <c r="U52" i="1"/>
  <c r="T52" i="1" a="1"/>
  <c r="T52" i="1" s="1"/>
  <c r="S52" i="1"/>
  <c r="Q52" i="1"/>
  <c r="R52" i="1" s="1"/>
  <c r="P52" i="1"/>
  <c r="U51" i="1"/>
  <c r="T51" i="1"/>
  <c r="T51" i="1" a="1"/>
  <c r="S51" i="1"/>
  <c r="P51" i="1"/>
  <c r="U50" i="1"/>
  <c r="T50" i="1" a="1"/>
  <c r="T50" i="1" s="1"/>
  <c r="S50" i="1"/>
  <c r="Q50" i="1"/>
  <c r="P50" i="1"/>
  <c r="R50" i="1" s="1"/>
  <c r="U49" i="1"/>
  <c r="T49" i="1"/>
  <c r="T49" i="1" a="1"/>
  <c r="S49" i="1"/>
  <c r="Q49" i="1"/>
  <c r="R49" i="1" s="1"/>
  <c r="P49" i="1"/>
  <c r="U48" i="1"/>
  <c r="T48" i="1"/>
  <c r="T48" i="1" a="1"/>
  <c r="S48" i="1"/>
  <c r="P48" i="1"/>
  <c r="U47" i="1"/>
  <c r="T47" i="1"/>
  <c r="T47" i="1" a="1"/>
  <c r="S47" i="1"/>
  <c r="Q47" i="1"/>
  <c r="P47" i="1"/>
  <c r="R47" i="1" s="1"/>
  <c r="U46" i="1"/>
  <c r="T46" i="1"/>
  <c r="T46" i="1" a="1"/>
  <c r="S46" i="1"/>
  <c r="P46" i="1"/>
  <c r="Q46" i="1" s="1"/>
  <c r="U45" i="1"/>
  <c r="T45" i="1"/>
  <c r="T45" i="1" a="1"/>
  <c r="S45" i="1"/>
  <c r="P45" i="1"/>
  <c r="U44" i="1"/>
  <c r="T44" i="1" a="1"/>
  <c r="T44" i="1" s="1"/>
  <c r="S44" i="1"/>
  <c r="P44" i="1"/>
  <c r="Q44" i="1" s="1"/>
  <c r="U43" i="1"/>
  <c r="T43" i="1" a="1"/>
  <c r="T43" i="1" s="1"/>
  <c r="S43" i="1"/>
  <c r="R43" i="1"/>
  <c r="Q43" i="1"/>
  <c r="P43" i="1"/>
  <c r="U42" i="1"/>
  <c r="T42" i="1" a="1"/>
  <c r="T42" i="1" s="1"/>
  <c r="S42" i="1"/>
  <c r="P42" i="1"/>
  <c r="Q42" i="1" s="1"/>
  <c r="R42" i="1" s="1"/>
  <c r="U41" i="1"/>
  <c r="T41" i="1" a="1"/>
  <c r="T41" i="1" s="1"/>
  <c r="S41" i="1"/>
  <c r="Q41" i="1"/>
  <c r="P41" i="1"/>
  <c r="U40" i="1"/>
  <c r="T40" i="1"/>
  <c r="T40" i="1" a="1"/>
  <c r="S40" i="1"/>
  <c r="R40" i="1"/>
  <c r="Q40" i="1"/>
  <c r="P40" i="1"/>
  <c r="U39" i="1"/>
  <c r="T39" i="1"/>
  <c r="T39" i="1" a="1"/>
  <c r="S39" i="1"/>
  <c r="P39" i="1"/>
  <c r="U38" i="1"/>
  <c r="T38" i="1" a="1"/>
  <c r="T38" i="1" s="1"/>
  <c r="S38" i="1"/>
  <c r="Q38" i="1"/>
  <c r="P38" i="1"/>
  <c r="R38" i="1" s="1"/>
  <c r="U37" i="1"/>
  <c r="T37" i="1"/>
  <c r="T37" i="1" a="1"/>
  <c r="S37" i="1"/>
  <c r="Q37" i="1"/>
  <c r="R37" i="1" s="1"/>
  <c r="P37" i="1"/>
  <c r="U36" i="1"/>
  <c r="T36" i="1"/>
  <c r="T36" i="1" a="1"/>
  <c r="S36" i="1"/>
  <c r="P36" i="1"/>
  <c r="U35" i="1"/>
  <c r="T35" i="1"/>
  <c r="T35" i="1" a="1"/>
  <c r="S35" i="1"/>
  <c r="Q35" i="1"/>
  <c r="P35" i="1"/>
  <c r="R35" i="1" s="1"/>
  <c r="U34" i="1"/>
  <c r="T34" i="1"/>
  <c r="T34" i="1" a="1"/>
  <c r="S34" i="1"/>
  <c r="P34" i="1"/>
  <c r="Q34" i="1" s="1"/>
  <c r="U33" i="1"/>
  <c r="T33" i="1"/>
  <c r="T33" i="1" a="1"/>
  <c r="S33" i="1"/>
  <c r="P33" i="1"/>
  <c r="U32" i="1"/>
  <c r="T32" i="1" a="1"/>
  <c r="T32" i="1" s="1"/>
  <c r="S32" i="1"/>
  <c r="P32" i="1"/>
  <c r="Q32" i="1" s="1"/>
  <c r="U31" i="1"/>
  <c r="T31" i="1"/>
  <c r="T31" i="1" a="1"/>
  <c r="S31" i="1"/>
  <c r="R31" i="1"/>
  <c r="Q31" i="1"/>
  <c r="P31" i="1"/>
  <c r="U30" i="1"/>
  <c r="T30" i="1"/>
  <c r="T30" i="1" a="1"/>
  <c r="S30" i="1"/>
  <c r="P30" i="1"/>
  <c r="Q30" i="1" s="1"/>
  <c r="R30" i="1" s="1"/>
  <c r="U29" i="1"/>
  <c r="T29" i="1" a="1"/>
  <c r="T29" i="1" s="1"/>
  <c r="S29" i="1"/>
  <c r="P29" i="1"/>
  <c r="U28" i="1"/>
  <c r="T28" i="1" a="1"/>
  <c r="T28" i="1" s="1"/>
  <c r="S28" i="1"/>
  <c r="R28" i="1"/>
  <c r="Q28" i="1"/>
  <c r="P28" i="1"/>
  <c r="U27" i="1"/>
  <c r="T27" i="1"/>
  <c r="T27" i="1" a="1"/>
  <c r="S27" i="1"/>
  <c r="Q27" i="1"/>
  <c r="P27" i="1"/>
  <c r="R27" i="1" s="1"/>
  <c r="U26" i="1"/>
  <c r="T26" i="1" a="1"/>
  <c r="T26" i="1" s="1"/>
  <c r="S26" i="1"/>
  <c r="Q26" i="1"/>
  <c r="P26" i="1"/>
  <c r="R26" i="1" s="1"/>
  <c r="U25" i="1"/>
  <c r="T25" i="1" a="1"/>
  <c r="T25" i="1" s="1"/>
  <c r="S25" i="1"/>
  <c r="Q25" i="1"/>
  <c r="R25" i="1" s="1"/>
  <c r="P25" i="1"/>
  <c r="U24" i="1"/>
  <c r="T24" i="1"/>
  <c r="T24" i="1" a="1"/>
  <c r="S24" i="1"/>
  <c r="P24" i="1"/>
  <c r="U23" i="1"/>
  <c r="T23" i="1" a="1"/>
  <c r="T23" i="1" s="1"/>
  <c r="S23" i="1"/>
  <c r="Q23" i="1"/>
  <c r="P23" i="1"/>
  <c r="R23" i="1" s="1"/>
  <c r="U22" i="1"/>
  <c r="T22" i="1"/>
  <c r="T22" i="1" a="1"/>
  <c r="S22" i="1"/>
  <c r="P22" i="1"/>
  <c r="U21" i="1"/>
  <c r="T21" i="1"/>
  <c r="T21" i="1" a="1"/>
  <c r="S21" i="1"/>
  <c r="P21" i="1"/>
  <c r="U20" i="1"/>
  <c r="T20" i="1" a="1"/>
  <c r="T20" i="1" s="1"/>
  <c r="S20" i="1"/>
  <c r="P20" i="1"/>
  <c r="U19" i="1"/>
  <c r="T19" i="1"/>
  <c r="T19" i="1" a="1"/>
  <c r="S19" i="1"/>
  <c r="R19" i="1"/>
  <c r="Q19" i="1"/>
  <c r="P19" i="1"/>
  <c r="U18" i="1"/>
  <c r="T18" i="1" a="1"/>
  <c r="T18" i="1" s="1"/>
  <c r="S18" i="1"/>
  <c r="P18" i="1"/>
  <c r="Q18" i="1" s="1"/>
  <c r="R18" i="1" s="1"/>
  <c r="U17" i="1"/>
  <c r="T17" i="1" a="1"/>
  <c r="T17" i="1" s="1"/>
  <c r="S17" i="1"/>
  <c r="P17" i="1"/>
  <c r="U16" i="1"/>
  <c r="T16" i="1"/>
  <c r="T16" i="1" a="1"/>
  <c r="S16" i="1"/>
  <c r="R16" i="1"/>
  <c r="Q16" i="1"/>
  <c r="P16" i="1"/>
  <c r="U15" i="1"/>
  <c r="T15" i="1"/>
  <c r="T15" i="1" a="1"/>
  <c r="S15" i="1"/>
  <c r="P15" i="1"/>
  <c r="U14" i="1"/>
  <c r="T14" i="1" a="1"/>
  <c r="T14" i="1" s="1"/>
  <c r="S14" i="1"/>
  <c r="Q14" i="1"/>
  <c r="P14" i="1"/>
  <c r="R14" i="1" s="1"/>
  <c r="U13" i="1"/>
  <c r="T13" i="1"/>
  <c r="T13" i="1" a="1"/>
  <c r="S13" i="1"/>
  <c r="R13" i="1"/>
  <c r="Q13" i="1"/>
  <c r="P13" i="1"/>
  <c r="U12" i="1"/>
  <c r="T12" i="1"/>
  <c r="T12" i="1" a="1"/>
  <c r="S12" i="1"/>
  <c r="P12" i="1"/>
  <c r="U11" i="1"/>
  <c r="T11" i="1"/>
  <c r="T11" i="1" a="1"/>
  <c r="S11" i="1"/>
  <c r="Q11" i="1"/>
  <c r="P11" i="1"/>
  <c r="R11" i="1" s="1"/>
  <c r="U10" i="1"/>
  <c r="T10" i="1"/>
  <c r="T10" i="1" a="1"/>
  <c r="S10" i="1"/>
  <c r="Q10" i="1"/>
  <c r="R10" i="1" s="1"/>
  <c r="P10" i="1"/>
  <c r="U9" i="1"/>
  <c r="T9" i="1"/>
  <c r="T9" i="1" a="1"/>
  <c r="S9" i="1"/>
  <c r="P9" i="1"/>
  <c r="U8" i="1"/>
  <c r="T8" i="1" a="1"/>
  <c r="T8" i="1" s="1"/>
  <c r="S8" i="1"/>
  <c r="P8" i="1"/>
  <c r="Q8" i="1" s="1"/>
  <c r="U7" i="1"/>
  <c r="T7" i="1"/>
  <c r="T7" i="1" a="1"/>
  <c r="S7" i="1"/>
  <c r="R7" i="1"/>
  <c r="Q7" i="1"/>
  <c r="P7" i="1"/>
  <c r="U6" i="1"/>
  <c r="T6" i="1" a="1"/>
  <c r="T6" i="1" s="1"/>
  <c r="S6" i="1"/>
  <c r="R6" i="1"/>
  <c r="P6" i="1"/>
  <c r="Q6" i="1" s="1"/>
  <c r="U5" i="1"/>
  <c r="T5" i="1" a="1"/>
  <c r="T5" i="1" s="1"/>
  <c r="S5" i="1"/>
  <c r="Q5" i="1"/>
  <c r="P5" i="1"/>
  <c r="U4" i="1"/>
  <c r="T4" i="1" a="1"/>
  <c r="T4" i="1" s="1"/>
  <c r="S4" i="1"/>
  <c r="R4" i="1"/>
  <c r="Q4" i="1"/>
  <c r="P4" i="1"/>
  <c r="U3" i="1"/>
  <c r="T3" i="1"/>
  <c r="T3" i="1" a="1"/>
  <c r="S3" i="1"/>
  <c r="Q3" i="1"/>
  <c r="P3" i="1"/>
  <c r="R3" i="1" s="1"/>
  <c r="U2" i="1"/>
  <c r="T2" i="1" a="1"/>
  <c r="T2" i="1" s="1"/>
  <c r="S2" i="1"/>
  <c r="Q2" i="1"/>
  <c r="P2" i="1"/>
  <c r="R111" i="1" l="1"/>
  <c r="R128" i="1"/>
  <c r="R39" i="1"/>
  <c r="R75" i="1"/>
  <c r="R20" i="1"/>
  <c r="R159" i="1"/>
  <c r="R12" i="1"/>
  <c r="Q12" i="1"/>
  <c r="R72" i="1"/>
  <c r="Q72" i="1"/>
  <c r="Q459" i="1"/>
  <c r="R459" i="1"/>
  <c r="Q68" i="1"/>
  <c r="R68" i="1" s="1"/>
  <c r="R8" i="1"/>
  <c r="R58" i="1"/>
  <c r="R34" i="1"/>
  <c r="R46" i="1"/>
  <c r="R56" i="1"/>
  <c r="R120" i="1"/>
  <c r="Q135" i="1"/>
  <c r="R135" i="1" s="1"/>
  <c r="Q137" i="1"/>
  <c r="R137" i="1" s="1"/>
  <c r="Q152" i="1"/>
  <c r="R152" i="1" s="1"/>
  <c r="Q201" i="1"/>
  <c r="R201" i="1"/>
  <c r="R260" i="1"/>
  <c r="Q336" i="1"/>
  <c r="R336" i="1" s="1"/>
  <c r="Q408" i="1"/>
  <c r="R408" i="1" s="1"/>
  <c r="R444" i="1"/>
  <c r="Q444" i="1"/>
  <c r="R486" i="1"/>
  <c r="R32" i="1"/>
  <c r="R44" i="1"/>
  <c r="Q99" i="1"/>
  <c r="R99" i="1" s="1"/>
  <c r="R101" i="1"/>
  <c r="R118" i="1"/>
  <c r="R194" i="1"/>
  <c r="R224" i="1"/>
  <c r="Q260" i="1"/>
  <c r="Q267" i="1"/>
  <c r="R267" i="1" s="1"/>
  <c r="R141" i="1"/>
  <c r="Q20" i="1"/>
  <c r="Q239" i="1"/>
  <c r="R239" i="1" s="1"/>
  <c r="R192" i="1"/>
  <c r="Q192" i="1"/>
  <c r="Q303" i="1"/>
  <c r="R303" i="1" s="1"/>
  <c r="R359" i="1"/>
  <c r="R5" i="1"/>
  <c r="Q15" i="1"/>
  <c r="R15" i="1" s="1"/>
  <c r="Q75" i="1"/>
  <c r="R77" i="1"/>
  <c r="Q89" i="1"/>
  <c r="R89" i="1" s="1"/>
  <c r="Q116" i="1"/>
  <c r="R116" i="1" s="1"/>
  <c r="R142" i="1"/>
  <c r="Q159" i="1"/>
  <c r="Q161" i="1"/>
  <c r="R161" i="1"/>
  <c r="R179" i="1"/>
  <c r="R215" i="1"/>
  <c r="R357" i="1"/>
  <c r="Q359" i="1"/>
  <c r="R368" i="1"/>
  <c r="Q399" i="1"/>
  <c r="R399" i="1"/>
  <c r="R429" i="1"/>
  <c r="Q438" i="1"/>
  <c r="R438" i="1" s="1"/>
  <c r="R143" i="1"/>
  <c r="Q171" i="1"/>
  <c r="R171" i="1" s="1"/>
  <c r="Q22" i="1"/>
  <c r="R22" i="1" s="1"/>
  <c r="Q111" i="1"/>
  <c r="R154" i="1"/>
  <c r="R144" i="1"/>
  <c r="Q308" i="1"/>
  <c r="R308" i="1" s="1"/>
  <c r="R188" i="1"/>
  <c r="Q288" i="1"/>
  <c r="R288" i="1" s="1"/>
  <c r="R299" i="1"/>
  <c r="Q327" i="1"/>
  <c r="R327" i="1"/>
  <c r="R473" i="1"/>
  <c r="Q113" i="1"/>
  <c r="R113" i="1" s="1"/>
  <c r="Q128" i="1"/>
  <c r="R488" i="1"/>
  <c r="R228" i="1"/>
  <c r="Q228" i="1"/>
  <c r="R237" i="1"/>
  <c r="Q372" i="1"/>
  <c r="R372" i="1" s="1"/>
  <c r="R107" i="1"/>
  <c r="R131" i="1"/>
  <c r="R431" i="1"/>
  <c r="Q440" i="1"/>
  <c r="R440" i="1" s="1"/>
  <c r="Q480" i="1"/>
  <c r="R480" i="1" s="1"/>
  <c r="Q17" i="1"/>
  <c r="R17" i="1" s="1"/>
  <c r="R33" i="1"/>
  <c r="Q39" i="1"/>
  <c r="Q51" i="1"/>
  <c r="R51" i="1" s="1"/>
  <c r="Q65" i="1"/>
  <c r="R65" i="1" s="1"/>
  <c r="Q123" i="1"/>
  <c r="R123" i="1" s="1"/>
  <c r="Q125" i="1"/>
  <c r="R125" i="1"/>
  <c r="Q140" i="1"/>
  <c r="R140" i="1" s="1"/>
  <c r="R186" i="1"/>
  <c r="Q188" i="1"/>
  <c r="R222" i="1"/>
  <c r="Q252" i="1"/>
  <c r="R252" i="1" s="1"/>
  <c r="R297" i="1"/>
  <c r="R393" i="1"/>
  <c r="Q471" i="1"/>
  <c r="R471" i="1"/>
  <c r="R452" i="1"/>
  <c r="Q24" i="1"/>
  <c r="R24" i="1" s="1"/>
  <c r="R450" i="1"/>
  <c r="Q29" i="1"/>
  <c r="R29" i="1" s="1"/>
  <c r="R41" i="1"/>
  <c r="Q53" i="1"/>
  <c r="R53" i="1" s="1"/>
  <c r="R245" i="1"/>
  <c r="Q395" i="1"/>
  <c r="R395" i="1" s="1"/>
  <c r="Q96" i="1"/>
  <c r="R96" i="1" s="1"/>
  <c r="R119" i="1"/>
  <c r="Q149" i="1"/>
  <c r="R149" i="1" s="1"/>
  <c r="R275" i="1"/>
  <c r="Q323" i="1"/>
  <c r="R323" i="1" s="1"/>
  <c r="Q387" i="1"/>
  <c r="R387" i="1"/>
  <c r="Q321" i="1"/>
  <c r="R321" i="1"/>
  <c r="Q60" i="1"/>
  <c r="R60" i="1" s="1"/>
  <c r="Q36" i="1"/>
  <c r="R36" i="1" s="1"/>
  <c r="Q48" i="1"/>
  <c r="R48" i="1" s="1"/>
  <c r="R312" i="1"/>
  <c r="Q312" i="1"/>
  <c r="Q381" i="1"/>
  <c r="R381" i="1" s="1"/>
  <c r="R84" i="1"/>
  <c r="Q84" i="1"/>
  <c r="R117" i="1"/>
  <c r="R130" i="1"/>
  <c r="Q164" i="1"/>
  <c r="R164" i="1" s="1"/>
  <c r="R173" i="1"/>
  <c r="Q207" i="1"/>
  <c r="R207" i="1"/>
  <c r="Q243" i="1"/>
  <c r="R243" i="1"/>
  <c r="R273" i="1"/>
  <c r="Q275" i="1"/>
  <c r="R284" i="1"/>
  <c r="R344" i="1"/>
  <c r="Q351" i="1"/>
  <c r="R351" i="1" s="1"/>
  <c r="R416" i="1"/>
  <c r="Q423" i="1"/>
  <c r="R423" i="1"/>
  <c r="Q467" i="1"/>
  <c r="R467" i="1" s="1"/>
  <c r="Q108" i="1"/>
  <c r="R108" i="1" s="1"/>
  <c r="Q120" i="1"/>
  <c r="Q132" i="1"/>
  <c r="R132" i="1" s="1"/>
  <c r="Q144" i="1"/>
  <c r="Q156" i="1"/>
  <c r="R156" i="1" s="1"/>
  <c r="R167" i="1"/>
  <c r="Q180" i="1"/>
  <c r="R180" i="1" s="1"/>
  <c r="R182" i="1"/>
  <c r="R197" i="1"/>
  <c r="Q203" i="1"/>
  <c r="R203" i="1" s="1"/>
  <c r="R216" i="1"/>
  <c r="Q216" i="1"/>
  <c r="R218" i="1"/>
  <c r="Q231" i="1"/>
  <c r="R231" i="1" s="1"/>
  <c r="R248" i="1"/>
  <c r="R263" i="1"/>
  <c r="Q276" i="1"/>
  <c r="R276" i="1" s="1"/>
  <c r="R278" i="1"/>
  <c r="Q291" i="1"/>
  <c r="R291" i="1" s="1"/>
  <c r="R306" i="1"/>
  <c r="R347" i="1"/>
  <c r="R360" i="1"/>
  <c r="Q360" i="1"/>
  <c r="Q375" i="1"/>
  <c r="R375" i="1" s="1"/>
  <c r="Q383" i="1"/>
  <c r="R383" i="1" s="1"/>
  <c r="R402" i="1"/>
  <c r="R404" i="1"/>
  <c r="R419" i="1"/>
  <c r="Q432" i="1"/>
  <c r="R432" i="1" s="1"/>
  <c r="P502" i="1"/>
  <c r="Q195" i="1"/>
  <c r="R195" i="1"/>
  <c r="R212" i="1"/>
  <c r="R261" i="1"/>
  <c r="Q315" i="1"/>
  <c r="R315" i="1"/>
  <c r="R330" i="1"/>
  <c r="Q332" i="1"/>
  <c r="R332" i="1" s="1"/>
  <c r="R345" i="1"/>
  <c r="Q347" i="1"/>
  <c r="Q404" i="1"/>
  <c r="R417" i="1"/>
  <c r="Q419" i="1"/>
  <c r="R453" i="1"/>
  <c r="Q455" i="1"/>
  <c r="R455" i="1" s="1"/>
  <c r="R474" i="1"/>
  <c r="Q476" i="1"/>
  <c r="R476" i="1" s="1"/>
  <c r="R491" i="1"/>
  <c r="R176" i="1"/>
  <c r="Q300" i="1"/>
  <c r="R300" i="1" s="1"/>
  <c r="R356" i="1"/>
  <c r="R371" i="1"/>
  <c r="Q396" i="1"/>
  <c r="R396" i="1" s="1"/>
  <c r="Q447" i="1"/>
  <c r="R447" i="1"/>
  <c r="Q468" i="1"/>
  <c r="R468" i="1" s="1"/>
  <c r="R2" i="1"/>
  <c r="Q9" i="1"/>
  <c r="R9" i="1" s="1"/>
  <c r="Q21" i="1"/>
  <c r="R21" i="1" s="1"/>
  <c r="Q33" i="1"/>
  <c r="Q45" i="1"/>
  <c r="R45" i="1" s="1"/>
  <c r="Q57" i="1"/>
  <c r="R57" i="1" s="1"/>
  <c r="Q69" i="1"/>
  <c r="R69" i="1" s="1"/>
  <c r="Q81" i="1"/>
  <c r="R81" i="1" s="1"/>
  <c r="Q93" i="1"/>
  <c r="R93" i="1" s="1"/>
  <c r="Q105" i="1"/>
  <c r="R105" i="1" s="1"/>
  <c r="Q117" i="1"/>
  <c r="Q129" i="1"/>
  <c r="R129" i="1" s="1"/>
  <c r="Q141" i="1"/>
  <c r="Q153" i="1"/>
  <c r="R153" i="1" s="1"/>
  <c r="R174" i="1"/>
  <c r="Q176" i="1"/>
  <c r="R189" i="1"/>
  <c r="R191" i="1"/>
  <c r="Q227" i="1"/>
  <c r="R227" i="1" s="1"/>
  <c r="Q240" i="1"/>
  <c r="R240" i="1" s="1"/>
  <c r="R242" i="1"/>
  <c r="Q255" i="1"/>
  <c r="R255" i="1"/>
  <c r="R270" i="1"/>
  <c r="Q272" i="1"/>
  <c r="R272" i="1" s="1"/>
  <c r="R285" i="1"/>
  <c r="Q287" i="1"/>
  <c r="R287" i="1" s="1"/>
  <c r="R311" i="1"/>
  <c r="Q324" i="1"/>
  <c r="R324" i="1" s="1"/>
  <c r="R326" i="1"/>
  <c r="Q339" i="1"/>
  <c r="R339" i="1"/>
  <c r="R354" i="1"/>
  <c r="Q356" i="1"/>
  <c r="R369" i="1"/>
  <c r="Q371" i="1"/>
  <c r="R390" i="1"/>
  <c r="R392" i="1"/>
  <c r="Q411" i="1"/>
  <c r="R411" i="1" s="1"/>
  <c r="R426" i="1"/>
  <c r="Q428" i="1"/>
  <c r="R428" i="1" s="1"/>
  <c r="R464" i="1"/>
  <c r="Q483" i="1"/>
  <c r="R483" i="1" s="1"/>
  <c r="R485" i="1"/>
  <c r="R496" i="1"/>
  <c r="Q204" i="1"/>
  <c r="R204" i="1" s="1"/>
  <c r="R206" i="1"/>
  <c r="R221" i="1"/>
  <c r="R236" i="1"/>
  <c r="R296" i="1"/>
  <c r="R365" i="1"/>
  <c r="Q384" i="1"/>
  <c r="R384" i="1" s="1"/>
  <c r="R386" i="1"/>
  <c r="R443" i="1"/>
  <c r="Q107" i="1"/>
  <c r="Q119" i="1"/>
  <c r="Q131" i="1"/>
  <c r="Q143" i="1"/>
  <c r="R168" i="1"/>
  <c r="Q168" i="1"/>
  <c r="Q183" i="1"/>
  <c r="R183" i="1"/>
  <c r="R200" i="1"/>
  <c r="Q219" i="1"/>
  <c r="R219" i="1" s="1"/>
  <c r="R234" i="1"/>
  <c r="Q236" i="1"/>
  <c r="R264" i="1"/>
  <c r="Q264" i="1"/>
  <c r="Q279" i="1"/>
  <c r="R279" i="1" s="1"/>
  <c r="R294" i="1"/>
  <c r="R335" i="1"/>
  <c r="R348" i="1"/>
  <c r="Q348" i="1"/>
  <c r="Q363" i="1"/>
  <c r="R363" i="1" s="1"/>
  <c r="R407" i="1"/>
  <c r="Q420" i="1"/>
  <c r="R420" i="1" s="1"/>
  <c r="Q435" i="1"/>
  <c r="R435" i="1" s="1"/>
  <c r="Q456" i="1"/>
  <c r="R456" i="1" s="1"/>
  <c r="R479" i="1"/>
  <c r="R198" i="1"/>
  <c r="Q200" i="1"/>
  <c r="R249" i="1"/>
  <c r="Q251" i="1"/>
  <c r="R251" i="1" s="1"/>
  <c r="R305" i="1"/>
  <c r="R318" i="1"/>
  <c r="Q320" i="1"/>
  <c r="R320" i="1" s="1"/>
  <c r="R333" i="1"/>
  <c r="Q335" i="1"/>
  <c r="R378" i="1"/>
  <c r="Q380" i="1"/>
  <c r="R380" i="1" s="1"/>
  <c r="R401" i="1"/>
  <c r="R405" i="1"/>
  <c r="Q407" i="1"/>
  <c r="R477" i="1"/>
  <c r="Q479" i="1"/>
  <c r="R492" i="1"/>
  <c r="Q492" i="1"/>
  <c r="R499" i="1"/>
  <c r="Q499" i="1"/>
  <c r="X501" i="1"/>
  <c r="X50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<sst xmlns="http://schemas.openxmlformats.org/spreadsheetml/2006/main" count="3542" uniqueCount="97">
  <si>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</si>
  <si>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</si>
  <si>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</si>
  <si>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</si>
  <si>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</si>
  <si>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</si>
  <si>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</si>
  <si>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</si>
  <si>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</si>
  <si>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</si>
  <si>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</si>
  <si>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</si>
  <si>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</si>
  <si>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</si>
  <si>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Net Sales</t>
  </si>
  <si>
    <t>Total Price</t>
  </si>
  <si>
    <t>Discount Ammount</t>
  </si>
  <si>
    <t>Price after Discount</t>
  </si>
  <si>
    <t>Sell_Status</t>
  </si>
  <si>
    <t>Sell_Status1</t>
  </si>
  <si>
    <t>Sell_Status2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</si>
  <si>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</si>
  <si>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</si>
  <si>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</si>
  <si>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</si>
  <si>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</si>
  <si>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</si>
  <si>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</si>
  <si>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</si>
  <si>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</si>
  <si>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</si>
  <si>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</si>
  <si>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</si>
  <si>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</si>
  <si>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</si>
  <si>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</si>
  <si>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</si>
  <si>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</si>
  <si>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</si>
  <si>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</si>
  <si>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</si>
  <si>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</si>
  <si>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</si>
  <si>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</si>
  <si>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</si>
  <si>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</si>
  <si>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</si>
  <si>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</si>
  <si>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</si>
  <si>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</si>
  <si>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</si>
  <si>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</si>
  <si>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</si>
  <si>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</si>
  <si>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</si>
  <si>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</si>
  <si>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</si>
  <si>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</si>
  <si>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</si>
  <si>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</si>
  <si>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</si>
  <si>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</si>
  <si>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</si>
  <si>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</si>
  <si>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</si>
  <si>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</si>
  <si>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</si>
  <si>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</si>
  <si>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</si>
  <si>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</si>
  <si>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</si>
  <si>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</si>
  <si>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</si>
  <si>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</si>
  <si>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</si>
  <si>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</si>
  <si>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1.If Discount% is greater than 10% display Heavy Discount other wiseNormal Discount</t>
  </si>
  <si>
    <t>2.Classify cells into three categories,if net sale&gt;=7000 then it wil be "Execelent",if net sale&gt;=4000 show "Good", otherwise "Average"</t>
  </si>
  <si>
    <t>3.Find total net sells for Electronic Categories sumif</t>
  </si>
  <si>
    <t>4.Find total net sell where product category="Electronics" and cell chanels="Website" sumifs</t>
  </si>
  <si>
    <t>5.Count the number of Beauty product(Category)</t>
  </si>
  <si>
    <t>6.Count order where discount% is greater than 15%</t>
  </si>
  <si>
    <t>Count_1(5)</t>
  </si>
  <si>
    <t>Sell of Electronic Categories(3)</t>
  </si>
  <si>
    <t>Net sell_2(4)</t>
  </si>
  <si>
    <t>Count_2(6)</t>
  </si>
  <si>
    <t>Count_3(7)</t>
  </si>
  <si>
    <t>7.Count electronics orders sold Cash on Delivery</t>
  </si>
  <si>
    <t>Discount_1(1)</t>
  </si>
  <si>
    <t>Discount_2(2)</t>
  </si>
  <si>
    <t>Discount_3(2)</t>
  </si>
  <si>
    <t>8.Display Eligible if the net sell&gt;5000 and discount&lt;10%</t>
  </si>
  <si>
    <t>9.Display online if the cellls channel is not market place</t>
  </si>
  <si>
    <t>Status(8)</t>
  </si>
  <si>
    <t>Not Market Place(9)</t>
  </si>
  <si>
    <t>Priority/Normal Order(10)</t>
  </si>
  <si>
    <t>10.If net sale&gt;7000 or unit sold&gt;5 then it will display "priority order" or otherwise "Normal Order"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</si>
</sst>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FAFE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4909A"/>
        <bgColor indexed="64"/>
      </patternFill>
    </fill>
    <fill>
      <patternFill patternType="solid">
        <fgColor rgb="FFFF669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0" fontId="2" fillId="2" borderId="5" xfId="0" applyFont="1" applyFill="1" applyBorder="1"/>
    <xf numFmtId="0" fontId="0" fillId="2" borderId="6" xfId="0" applyFill="1" applyBorder="1"/>
    <xf numFmtId="0" fontId="1" fillId="3" borderId="7" xfId="0" applyFont="1" applyFill="1" applyBorder="1"/>
    <xf numFmtId="0" fontId="0" fillId="3" borderId="8" xfId="0" applyFill="1" applyBorder="1"/>
    <xf numFmtId="0" fontId="1" fillId="5" borderId="3" xfId="0" applyFont="1" applyFill="1" applyBorder="1"/>
    <xf numFmtId="0" fontId="1" fillId="5" borderId="4" xfId="0" applyFont="1" applyFill="1" applyBorder="1"/>
    <xf numFmtId="0" fontId="1" fillId="4" borderId="9" xfId="0" applyFont="1" applyFill="1" applyBorder="1"/>
    <xf numFmtId="0" fontId="0" fillId="4" borderId="10" xfId="0" applyFill="1" applyBorder="1"/>
    <xf numFmtId="0" fontId="1" fillId="8" borderId="1" xfId="0" applyFont="1" applyFill="1" applyBorder="1"/>
    <xf numFmtId="0" fontId="0" fillId="8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1" fillId="10" borderId="1" xfId="0" applyFont="1" applyFill="1" applyBorder="1"/>
    <xf numFmtId="0" fontId="0" fillId="10" borderId="1" xfId="0" applyFill="1" applyBorder="1"/>
    <xf numFmtId="0" fontId="3" fillId="7" borderId="0" xfId="0" applyFont="1" applyFill="1"/>
    <xf numFmtId="0" fontId="1" fillId="6" borderId="5" xfId="0" applyFont="1" applyFill="1" applyBorder="1"/>
    <xf numFmtId="0" fontId="1" fillId="6" borderId="6" xfId="0" applyFont="1" applyFill="1" applyBorder="1"/>
    <xf numFmtId="0" fontId="1" fillId="11" borderId="1" xfId="0" applyFont="1" applyFill="1" applyBorder="1"/>
    <xf numFmtId="0" fontId="0" fillId="11" borderId="1" xfId="0" applyFill="1" applyBorder="1"/>
    <xf numFmtId="0" fontId="0" fillId="12" borderId="1" xfId="0" applyFill="1" applyBorder="1"/>
    <xf numFmtId="0" fontId="1" fillId="12" borderId="1" xfId="0" applyFont="1" applyFill="1" applyBorder="1"/>
    <xf numFmtId="0" fontId="1" fillId="13" borderId="1" xfId="0" applyFont="1" applyFill="1" applyBorder="1"/>
    <xf numFmtId="0" fontId="0" fillId="1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99"/>
      <color rgb="FFFF3399"/>
      <color rgb="FF66FFFF"/>
      <color rgb="FF14909A"/>
      <color rgb="FFCFA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2"/>
  <sheetViews>
    <sheetView tabSelected="1" topLeftCell="B1" zoomScale="86" workbookViewId="0">
      <selection activeCell="AH24" sqref="AH24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886718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" bestFit="1" customWidth="1"/>
    <col min="16" max="16" width="11" bestFit="1" customWidth="1"/>
    <col min="17" max="18" width="17.5546875" bestFit="1" customWidth="1"/>
    <col min="19" max="19" width="10.109375" bestFit="1" customWidth="1"/>
    <col min="20" max="21" width="11.109375" bestFit="1" customWidth="1"/>
    <col min="22" max="22" width="14.88671875" bestFit="1" customWidth="1"/>
    <col min="23" max="24" width="12.6640625" bestFit="1" customWidth="1"/>
    <col min="25" max="25" width="27.33203125" bestFit="1" customWidth="1"/>
    <col min="26" max="26" width="11.5546875" bestFit="1" customWidth="1"/>
    <col min="27" max="29" width="10.44140625" bestFit="1" customWidth="1"/>
    <col min="30" max="30" width="10.33203125" bestFit="1" customWidth="1"/>
    <col min="31" max="31" width="19" bestFit="1" customWidth="1"/>
    <col min="32" max="32" width="24.5546875" bestFit="1" customWidth="1"/>
    <col min="34" max="34" width="120.5546875" bestFit="1" customWidth="1"/>
  </cols>
  <sheetData>
    <row r="1" spans="1:3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3" t="s">
        <v>88</v>
      </c>
      <c r="W1" s="15" t="s">
        <v>89</v>
      </c>
      <c r="X1" s="17" t="s">
        <v>90</v>
      </c>
      <c r="Y1" s="11" t="s">
        <v>83</v>
      </c>
      <c r="Z1" s="5" t="s">
        <v>84</v>
      </c>
      <c r="AA1" s="7" t="s">
        <v>82</v>
      </c>
      <c r="AB1" s="9" t="s">
        <v>85</v>
      </c>
      <c r="AC1" s="20" t="s">
        <v>86</v>
      </c>
      <c r="AD1" s="22" t="s">
        <v>93</v>
      </c>
      <c r="AE1" s="25" t="s">
        <v>94</v>
      </c>
      <c r="AF1" s="26" t="s">
        <v>95</v>
      </c>
    </row>
    <row r="2" spans="1:34" ht="15" thickBot="1" x14ac:dyDescent="0.35">
      <c r="A2" s="2">
        <v>10001</v>
      </c>
      <c r="B2" s="2">
        <v>1102</v>
      </c>
      <c r="C2" s="3">
        <v>45197</v>
      </c>
      <c r="D2" s="3">
        <v>45203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>
        <v>7</v>
      </c>
      <c r="M2" s="2">
        <v>2843.87</v>
      </c>
      <c r="N2" s="2">
        <v>0</v>
      </c>
      <c r="O2" s="2">
        <v>19907.09</v>
      </c>
      <c r="P2" s="2">
        <f>M2*L2</f>
        <v>19907.09</v>
      </c>
      <c r="Q2" s="2">
        <f>P2*N2%</f>
        <v>0</v>
      </c>
      <c r="R2" s="2">
        <f>P2-Q2</f>
        <v>19907.09</v>
      </c>
      <c r="S2" s="2" t="str">
        <f>IF(L2&gt;=5,"High","Low")</f>
        <v>High</v>
      </c>
      <c r="T2" s="2" t="str" cm="1">
        <f t="array" ref="T2">_xlfn.IFS(L2&gt;5,"High",L2=5,"Medium",L2&lt;5,"Low")</f>
        <v>High</v>
      </c>
      <c r="U2" s="2" t="str">
        <f>IF(L2&gt;5,"High",IF(L2=5,"Medium","Low"))</f>
        <v>High</v>
      </c>
      <c r="V2" s="14" t="str">
        <f>IF(N2&gt;10,"Heavy Discount","Normal Discount")</f>
        <v>Normal Discount</v>
      </c>
      <c r="W2" s="16" t="str">
        <f>IF(O2&gt;7000,"Excellent",IF(O2&gt;4000,"Good","Average"))</f>
        <v>Excellent</v>
      </c>
      <c r="X2" s="18" t="str" cm="1">
        <f t="array" ref="X2">_xlfn.IFS(O2&gt;7000,"Excellent",O2&gt;4000,"Good",O2&lt;4000,"Average")</f>
        <v>Excellent</v>
      </c>
      <c r="Y2" s="12">
        <f>SUMIF(I2:I501,"Electronics",O2:O501)</f>
        <v>742761.89</v>
      </c>
      <c r="Z2" s="6">
        <f>SUMIFS(O2:O501,I2:I501,"Electronics",G2:G501,"Website")</f>
        <v>371838.50000000012</v>
      </c>
      <c r="AA2" s="8">
        <f>COUNTIF(I2:I501,"Beauty")</f>
        <v>99</v>
      </c>
      <c r="AB2" s="10">
        <f>COUNTIF(N2:N501,"&gt;15")</f>
        <v>106</v>
      </c>
      <c r="AC2" s="21">
        <f>COUNTIFS(I2:I501,"Electronics",H2:H501,"Cash on Delivery")</f>
        <v>13</v>
      </c>
      <c r="AD2" s="23" t="str">
        <f>IF(AND(O2&gt;5000,N2&lt;10),"Eligible","Not Eligible")</f>
        <v>Eligible</v>
      </c>
      <c r="AE2" s="24" t="str">
        <f>IF(G2&lt;&gt;"Marketplace","Online","Offline")</f>
        <v>Online</v>
      </c>
      <c r="AF2" s="27" t="str">
        <f>IF(OR(O2&gt;7000,L2&gt;5),"Priority Order","Normal Order")</f>
        <v>Priority Order</v>
      </c>
    </row>
    <row r="3" spans="1:34" x14ac:dyDescent="0.3">
      <c r="A3" s="2">
        <v>10002</v>
      </c>
      <c r="B3" s="2">
        <v>1435</v>
      </c>
      <c r="C3" s="3">
        <v>45199</v>
      </c>
      <c r="D3" s="3">
        <v>45203</v>
      </c>
      <c r="E3" s="2" t="s">
        <v>28</v>
      </c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>
        <v>9</v>
      </c>
      <c r="M3" s="2">
        <v>2525.23</v>
      </c>
      <c r="N3" s="2">
        <v>5</v>
      </c>
      <c r="O3" s="2">
        <v>21590.720000000001</v>
      </c>
      <c r="P3" s="2">
        <f t="shared" ref="P3:P66" si="0">M3*L3</f>
        <v>22727.07</v>
      </c>
      <c r="Q3" s="2">
        <f t="shared" ref="Q3:Q66" si="1">P3*N3%</f>
        <v>1136.3534999999999</v>
      </c>
      <c r="R3" s="2">
        <f t="shared" ref="R3:R66" si="2">P3-Q3</f>
        <v>21590.716499999999</v>
      </c>
      <c r="S3" s="2" t="str">
        <f t="shared" ref="S3:S66" si="3">IF(L3&gt;=5,"High","Low")</f>
        <v>High</v>
      </c>
      <c r="T3" s="2" t="str" cm="1">
        <f t="array" ref="T3">_xlfn.IFS(L3&gt;5,"High",L3=5,"Medium",L3&lt;5,"Low")</f>
        <v>High</v>
      </c>
      <c r="U3" s="2" t="str">
        <f t="shared" ref="U3:U66" si="4">IF(L3&gt;5,"High",IF(L3=5,"Medium","Low"))</f>
        <v>High</v>
      </c>
      <c r="V3" s="14" t="str">
        <f t="shared" ref="V3:V66" si="5">IF(N3&gt;10,"Heavy Discount","Normal Discount")</f>
        <v>Normal Discount</v>
      </c>
      <c r="W3" s="16" t="str">
        <f t="shared" ref="W3:W66" si="6">IF(O3&gt;7000,"Excellent",IF(O3&gt;4000,"Good","Average"))</f>
        <v>Excellent</v>
      </c>
      <c r="X3" s="18" t="str" cm="1">
        <f t="array" ref="X3">_xlfn.IFS(O3&gt;7000,"Excellent",O3&gt;4000,"Good",O3&lt;4000,"Average")</f>
        <v>Excellent</v>
      </c>
      <c r="AD3" s="23" t="str">
        <f t="shared" ref="AD3:AD66" si="7">IF(AND(O3&gt;5000,N3&lt;10),"Eligible","Not Eligible")</f>
        <v>Eligible</v>
      </c>
      <c r="AE3" s="24" t="str">
        <f t="shared" ref="AE3:AE66" si="8">IF(G3&lt;&gt;"Marketplace","Online","Offline")</f>
        <v>Online</v>
      </c>
      <c r="AF3" s="27" t="str">
        <f t="shared" ref="AF3:AF66" si="9">IF(OR(O3&gt;7000,L3&gt;5),"Priority Order","Normal Order")</f>
        <v>Priority Order</v>
      </c>
    </row>
    <row r="4" spans="1:34" x14ac:dyDescent="0.3">
      <c r="A4" s="2">
        <v>10003</v>
      </c>
      <c r="B4" s="2">
        <v>1860</v>
      </c>
      <c r="C4" s="3">
        <v>45109</v>
      </c>
      <c r="D4" s="3">
        <v>45114</v>
      </c>
      <c r="E4" s="2" t="s">
        <v>21</v>
      </c>
      <c r="F4" s="2" t="s">
        <v>35</v>
      </c>
      <c r="G4" s="2" t="s">
        <v>36</v>
      </c>
      <c r="H4" s="2" t="s">
        <v>31</v>
      </c>
      <c r="I4" s="2" t="s">
        <v>37</v>
      </c>
      <c r="J4" s="2" t="s">
        <v>38</v>
      </c>
      <c r="K4" s="2" t="s">
        <v>39</v>
      </c>
      <c r="L4" s="2">
        <v>6</v>
      </c>
      <c r="M4" s="2">
        <v>3474.34</v>
      </c>
      <c r="N4" s="2">
        <v>15</v>
      </c>
      <c r="O4" s="2">
        <v>17719.13</v>
      </c>
      <c r="P4" s="2">
        <f t="shared" si="0"/>
        <v>20846.04</v>
      </c>
      <c r="Q4" s="2">
        <f t="shared" si="1"/>
        <v>3126.9059999999999</v>
      </c>
      <c r="R4" s="2">
        <f t="shared" si="2"/>
        <v>17719.134000000002</v>
      </c>
      <c r="S4" s="2" t="str">
        <f t="shared" si="3"/>
        <v>High</v>
      </c>
      <c r="T4" s="2" t="str" cm="1">
        <f t="array" ref="T4">_xlfn.IFS(L4&gt;5,"High",L4=5,"Medium",L4&lt;5,"Low")</f>
        <v>High</v>
      </c>
      <c r="U4" s="2" t="str">
        <f t="shared" si="4"/>
        <v>High</v>
      </c>
      <c r="V4" s="14" t="str">
        <f t="shared" si="5"/>
        <v>Heavy Discount</v>
      </c>
      <c r="W4" s="16" t="str">
        <f t="shared" si="6"/>
        <v>Excellent</v>
      </c>
      <c r="X4" s="18" t="str" cm="1">
        <f t="array" ref="X4">_xlfn.IFS(O4&gt;7000,"Excellent",O4&gt;4000,"Good",O4&lt;4000,"Average")</f>
        <v>Excellent</v>
      </c>
      <c r="AD4" s="23" t="str">
        <f t="shared" si="7"/>
        <v>Not Eligible</v>
      </c>
      <c r="AE4" s="24" t="str">
        <f t="shared" si="8"/>
        <v>Offline</v>
      </c>
      <c r="AF4" s="27" t="str">
        <f t="shared" si="9"/>
        <v>Priority Order</v>
      </c>
    </row>
    <row r="5" spans="1:34" x14ac:dyDescent="0.3">
      <c r="A5" s="2">
        <v>10004</v>
      </c>
      <c r="B5" s="2">
        <v>1270</v>
      </c>
      <c r="C5" s="3">
        <v>45079</v>
      </c>
      <c r="D5" s="3">
        <v>45087</v>
      </c>
      <c r="E5" s="2" t="s">
        <v>40</v>
      </c>
      <c r="F5" s="2" t="s">
        <v>35</v>
      </c>
      <c r="G5" s="2" t="s">
        <v>30</v>
      </c>
      <c r="H5" s="2" t="s">
        <v>41</v>
      </c>
      <c r="I5" s="2" t="s">
        <v>32</v>
      </c>
      <c r="J5" s="2" t="s">
        <v>42</v>
      </c>
      <c r="K5" s="2" t="s">
        <v>27</v>
      </c>
      <c r="L5" s="2">
        <v>1</v>
      </c>
      <c r="M5" s="2">
        <v>1008.79</v>
      </c>
      <c r="N5" s="2">
        <v>15</v>
      </c>
      <c r="O5" s="2">
        <v>857.47</v>
      </c>
      <c r="P5" s="2">
        <f t="shared" si="0"/>
        <v>1008.79</v>
      </c>
      <c r="Q5" s="2">
        <f t="shared" si="1"/>
        <v>151.3185</v>
      </c>
      <c r="R5" s="2">
        <f t="shared" si="2"/>
        <v>857.47149999999999</v>
      </c>
      <c r="S5" s="2" t="str">
        <f t="shared" si="3"/>
        <v>Low</v>
      </c>
      <c r="T5" s="2" t="str" cm="1">
        <f t="array" ref="T5">_xlfn.IFS(L5&gt;5,"High",L5=5,"Medium",L5&lt;5,"Low")</f>
        <v>Low</v>
      </c>
      <c r="U5" s="2" t="str">
        <f t="shared" si="4"/>
        <v>Low</v>
      </c>
      <c r="V5" s="14" t="str">
        <f t="shared" si="5"/>
        <v>Heavy Discount</v>
      </c>
      <c r="W5" s="16" t="str">
        <f t="shared" si="6"/>
        <v>Average</v>
      </c>
      <c r="X5" s="18" t="str" cm="1">
        <f t="array" ref="X5">_xlfn.IFS(O5&gt;7000,"Excellent",O5&gt;4000,"Good",O5&lt;4000,"Average")</f>
        <v>Average</v>
      </c>
      <c r="AD5" s="23" t="str">
        <f t="shared" si="7"/>
        <v>Not Eligible</v>
      </c>
      <c r="AE5" s="24" t="str">
        <f t="shared" si="8"/>
        <v>Online</v>
      </c>
      <c r="AF5" s="27" t="str">
        <f t="shared" si="9"/>
        <v>Normal Order</v>
      </c>
    </row>
    <row r="6" spans="1:34" x14ac:dyDescent="0.3">
      <c r="A6" s="2">
        <v>10005</v>
      </c>
      <c r="B6" s="2">
        <v>1106</v>
      </c>
      <c r="C6" s="3">
        <v>45241</v>
      </c>
      <c r="D6" s="3">
        <v>45244</v>
      </c>
      <c r="E6" s="2" t="s">
        <v>43</v>
      </c>
      <c r="F6" s="2" t="s">
        <v>44</v>
      </c>
      <c r="G6" s="2" t="s">
        <v>36</v>
      </c>
      <c r="H6" s="2" t="s">
        <v>24</v>
      </c>
      <c r="I6" s="2" t="s">
        <v>37</v>
      </c>
      <c r="J6" s="2" t="s">
        <v>45</v>
      </c>
      <c r="K6" s="2" t="s">
        <v>27</v>
      </c>
      <c r="L6" s="2">
        <v>7</v>
      </c>
      <c r="M6" s="2">
        <v>3511.47</v>
      </c>
      <c r="N6" s="2">
        <v>20</v>
      </c>
      <c r="O6" s="2">
        <v>19664.23</v>
      </c>
      <c r="P6" s="2">
        <f t="shared" si="0"/>
        <v>24580.289999999997</v>
      </c>
      <c r="Q6" s="2">
        <f t="shared" si="1"/>
        <v>4916.058</v>
      </c>
      <c r="R6" s="2">
        <f t="shared" si="2"/>
        <v>19664.231999999996</v>
      </c>
      <c r="S6" s="2" t="str">
        <f t="shared" si="3"/>
        <v>High</v>
      </c>
      <c r="T6" s="2" t="str" cm="1">
        <f t="array" ref="T6">_xlfn.IFS(L6&gt;5,"High",L6=5,"Medium",L6&lt;5,"Low")</f>
        <v>High</v>
      </c>
      <c r="U6" s="2" t="str">
        <f t="shared" si="4"/>
        <v>High</v>
      </c>
      <c r="V6" s="14" t="str">
        <f t="shared" si="5"/>
        <v>Heavy Discount</v>
      </c>
      <c r="W6" s="16" t="str">
        <f t="shared" si="6"/>
        <v>Excellent</v>
      </c>
      <c r="X6" s="18" t="str" cm="1">
        <f t="array" ref="X6">_xlfn.IFS(O6&gt;7000,"Excellent",O6&gt;4000,"Good",O6&lt;4000,"Average")</f>
        <v>Excellent</v>
      </c>
      <c r="AD6" s="23" t="str">
        <f t="shared" si="7"/>
        <v>Not Eligible</v>
      </c>
      <c r="AE6" s="24" t="str">
        <f t="shared" si="8"/>
        <v>Offline</v>
      </c>
      <c r="AF6" s="27" t="str">
        <f t="shared" si="9"/>
        <v>Priority Order</v>
      </c>
    </row>
    <row r="7" spans="1:34" x14ac:dyDescent="0.3">
      <c r="A7" s="2">
        <v>10006</v>
      </c>
      <c r="B7" s="2">
        <v>1071</v>
      </c>
      <c r="C7" s="3">
        <v>45260</v>
      </c>
      <c r="D7" s="3">
        <v>45263</v>
      </c>
      <c r="E7" s="2" t="s">
        <v>46</v>
      </c>
      <c r="F7" s="2" t="s">
        <v>47</v>
      </c>
      <c r="G7" s="2" t="s">
        <v>30</v>
      </c>
      <c r="H7" s="2" t="s">
        <v>48</v>
      </c>
      <c r="I7" s="2" t="s">
        <v>25</v>
      </c>
      <c r="J7" s="2" t="s">
        <v>49</v>
      </c>
      <c r="K7" s="2" t="s">
        <v>39</v>
      </c>
      <c r="L7" s="2">
        <v>3</v>
      </c>
      <c r="M7" s="2">
        <v>3189.55</v>
      </c>
      <c r="N7" s="2">
        <v>10</v>
      </c>
      <c r="O7" s="2">
        <v>8611.7800000000007</v>
      </c>
      <c r="P7" s="2">
        <f t="shared" si="0"/>
        <v>9568.6500000000015</v>
      </c>
      <c r="Q7" s="2">
        <f t="shared" si="1"/>
        <v>956.86500000000024</v>
      </c>
      <c r="R7" s="2">
        <f t="shared" si="2"/>
        <v>8611.7850000000017</v>
      </c>
      <c r="S7" s="2" t="str">
        <f t="shared" si="3"/>
        <v>Low</v>
      </c>
      <c r="T7" s="2" t="str" cm="1">
        <f t="array" ref="T7">_xlfn.IFS(L7&gt;5,"High",L7=5,"Medium",L7&lt;5,"Low")</f>
        <v>Low</v>
      </c>
      <c r="U7" s="2" t="str">
        <f t="shared" si="4"/>
        <v>Low</v>
      </c>
      <c r="V7" s="14" t="str">
        <f t="shared" si="5"/>
        <v>Normal Discount</v>
      </c>
      <c r="W7" s="16" t="str">
        <f t="shared" si="6"/>
        <v>Excellent</v>
      </c>
      <c r="X7" s="18" t="str" cm="1">
        <f t="array" ref="X7">_xlfn.IFS(O7&gt;7000,"Excellent",O7&gt;4000,"Good",O7&lt;4000,"Average")</f>
        <v>Excellent</v>
      </c>
      <c r="AD7" s="23" t="str">
        <f t="shared" si="7"/>
        <v>Not Eligible</v>
      </c>
      <c r="AE7" s="24" t="str">
        <f t="shared" si="8"/>
        <v>Online</v>
      </c>
      <c r="AF7" s="27" t="str">
        <f t="shared" si="9"/>
        <v>Priority Order</v>
      </c>
    </row>
    <row r="8" spans="1:34" x14ac:dyDescent="0.3">
      <c r="A8" s="2">
        <v>10007</v>
      </c>
      <c r="B8" s="2">
        <v>1700</v>
      </c>
      <c r="C8" s="3">
        <v>45050</v>
      </c>
      <c r="D8" s="3">
        <v>45054</v>
      </c>
      <c r="E8" s="2" t="s">
        <v>40</v>
      </c>
      <c r="F8" s="2" t="s">
        <v>47</v>
      </c>
      <c r="G8" s="2" t="s">
        <v>23</v>
      </c>
      <c r="H8" s="2" t="s">
        <v>50</v>
      </c>
      <c r="I8" s="2" t="s">
        <v>37</v>
      </c>
      <c r="J8" s="2" t="s">
        <v>38</v>
      </c>
      <c r="K8" s="2" t="s">
        <v>51</v>
      </c>
      <c r="L8" s="2">
        <v>5</v>
      </c>
      <c r="M8" s="2">
        <v>3030.42</v>
      </c>
      <c r="N8" s="2">
        <v>10</v>
      </c>
      <c r="O8" s="2">
        <v>13636.89</v>
      </c>
      <c r="P8" s="2">
        <f t="shared" si="0"/>
        <v>15152.1</v>
      </c>
      <c r="Q8" s="2">
        <f t="shared" si="1"/>
        <v>1515.21</v>
      </c>
      <c r="R8" s="2">
        <f t="shared" si="2"/>
        <v>13636.89</v>
      </c>
      <c r="S8" s="2" t="str">
        <f t="shared" si="3"/>
        <v>High</v>
      </c>
      <c r="T8" s="2" t="str" cm="1">
        <f t="array" ref="T8">_xlfn.IFS(L8&gt;5,"High",L8=5,"Medium",L8&lt;5,"Low")</f>
        <v>Medium</v>
      </c>
      <c r="U8" s="2" t="str">
        <f t="shared" si="4"/>
        <v>Medium</v>
      </c>
      <c r="V8" s="14" t="str">
        <f t="shared" si="5"/>
        <v>Normal Discount</v>
      </c>
      <c r="W8" s="16" t="str">
        <f t="shared" si="6"/>
        <v>Excellent</v>
      </c>
      <c r="X8" s="18" t="str" cm="1">
        <f t="array" ref="X8">_xlfn.IFS(O8&gt;7000,"Excellent",O8&gt;4000,"Good",O8&lt;4000,"Average")</f>
        <v>Excellent</v>
      </c>
      <c r="AD8" s="23" t="str">
        <f t="shared" si="7"/>
        <v>Not Eligible</v>
      </c>
      <c r="AE8" s="24" t="str">
        <f t="shared" si="8"/>
        <v>Online</v>
      </c>
      <c r="AF8" s="27" t="str">
        <f t="shared" si="9"/>
        <v>Priority Order</v>
      </c>
    </row>
    <row r="9" spans="1:34" x14ac:dyDescent="0.3">
      <c r="A9" s="2">
        <v>10008</v>
      </c>
      <c r="B9" s="2">
        <v>1020</v>
      </c>
      <c r="C9" s="3">
        <v>45040</v>
      </c>
      <c r="D9" s="3">
        <v>45041</v>
      </c>
      <c r="E9" s="2" t="s">
        <v>52</v>
      </c>
      <c r="F9" s="2" t="s">
        <v>22</v>
      </c>
      <c r="G9" s="2" t="s">
        <v>30</v>
      </c>
      <c r="H9" s="2" t="s">
        <v>24</v>
      </c>
      <c r="I9" s="2" t="s">
        <v>37</v>
      </c>
      <c r="J9" s="2" t="s">
        <v>38</v>
      </c>
      <c r="K9" s="2" t="s">
        <v>53</v>
      </c>
      <c r="L9" s="2">
        <v>4</v>
      </c>
      <c r="M9" s="2">
        <v>2310.83</v>
      </c>
      <c r="N9" s="2">
        <v>10</v>
      </c>
      <c r="O9" s="2">
        <v>8318.99</v>
      </c>
      <c r="P9" s="2">
        <f t="shared" si="0"/>
        <v>9243.32</v>
      </c>
      <c r="Q9" s="2">
        <f t="shared" si="1"/>
        <v>924.33199999999999</v>
      </c>
      <c r="R9" s="2">
        <f t="shared" si="2"/>
        <v>8318.9879999999994</v>
      </c>
      <c r="S9" s="2" t="str">
        <f t="shared" si="3"/>
        <v>Low</v>
      </c>
      <c r="T9" s="2" t="str" cm="1">
        <f t="array" ref="T9">_xlfn.IFS(L9&gt;5,"High",L9=5,"Medium",L9&lt;5,"Low")</f>
        <v>Low</v>
      </c>
      <c r="U9" s="2" t="str">
        <f t="shared" si="4"/>
        <v>Low</v>
      </c>
      <c r="V9" s="14" t="str">
        <f t="shared" si="5"/>
        <v>Normal Discount</v>
      </c>
      <c r="W9" s="16" t="str">
        <f t="shared" si="6"/>
        <v>Excellent</v>
      </c>
      <c r="X9" s="18" t="str" cm="1">
        <f t="array" ref="X9">_xlfn.IFS(O9&gt;7000,"Excellent",O9&gt;4000,"Good",O9&lt;4000,"Average")</f>
        <v>Excellent</v>
      </c>
      <c r="AD9" s="23" t="str">
        <f t="shared" si="7"/>
        <v>Not Eligible</v>
      </c>
      <c r="AE9" s="24" t="str">
        <f t="shared" si="8"/>
        <v>Online</v>
      </c>
      <c r="AF9" s="27" t="str">
        <f t="shared" si="9"/>
        <v>Priority Order</v>
      </c>
    </row>
    <row r="10" spans="1:34" x14ac:dyDescent="0.3">
      <c r="A10" s="2">
        <v>10009</v>
      </c>
      <c r="B10" s="2">
        <v>1614</v>
      </c>
      <c r="C10" s="3">
        <v>45204</v>
      </c>
      <c r="D10" s="3">
        <v>45213</v>
      </c>
      <c r="E10" s="2" t="s">
        <v>21</v>
      </c>
      <c r="F10" s="2" t="s">
        <v>35</v>
      </c>
      <c r="G10" s="2" t="s">
        <v>30</v>
      </c>
      <c r="H10" s="2" t="s">
        <v>31</v>
      </c>
      <c r="I10" s="2" t="s">
        <v>37</v>
      </c>
      <c r="J10" s="2" t="s">
        <v>54</v>
      </c>
      <c r="K10" s="2" t="s">
        <v>34</v>
      </c>
      <c r="L10" s="2">
        <v>5</v>
      </c>
      <c r="M10" s="2">
        <v>1098.04</v>
      </c>
      <c r="N10" s="2">
        <v>15</v>
      </c>
      <c r="O10" s="2">
        <v>4666.67</v>
      </c>
      <c r="P10" s="2">
        <f t="shared" si="0"/>
        <v>5490.2</v>
      </c>
      <c r="Q10" s="2">
        <f t="shared" si="1"/>
        <v>823.53</v>
      </c>
      <c r="R10" s="2">
        <f t="shared" si="2"/>
        <v>4666.67</v>
      </c>
      <c r="S10" s="2" t="str">
        <f t="shared" si="3"/>
        <v>High</v>
      </c>
      <c r="T10" s="2" t="str" cm="1">
        <f t="array" ref="T10">_xlfn.IFS(L10&gt;5,"High",L10=5,"Medium",L10&lt;5,"Low")</f>
        <v>Medium</v>
      </c>
      <c r="U10" s="2" t="str">
        <f t="shared" si="4"/>
        <v>Medium</v>
      </c>
      <c r="V10" s="14" t="str">
        <f t="shared" si="5"/>
        <v>Heavy Discount</v>
      </c>
      <c r="W10" s="16" t="str">
        <f t="shared" si="6"/>
        <v>Good</v>
      </c>
      <c r="X10" s="18" t="str" cm="1">
        <f t="array" ref="X10">_xlfn.IFS(O10&gt;7000,"Excellent",O10&gt;4000,"Good",O10&lt;4000,"Average")</f>
        <v>Good</v>
      </c>
      <c r="AD10" s="23" t="str">
        <f t="shared" si="7"/>
        <v>Not Eligible</v>
      </c>
      <c r="AE10" s="24" t="str">
        <f t="shared" si="8"/>
        <v>Online</v>
      </c>
      <c r="AF10" s="27" t="str">
        <f t="shared" si="9"/>
        <v>Normal Order</v>
      </c>
      <c r="AH10" s="19" t="s">
        <v>76</v>
      </c>
    </row>
    <row r="11" spans="1:34" x14ac:dyDescent="0.3">
      <c r="A11" s="2">
        <v>10010</v>
      </c>
      <c r="B11" s="2">
        <v>1121</v>
      </c>
      <c r="C11" s="3">
        <v>45139</v>
      </c>
      <c r="D11" s="3">
        <v>45147</v>
      </c>
      <c r="E11" s="2" t="s">
        <v>40</v>
      </c>
      <c r="F11" s="2" t="s">
        <v>44</v>
      </c>
      <c r="G11" s="2" t="s">
        <v>30</v>
      </c>
      <c r="H11" s="2" t="s">
        <v>41</v>
      </c>
      <c r="I11" s="2" t="s">
        <v>55</v>
      </c>
      <c r="J11" s="2" t="s">
        <v>56</v>
      </c>
      <c r="K11" s="2" t="s">
        <v>53</v>
      </c>
      <c r="L11" s="2">
        <v>5</v>
      </c>
      <c r="M11" s="2">
        <v>1780.66</v>
      </c>
      <c r="N11" s="2">
        <v>20</v>
      </c>
      <c r="O11" s="2">
        <v>7122.64</v>
      </c>
      <c r="P11" s="2">
        <f t="shared" si="0"/>
        <v>8903.3000000000011</v>
      </c>
      <c r="Q11" s="2">
        <f t="shared" si="1"/>
        <v>1780.6600000000003</v>
      </c>
      <c r="R11" s="2">
        <f t="shared" si="2"/>
        <v>7122.6400000000012</v>
      </c>
      <c r="S11" s="2" t="str">
        <f t="shared" si="3"/>
        <v>High</v>
      </c>
      <c r="T11" s="2" t="str" cm="1">
        <f t="array" ref="T11">_xlfn.IFS(L11&gt;5,"High",L11=5,"Medium",L11&lt;5,"Low")</f>
        <v>Medium</v>
      </c>
      <c r="U11" s="2" t="str">
        <f t="shared" si="4"/>
        <v>Medium</v>
      </c>
      <c r="V11" s="14" t="str">
        <f t="shared" si="5"/>
        <v>Heavy Discount</v>
      </c>
      <c r="W11" s="16" t="str">
        <f t="shared" si="6"/>
        <v>Excellent</v>
      </c>
      <c r="X11" s="18" t="str" cm="1">
        <f t="array" ref="X11">_xlfn.IFS(O11&gt;7000,"Excellent",O11&gt;4000,"Good",O11&lt;4000,"Average")</f>
        <v>Excellent</v>
      </c>
      <c r="AD11" s="23" t="str">
        <f t="shared" si="7"/>
        <v>Not Eligible</v>
      </c>
      <c r="AE11" s="24" t="str">
        <f t="shared" si="8"/>
        <v>Online</v>
      </c>
      <c r="AF11" s="27" t="str">
        <f t="shared" si="9"/>
        <v>Priority Order</v>
      </c>
      <c r="AH11" s="19" t="s">
        <v>77</v>
      </c>
    </row>
    <row r="12" spans="1:34" x14ac:dyDescent="0.3">
      <c r="A12" s="2">
        <v>10011</v>
      </c>
      <c r="B12" s="2">
        <v>1466</v>
      </c>
      <c r="C12" s="3">
        <v>45098</v>
      </c>
      <c r="D12" s="3">
        <v>45106</v>
      </c>
      <c r="E12" s="2" t="s">
        <v>40</v>
      </c>
      <c r="F12" s="2" t="s">
        <v>44</v>
      </c>
      <c r="G12" s="2" t="s">
        <v>23</v>
      </c>
      <c r="H12" s="2" t="s">
        <v>41</v>
      </c>
      <c r="I12" s="2" t="s">
        <v>55</v>
      </c>
      <c r="J12" s="2" t="s">
        <v>56</v>
      </c>
      <c r="K12" s="2" t="s">
        <v>39</v>
      </c>
      <c r="L12" s="2">
        <v>6</v>
      </c>
      <c r="M12" s="2">
        <v>3205.25</v>
      </c>
      <c r="N12" s="2">
        <v>0</v>
      </c>
      <c r="O12" s="2">
        <v>19231.5</v>
      </c>
      <c r="P12" s="2">
        <f t="shared" si="0"/>
        <v>19231.5</v>
      </c>
      <c r="Q12" s="2">
        <f t="shared" si="1"/>
        <v>0</v>
      </c>
      <c r="R12" s="2">
        <f t="shared" si="2"/>
        <v>19231.5</v>
      </c>
      <c r="S12" s="2" t="str">
        <f t="shared" si="3"/>
        <v>High</v>
      </c>
      <c r="T12" s="2" t="str" cm="1">
        <f t="array" ref="T12">_xlfn.IFS(L12&gt;5,"High",L12=5,"Medium",L12&lt;5,"Low")</f>
        <v>High</v>
      </c>
      <c r="U12" s="2" t="str">
        <f t="shared" si="4"/>
        <v>High</v>
      </c>
      <c r="V12" s="14" t="str">
        <f t="shared" si="5"/>
        <v>Normal Discount</v>
      </c>
      <c r="W12" s="16" t="str">
        <f t="shared" si="6"/>
        <v>Excellent</v>
      </c>
      <c r="X12" s="18" t="str" cm="1">
        <f t="array" ref="X12">_xlfn.IFS(O12&gt;7000,"Excellent",O12&gt;4000,"Good",O12&lt;4000,"Average")</f>
        <v>Excellent</v>
      </c>
      <c r="AD12" s="23" t="str">
        <f t="shared" si="7"/>
        <v>Eligible</v>
      </c>
      <c r="AE12" s="24" t="str">
        <f t="shared" si="8"/>
        <v>Online</v>
      </c>
      <c r="AF12" s="27" t="str">
        <f t="shared" si="9"/>
        <v>Priority Order</v>
      </c>
      <c r="AH12" s="19" t="s">
        <v>78</v>
      </c>
    </row>
    <row r="13" spans="1:34" x14ac:dyDescent="0.3">
      <c r="A13" s="2">
        <v>10012</v>
      </c>
      <c r="B13" s="2">
        <v>1214</v>
      </c>
      <c r="C13" s="3">
        <v>45214</v>
      </c>
      <c r="D13" s="3">
        <v>45220</v>
      </c>
      <c r="E13" s="2" t="s">
        <v>52</v>
      </c>
      <c r="F13" s="2" t="s">
        <v>29</v>
      </c>
      <c r="G13" s="2" t="s">
        <v>30</v>
      </c>
      <c r="H13" s="2" t="s">
        <v>50</v>
      </c>
      <c r="I13" s="2" t="s">
        <v>55</v>
      </c>
      <c r="J13" s="2" t="s">
        <v>57</v>
      </c>
      <c r="K13" s="2" t="s">
        <v>27</v>
      </c>
      <c r="L13" s="2">
        <v>6</v>
      </c>
      <c r="M13" s="2">
        <v>272.35000000000002</v>
      </c>
      <c r="N13" s="2">
        <v>5</v>
      </c>
      <c r="O13" s="2">
        <v>1552.39</v>
      </c>
      <c r="P13" s="2">
        <f t="shared" si="0"/>
        <v>1634.1000000000001</v>
      </c>
      <c r="Q13" s="2">
        <f t="shared" si="1"/>
        <v>81.705000000000013</v>
      </c>
      <c r="R13" s="2">
        <f t="shared" si="2"/>
        <v>1552.3950000000002</v>
      </c>
      <c r="S13" s="2" t="str">
        <f t="shared" si="3"/>
        <v>High</v>
      </c>
      <c r="T13" s="2" t="str" cm="1">
        <f t="array" ref="T13">_xlfn.IFS(L13&gt;5,"High",L13=5,"Medium",L13&lt;5,"Low")</f>
        <v>High</v>
      </c>
      <c r="U13" s="2" t="str">
        <f t="shared" si="4"/>
        <v>High</v>
      </c>
      <c r="V13" s="14" t="str">
        <f t="shared" si="5"/>
        <v>Normal Discount</v>
      </c>
      <c r="W13" s="16" t="str">
        <f t="shared" si="6"/>
        <v>Average</v>
      </c>
      <c r="X13" s="18" t="str" cm="1">
        <f t="array" ref="X13">_xlfn.IFS(O13&gt;7000,"Excellent",O13&gt;4000,"Good",O13&lt;4000,"Average")</f>
        <v>Average</v>
      </c>
      <c r="AD13" s="23" t="str">
        <f t="shared" si="7"/>
        <v>Not Eligible</v>
      </c>
      <c r="AE13" s="24" t="str">
        <f t="shared" si="8"/>
        <v>Online</v>
      </c>
      <c r="AF13" s="27" t="str">
        <f t="shared" si="9"/>
        <v>Priority Order</v>
      </c>
      <c r="AH13" s="19" t="s">
        <v>79</v>
      </c>
    </row>
    <row r="14" spans="1:34" x14ac:dyDescent="0.3">
      <c r="A14" s="2">
        <v>10013</v>
      </c>
      <c r="B14" s="2">
        <v>1330</v>
      </c>
      <c r="C14" s="3">
        <v>45100</v>
      </c>
      <c r="D14" s="3">
        <v>45107</v>
      </c>
      <c r="E14" s="2" t="s">
        <v>22</v>
      </c>
      <c r="F14" s="2" t="s">
        <v>29</v>
      </c>
      <c r="G14" s="2" t="s">
        <v>23</v>
      </c>
      <c r="H14" s="2" t="s">
        <v>41</v>
      </c>
      <c r="I14" s="2" t="s">
        <v>25</v>
      </c>
      <c r="J14" s="2" t="s">
        <v>49</v>
      </c>
      <c r="K14" s="2" t="s">
        <v>27</v>
      </c>
      <c r="L14" s="2">
        <v>8</v>
      </c>
      <c r="M14" s="2">
        <v>3160.9</v>
      </c>
      <c r="N14" s="2">
        <v>0</v>
      </c>
      <c r="O14" s="2">
        <v>25287.200000000001</v>
      </c>
      <c r="P14" s="2">
        <f t="shared" si="0"/>
        <v>25287.200000000001</v>
      </c>
      <c r="Q14" s="2">
        <f t="shared" si="1"/>
        <v>0</v>
      </c>
      <c r="R14" s="2">
        <f t="shared" si="2"/>
        <v>25287.200000000001</v>
      </c>
      <c r="S14" s="2" t="str">
        <f t="shared" si="3"/>
        <v>High</v>
      </c>
      <c r="T14" s="2" t="str" cm="1">
        <f t="array" ref="T14">_xlfn.IFS(L14&gt;5,"High",L14=5,"Medium",L14&lt;5,"Low")</f>
        <v>High</v>
      </c>
      <c r="U14" s="2" t="str">
        <f t="shared" si="4"/>
        <v>High</v>
      </c>
      <c r="V14" s="14" t="str">
        <f t="shared" si="5"/>
        <v>Normal Discount</v>
      </c>
      <c r="W14" s="16" t="str">
        <f t="shared" si="6"/>
        <v>Excellent</v>
      </c>
      <c r="X14" s="18" t="str" cm="1">
        <f t="array" ref="X14">_xlfn.IFS(O14&gt;7000,"Excellent",O14&gt;4000,"Good",O14&lt;4000,"Average")</f>
        <v>Excellent</v>
      </c>
      <c r="AD14" s="23" t="str">
        <f t="shared" si="7"/>
        <v>Eligible</v>
      </c>
      <c r="AE14" s="24" t="str">
        <f t="shared" si="8"/>
        <v>Online</v>
      </c>
      <c r="AF14" s="27" t="str">
        <f t="shared" si="9"/>
        <v>Priority Order</v>
      </c>
      <c r="AH14" s="19" t="s">
        <v>80</v>
      </c>
    </row>
    <row r="15" spans="1:34" x14ac:dyDescent="0.3">
      <c r="A15" s="2">
        <v>10014</v>
      </c>
      <c r="B15" s="2">
        <v>1458</v>
      </c>
      <c r="C15" s="3">
        <v>45039</v>
      </c>
      <c r="D15" s="3">
        <v>45045</v>
      </c>
      <c r="E15" s="2" t="s">
        <v>43</v>
      </c>
      <c r="F15" s="2" t="s">
        <v>44</v>
      </c>
      <c r="G15" s="2" t="s">
        <v>36</v>
      </c>
      <c r="H15" s="2" t="s">
        <v>41</v>
      </c>
      <c r="I15" s="2" t="s">
        <v>32</v>
      </c>
      <c r="J15" s="2" t="s">
        <v>42</v>
      </c>
      <c r="K15" s="2" t="s">
        <v>34</v>
      </c>
      <c r="L15" s="2">
        <v>8</v>
      </c>
      <c r="M15" s="2">
        <v>1074.27</v>
      </c>
      <c r="N15" s="2">
        <v>15</v>
      </c>
      <c r="O15" s="2">
        <v>7305.04</v>
      </c>
      <c r="P15" s="2">
        <f t="shared" si="0"/>
        <v>8594.16</v>
      </c>
      <c r="Q15" s="2">
        <f t="shared" si="1"/>
        <v>1289.124</v>
      </c>
      <c r="R15" s="2">
        <f t="shared" si="2"/>
        <v>7305.0360000000001</v>
      </c>
      <c r="S15" s="2" t="str">
        <f t="shared" si="3"/>
        <v>High</v>
      </c>
      <c r="T15" s="2" t="str" cm="1">
        <f t="array" ref="T15">_xlfn.IFS(L15&gt;5,"High",L15=5,"Medium",L15&lt;5,"Low")</f>
        <v>High</v>
      </c>
      <c r="U15" s="2" t="str">
        <f t="shared" si="4"/>
        <v>High</v>
      </c>
      <c r="V15" s="14" t="str">
        <f t="shared" si="5"/>
        <v>Heavy Discount</v>
      </c>
      <c r="W15" s="16" t="str">
        <f t="shared" si="6"/>
        <v>Excellent</v>
      </c>
      <c r="X15" s="18" t="str" cm="1">
        <f t="array" ref="X15">_xlfn.IFS(O15&gt;7000,"Excellent",O15&gt;4000,"Good",O15&lt;4000,"Average")</f>
        <v>Excellent</v>
      </c>
      <c r="AD15" s="23" t="str">
        <f t="shared" si="7"/>
        <v>Not Eligible</v>
      </c>
      <c r="AE15" s="24" t="str">
        <f t="shared" si="8"/>
        <v>Offline</v>
      </c>
      <c r="AF15" s="27" t="str">
        <f t="shared" si="9"/>
        <v>Priority Order</v>
      </c>
      <c r="AH15" s="19" t="s">
        <v>81</v>
      </c>
    </row>
    <row r="16" spans="1:34" x14ac:dyDescent="0.3">
      <c r="A16" s="2">
        <v>10015</v>
      </c>
      <c r="B16" s="2">
        <v>1087</v>
      </c>
      <c r="C16" s="3">
        <v>45048</v>
      </c>
      <c r="D16" s="3">
        <v>45057</v>
      </c>
      <c r="E16" s="2" t="s">
        <v>46</v>
      </c>
      <c r="F16" s="2" t="s">
        <v>29</v>
      </c>
      <c r="G16" s="2" t="s">
        <v>30</v>
      </c>
      <c r="H16" s="2" t="s">
        <v>24</v>
      </c>
      <c r="I16" s="2" t="s">
        <v>58</v>
      </c>
      <c r="J16" s="2" t="s">
        <v>59</v>
      </c>
      <c r="K16" s="2" t="s">
        <v>27</v>
      </c>
      <c r="L16" s="2">
        <v>9</v>
      </c>
      <c r="M16" s="2">
        <v>705.59</v>
      </c>
      <c r="N16" s="2">
        <v>10</v>
      </c>
      <c r="O16" s="2">
        <v>5715.28</v>
      </c>
      <c r="P16" s="2">
        <f t="shared" si="0"/>
        <v>6350.31</v>
      </c>
      <c r="Q16" s="2">
        <f t="shared" si="1"/>
        <v>635.03100000000006</v>
      </c>
      <c r="R16" s="2">
        <f t="shared" si="2"/>
        <v>5715.2790000000005</v>
      </c>
      <c r="S16" s="2" t="str">
        <f t="shared" si="3"/>
        <v>High</v>
      </c>
      <c r="T16" s="2" t="str" cm="1">
        <f t="array" ref="T16">_xlfn.IFS(L16&gt;5,"High",L16=5,"Medium",L16&lt;5,"Low")</f>
        <v>High</v>
      </c>
      <c r="U16" s="2" t="str">
        <f t="shared" si="4"/>
        <v>High</v>
      </c>
      <c r="V16" s="14" t="str">
        <f t="shared" si="5"/>
        <v>Normal Discount</v>
      </c>
      <c r="W16" s="16" t="str">
        <f t="shared" si="6"/>
        <v>Good</v>
      </c>
      <c r="X16" s="18" t="str" cm="1">
        <f t="array" ref="X16">_xlfn.IFS(O16&gt;7000,"Excellent",O16&gt;4000,"Good",O16&lt;4000,"Average")</f>
        <v>Good</v>
      </c>
      <c r="AD16" s="23" t="str">
        <f t="shared" si="7"/>
        <v>Not Eligible</v>
      </c>
      <c r="AE16" s="24" t="str">
        <f t="shared" si="8"/>
        <v>Online</v>
      </c>
      <c r="AF16" s="27" t="str">
        <f t="shared" si="9"/>
        <v>Priority Order</v>
      </c>
      <c r="AH16" s="19" t="s">
        <v>87</v>
      </c>
    </row>
    <row r="17" spans="1:34" x14ac:dyDescent="0.3">
      <c r="A17" s="2">
        <v>10016</v>
      </c>
      <c r="B17" s="2">
        <v>1372</v>
      </c>
      <c r="C17" s="3">
        <v>44958</v>
      </c>
      <c r="D17" s="3">
        <v>44961</v>
      </c>
      <c r="E17" s="2" t="s">
        <v>28</v>
      </c>
      <c r="F17" s="2" t="s">
        <v>35</v>
      </c>
      <c r="G17" s="2" t="s">
        <v>23</v>
      </c>
      <c r="H17" s="2" t="s">
        <v>48</v>
      </c>
      <c r="I17" s="2" t="s">
        <v>37</v>
      </c>
      <c r="J17" s="2" t="s">
        <v>45</v>
      </c>
      <c r="K17" s="2" t="s">
        <v>27</v>
      </c>
      <c r="L17" s="2">
        <v>8</v>
      </c>
      <c r="M17" s="2">
        <v>595.45000000000005</v>
      </c>
      <c r="N17" s="2">
        <v>5</v>
      </c>
      <c r="O17" s="2">
        <v>4525.42</v>
      </c>
      <c r="P17" s="2">
        <f t="shared" si="0"/>
        <v>4763.6000000000004</v>
      </c>
      <c r="Q17" s="2">
        <f t="shared" si="1"/>
        <v>238.18000000000004</v>
      </c>
      <c r="R17" s="2">
        <f t="shared" si="2"/>
        <v>4525.42</v>
      </c>
      <c r="S17" s="2" t="str">
        <f t="shared" si="3"/>
        <v>High</v>
      </c>
      <c r="T17" s="2" t="str" cm="1">
        <f t="array" ref="T17">_xlfn.IFS(L17&gt;5,"High",L17=5,"Medium",L17&lt;5,"Low")</f>
        <v>High</v>
      </c>
      <c r="U17" s="2" t="str">
        <f t="shared" si="4"/>
        <v>High</v>
      </c>
      <c r="V17" s="14" t="str">
        <f t="shared" si="5"/>
        <v>Normal Discount</v>
      </c>
      <c r="W17" s="16" t="str">
        <f t="shared" si="6"/>
        <v>Good</v>
      </c>
      <c r="X17" s="18" t="str" cm="1">
        <f t="array" ref="X17">_xlfn.IFS(O17&gt;7000,"Excellent",O17&gt;4000,"Good",O17&lt;4000,"Average")</f>
        <v>Good</v>
      </c>
      <c r="AD17" s="23" t="str">
        <f t="shared" si="7"/>
        <v>Not Eligible</v>
      </c>
      <c r="AE17" s="24" t="str">
        <f t="shared" si="8"/>
        <v>Online</v>
      </c>
      <c r="AF17" s="27" t="str">
        <f t="shared" si="9"/>
        <v>Priority Order</v>
      </c>
      <c r="AH17" s="19" t="s">
        <v>91</v>
      </c>
    </row>
    <row r="18" spans="1:34" x14ac:dyDescent="0.3">
      <c r="A18" s="2">
        <v>10017</v>
      </c>
      <c r="B18" s="2">
        <v>1099</v>
      </c>
      <c r="C18" s="3">
        <v>45148</v>
      </c>
      <c r="D18" s="3">
        <v>45151</v>
      </c>
      <c r="E18" s="2" t="s">
        <v>22</v>
      </c>
      <c r="F18" s="2" t="s">
        <v>60</v>
      </c>
      <c r="G18" s="2" t="s">
        <v>23</v>
      </c>
      <c r="H18" s="2" t="s">
        <v>50</v>
      </c>
      <c r="I18" s="2" t="s">
        <v>37</v>
      </c>
      <c r="J18" s="2" t="s">
        <v>45</v>
      </c>
      <c r="K18" s="2" t="s">
        <v>34</v>
      </c>
      <c r="L18" s="2">
        <v>2</v>
      </c>
      <c r="M18" s="2">
        <v>254.91</v>
      </c>
      <c r="N18" s="2">
        <v>15</v>
      </c>
      <c r="O18" s="2">
        <v>433.35</v>
      </c>
      <c r="P18" s="2">
        <f t="shared" si="0"/>
        <v>509.82</v>
      </c>
      <c r="Q18" s="2">
        <f t="shared" si="1"/>
        <v>76.472999999999999</v>
      </c>
      <c r="R18" s="2">
        <f t="shared" si="2"/>
        <v>433.34699999999998</v>
      </c>
      <c r="S18" s="2" t="str">
        <f t="shared" si="3"/>
        <v>Low</v>
      </c>
      <c r="T18" s="2" t="str" cm="1">
        <f t="array" ref="T18">_xlfn.IFS(L18&gt;5,"High",L18=5,"Medium",L18&lt;5,"Low")</f>
        <v>Low</v>
      </c>
      <c r="U18" s="2" t="str">
        <f t="shared" si="4"/>
        <v>Low</v>
      </c>
      <c r="V18" s="14" t="str">
        <f t="shared" si="5"/>
        <v>Heavy Discount</v>
      </c>
      <c r="W18" s="16" t="str">
        <f t="shared" si="6"/>
        <v>Average</v>
      </c>
      <c r="X18" s="18" t="str" cm="1">
        <f t="array" ref="X18">_xlfn.IFS(O18&gt;7000,"Excellent",O18&gt;4000,"Good",O18&lt;4000,"Average")</f>
        <v>Average</v>
      </c>
      <c r="AD18" s="23" t="str">
        <f t="shared" si="7"/>
        <v>Not Eligible</v>
      </c>
      <c r="AE18" s="24" t="str">
        <f t="shared" si="8"/>
        <v>Online</v>
      </c>
      <c r="AF18" s="27" t="str">
        <f t="shared" si="9"/>
        <v>Normal Order</v>
      </c>
      <c r="AH18" s="19" t="s">
        <v>92</v>
      </c>
    </row>
    <row r="19" spans="1:34" x14ac:dyDescent="0.3">
      <c r="A19" s="2">
        <v>10018</v>
      </c>
      <c r="B19" s="2">
        <v>1871</v>
      </c>
      <c r="C19" s="3">
        <v>45045</v>
      </c>
      <c r="D19" s="3">
        <v>45048</v>
      </c>
      <c r="E19" s="2" t="s">
        <v>21</v>
      </c>
      <c r="F19" s="2" t="s">
        <v>35</v>
      </c>
      <c r="G19" s="2" t="s">
        <v>30</v>
      </c>
      <c r="H19" s="2" t="s">
        <v>24</v>
      </c>
      <c r="I19" s="2" t="s">
        <v>25</v>
      </c>
      <c r="J19" s="2" t="s">
        <v>61</v>
      </c>
      <c r="K19" s="2" t="s">
        <v>34</v>
      </c>
      <c r="L19" s="2">
        <v>1</v>
      </c>
      <c r="M19" s="2">
        <v>2165.81</v>
      </c>
      <c r="N19" s="2">
        <v>15</v>
      </c>
      <c r="O19" s="2">
        <v>1840.94</v>
      </c>
      <c r="P19" s="2">
        <f t="shared" si="0"/>
        <v>2165.81</v>
      </c>
      <c r="Q19" s="2">
        <f t="shared" si="1"/>
        <v>324.87149999999997</v>
      </c>
      <c r="R19" s="2">
        <f t="shared" si="2"/>
        <v>1840.9385</v>
      </c>
      <c r="S19" s="2" t="str">
        <f t="shared" si="3"/>
        <v>Low</v>
      </c>
      <c r="T19" s="2" t="str" cm="1">
        <f t="array" ref="T19">_xlfn.IFS(L19&gt;5,"High",L19=5,"Medium",L19&lt;5,"Low")</f>
        <v>Low</v>
      </c>
      <c r="U19" s="2" t="str">
        <f t="shared" si="4"/>
        <v>Low</v>
      </c>
      <c r="V19" s="14" t="str">
        <f t="shared" si="5"/>
        <v>Heavy Discount</v>
      </c>
      <c r="W19" s="16" t="str">
        <f t="shared" si="6"/>
        <v>Average</v>
      </c>
      <c r="X19" s="18" t="str" cm="1">
        <f t="array" ref="X19">_xlfn.IFS(O19&gt;7000,"Excellent",O19&gt;4000,"Good",O19&lt;4000,"Average")</f>
        <v>Average</v>
      </c>
      <c r="AD19" s="23" t="str">
        <f t="shared" si="7"/>
        <v>Not Eligible</v>
      </c>
      <c r="AE19" s="24" t="str">
        <f t="shared" si="8"/>
        <v>Online</v>
      </c>
      <c r="AF19" s="27" t="str">
        <f t="shared" si="9"/>
        <v>Normal Order</v>
      </c>
      <c r="AH19" s="19" t="s">
        <v>96</v>
      </c>
    </row>
    <row r="20" spans="1:34" x14ac:dyDescent="0.3">
      <c r="A20" s="2">
        <v>10019</v>
      </c>
      <c r="B20" s="2">
        <v>1663</v>
      </c>
      <c r="C20" s="3">
        <v>44965</v>
      </c>
      <c r="D20" s="3">
        <v>44968</v>
      </c>
      <c r="E20" s="2" t="s">
        <v>40</v>
      </c>
      <c r="F20" s="2" t="s">
        <v>44</v>
      </c>
      <c r="G20" s="2" t="s">
        <v>36</v>
      </c>
      <c r="H20" s="2" t="s">
        <v>48</v>
      </c>
      <c r="I20" s="2" t="s">
        <v>37</v>
      </c>
      <c r="J20" s="2" t="s">
        <v>45</v>
      </c>
      <c r="K20" s="2" t="s">
        <v>39</v>
      </c>
      <c r="L20" s="2">
        <v>2</v>
      </c>
      <c r="M20" s="2">
        <v>990.3</v>
      </c>
      <c r="N20" s="2">
        <v>15</v>
      </c>
      <c r="O20" s="2">
        <v>1683.51</v>
      </c>
      <c r="P20" s="2">
        <f t="shared" si="0"/>
        <v>1980.6</v>
      </c>
      <c r="Q20" s="2">
        <f t="shared" si="1"/>
        <v>297.08999999999997</v>
      </c>
      <c r="R20" s="2">
        <f t="shared" si="2"/>
        <v>1683.51</v>
      </c>
      <c r="S20" s="2" t="str">
        <f t="shared" si="3"/>
        <v>Low</v>
      </c>
      <c r="T20" s="2" t="str" cm="1">
        <f t="array" ref="T20">_xlfn.IFS(L20&gt;5,"High",L20=5,"Medium",L20&lt;5,"Low")</f>
        <v>Low</v>
      </c>
      <c r="U20" s="2" t="str">
        <f t="shared" si="4"/>
        <v>Low</v>
      </c>
      <c r="V20" s="14" t="str">
        <f t="shared" si="5"/>
        <v>Heavy Discount</v>
      </c>
      <c r="W20" s="16" t="str">
        <f t="shared" si="6"/>
        <v>Average</v>
      </c>
      <c r="X20" s="18" t="str" cm="1">
        <f t="array" ref="X20">_xlfn.IFS(O20&gt;7000,"Excellent",O20&gt;4000,"Good",O20&lt;4000,"Average")</f>
        <v>Average</v>
      </c>
      <c r="AD20" s="23" t="str">
        <f t="shared" si="7"/>
        <v>Not Eligible</v>
      </c>
      <c r="AE20" s="24" t="str">
        <f t="shared" si="8"/>
        <v>Offline</v>
      </c>
      <c r="AF20" s="27" t="str">
        <f t="shared" si="9"/>
        <v>Normal Order</v>
      </c>
    </row>
    <row r="21" spans="1:34" x14ac:dyDescent="0.3">
      <c r="A21" s="2">
        <v>10020</v>
      </c>
      <c r="B21" s="2">
        <v>1130</v>
      </c>
      <c r="C21" s="3">
        <v>45194</v>
      </c>
      <c r="D21" s="3">
        <v>45203</v>
      </c>
      <c r="E21" s="2" t="s">
        <v>52</v>
      </c>
      <c r="F21" s="2" t="s">
        <v>44</v>
      </c>
      <c r="G21" s="2" t="s">
        <v>23</v>
      </c>
      <c r="H21" s="2" t="s">
        <v>24</v>
      </c>
      <c r="I21" s="2" t="s">
        <v>55</v>
      </c>
      <c r="J21" s="2" t="s">
        <v>57</v>
      </c>
      <c r="K21" s="2" t="s">
        <v>27</v>
      </c>
      <c r="L21" s="2">
        <v>2</v>
      </c>
      <c r="M21" s="2">
        <v>3959.31</v>
      </c>
      <c r="N21" s="2">
        <v>5</v>
      </c>
      <c r="O21" s="2">
        <v>7522.69</v>
      </c>
      <c r="P21" s="2">
        <f t="shared" si="0"/>
        <v>7918.62</v>
      </c>
      <c r="Q21" s="2">
        <f t="shared" si="1"/>
        <v>395.93100000000004</v>
      </c>
      <c r="R21" s="2">
        <f t="shared" si="2"/>
        <v>7522.6890000000003</v>
      </c>
      <c r="S21" s="2" t="str">
        <f t="shared" si="3"/>
        <v>Low</v>
      </c>
      <c r="T21" s="2" t="str" cm="1">
        <f t="array" ref="T21">_xlfn.IFS(L21&gt;5,"High",L21=5,"Medium",L21&lt;5,"Low")</f>
        <v>Low</v>
      </c>
      <c r="U21" s="2" t="str">
        <f t="shared" si="4"/>
        <v>Low</v>
      </c>
      <c r="V21" s="14" t="str">
        <f t="shared" si="5"/>
        <v>Normal Discount</v>
      </c>
      <c r="W21" s="16" t="str">
        <f t="shared" si="6"/>
        <v>Excellent</v>
      </c>
      <c r="X21" s="18" t="str" cm="1">
        <f t="array" ref="X21">_xlfn.IFS(O21&gt;7000,"Excellent",O21&gt;4000,"Good",O21&lt;4000,"Average")</f>
        <v>Excellent</v>
      </c>
      <c r="AD21" s="23" t="str">
        <f t="shared" si="7"/>
        <v>Eligible</v>
      </c>
      <c r="AE21" s="24" t="str">
        <f t="shared" si="8"/>
        <v>Online</v>
      </c>
      <c r="AF21" s="27" t="str">
        <f t="shared" si="9"/>
        <v>Priority Order</v>
      </c>
    </row>
    <row r="22" spans="1:34" x14ac:dyDescent="0.3">
      <c r="A22" s="2">
        <v>10021</v>
      </c>
      <c r="B22" s="2">
        <v>1661</v>
      </c>
      <c r="C22" s="3">
        <v>45159</v>
      </c>
      <c r="D22" s="3">
        <v>45163</v>
      </c>
      <c r="E22" s="2" t="s">
        <v>52</v>
      </c>
      <c r="F22" s="2" t="s">
        <v>35</v>
      </c>
      <c r="G22" s="2" t="s">
        <v>30</v>
      </c>
      <c r="H22" s="2" t="s">
        <v>24</v>
      </c>
      <c r="I22" s="2" t="s">
        <v>58</v>
      </c>
      <c r="J22" s="2" t="s">
        <v>62</v>
      </c>
      <c r="K22" s="2" t="s">
        <v>27</v>
      </c>
      <c r="L22" s="2">
        <v>3</v>
      </c>
      <c r="M22" s="2">
        <v>2361.58</v>
      </c>
      <c r="N22" s="2">
        <v>5</v>
      </c>
      <c r="O22" s="2">
        <v>6730.5</v>
      </c>
      <c r="P22" s="2">
        <f t="shared" si="0"/>
        <v>7084.74</v>
      </c>
      <c r="Q22" s="2">
        <f t="shared" si="1"/>
        <v>354.23700000000002</v>
      </c>
      <c r="R22" s="2">
        <f t="shared" si="2"/>
        <v>6730.5029999999997</v>
      </c>
      <c r="S22" s="2" t="str">
        <f t="shared" si="3"/>
        <v>Low</v>
      </c>
      <c r="T22" s="2" t="str" cm="1">
        <f t="array" ref="T22">_xlfn.IFS(L22&gt;5,"High",L22=5,"Medium",L22&lt;5,"Low")</f>
        <v>Low</v>
      </c>
      <c r="U22" s="2" t="str">
        <f t="shared" si="4"/>
        <v>Low</v>
      </c>
      <c r="V22" s="14" t="str">
        <f t="shared" si="5"/>
        <v>Normal Discount</v>
      </c>
      <c r="W22" s="16" t="str">
        <f t="shared" si="6"/>
        <v>Good</v>
      </c>
      <c r="X22" s="18" t="str" cm="1">
        <f t="array" ref="X22">_xlfn.IFS(O22&gt;7000,"Excellent",O22&gt;4000,"Good",O22&lt;4000,"Average")</f>
        <v>Good</v>
      </c>
      <c r="AD22" s="23" t="str">
        <f t="shared" si="7"/>
        <v>Eligible</v>
      </c>
      <c r="AE22" s="24" t="str">
        <f t="shared" si="8"/>
        <v>Online</v>
      </c>
      <c r="AF22" s="27" t="str">
        <f t="shared" si="9"/>
        <v>Normal Order</v>
      </c>
    </row>
    <row r="23" spans="1:34" x14ac:dyDescent="0.3">
      <c r="A23" s="2">
        <v>10022</v>
      </c>
      <c r="B23" s="2">
        <v>1308</v>
      </c>
      <c r="C23" s="3">
        <v>44944</v>
      </c>
      <c r="D23" s="3">
        <v>44951</v>
      </c>
      <c r="E23" s="2" t="s">
        <v>43</v>
      </c>
      <c r="F23" s="2" t="s">
        <v>29</v>
      </c>
      <c r="G23" s="2" t="s">
        <v>36</v>
      </c>
      <c r="H23" s="2" t="s">
        <v>41</v>
      </c>
      <c r="I23" s="2" t="s">
        <v>63</v>
      </c>
      <c r="J23" s="2" t="s">
        <v>64</v>
      </c>
      <c r="K23" s="2" t="s">
        <v>39</v>
      </c>
      <c r="L23" s="2">
        <v>7</v>
      </c>
      <c r="M23" s="2">
        <v>680.86</v>
      </c>
      <c r="N23" s="2">
        <v>20</v>
      </c>
      <c r="O23" s="2">
        <v>3812.82</v>
      </c>
      <c r="P23" s="2">
        <f t="shared" si="0"/>
        <v>4766.0200000000004</v>
      </c>
      <c r="Q23" s="2">
        <f t="shared" si="1"/>
        <v>953.20400000000018</v>
      </c>
      <c r="R23" s="2">
        <f t="shared" si="2"/>
        <v>3812.8160000000003</v>
      </c>
      <c r="S23" s="2" t="str">
        <f t="shared" si="3"/>
        <v>High</v>
      </c>
      <c r="T23" s="2" t="str" cm="1">
        <f t="array" ref="T23">_xlfn.IFS(L23&gt;5,"High",L23=5,"Medium",L23&lt;5,"Low")</f>
        <v>High</v>
      </c>
      <c r="U23" s="2" t="str">
        <f t="shared" si="4"/>
        <v>High</v>
      </c>
      <c r="V23" s="14" t="str">
        <f t="shared" si="5"/>
        <v>Heavy Discount</v>
      </c>
      <c r="W23" s="16" t="str">
        <f t="shared" si="6"/>
        <v>Average</v>
      </c>
      <c r="X23" s="18" t="str" cm="1">
        <f t="array" ref="X23">_xlfn.IFS(O23&gt;7000,"Excellent",O23&gt;4000,"Good",O23&lt;4000,"Average")</f>
        <v>Average</v>
      </c>
      <c r="AD23" s="23" t="str">
        <f t="shared" si="7"/>
        <v>Not Eligible</v>
      </c>
      <c r="AE23" s="24" t="str">
        <f t="shared" si="8"/>
        <v>Offline</v>
      </c>
      <c r="AF23" s="27" t="str">
        <f t="shared" si="9"/>
        <v>Priority Order</v>
      </c>
    </row>
    <row r="24" spans="1:34" x14ac:dyDescent="0.3">
      <c r="A24" s="2">
        <v>10023</v>
      </c>
      <c r="B24" s="2">
        <v>1769</v>
      </c>
      <c r="C24" s="3">
        <v>45075</v>
      </c>
      <c r="D24" s="3">
        <v>45084</v>
      </c>
      <c r="E24" s="2" t="s">
        <v>22</v>
      </c>
      <c r="F24" s="2" t="s">
        <v>29</v>
      </c>
      <c r="G24" s="2" t="s">
        <v>23</v>
      </c>
      <c r="H24" s="2" t="s">
        <v>48</v>
      </c>
      <c r="I24" s="2" t="s">
        <v>37</v>
      </c>
      <c r="J24" s="2" t="s">
        <v>38</v>
      </c>
      <c r="K24" s="2" t="s">
        <v>51</v>
      </c>
      <c r="L24" s="2">
        <v>2</v>
      </c>
      <c r="M24" s="2">
        <v>2801.74</v>
      </c>
      <c r="N24" s="2">
        <v>20</v>
      </c>
      <c r="O24" s="2">
        <v>4482.78</v>
      </c>
      <c r="P24" s="2">
        <f t="shared" si="0"/>
        <v>5603.48</v>
      </c>
      <c r="Q24" s="2">
        <f t="shared" si="1"/>
        <v>1120.6959999999999</v>
      </c>
      <c r="R24" s="2">
        <f t="shared" si="2"/>
        <v>4482.7839999999997</v>
      </c>
      <c r="S24" s="2" t="str">
        <f t="shared" si="3"/>
        <v>Low</v>
      </c>
      <c r="T24" s="2" t="str" cm="1">
        <f t="array" ref="T24">_xlfn.IFS(L24&gt;5,"High",L24=5,"Medium",L24&lt;5,"Low")</f>
        <v>Low</v>
      </c>
      <c r="U24" s="2" t="str">
        <f t="shared" si="4"/>
        <v>Low</v>
      </c>
      <c r="V24" s="14" t="str">
        <f t="shared" si="5"/>
        <v>Heavy Discount</v>
      </c>
      <c r="W24" s="16" t="str">
        <f t="shared" si="6"/>
        <v>Good</v>
      </c>
      <c r="X24" s="18" t="str" cm="1">
        <f t="array" ref="X24">_xlfn.IFS(O24&gt;7000,"Excellent",O24&gt;4000,"Good",O24&lt;4000,"Average")</f>
        <v>Good</v>
      </c>
      <c r="AD24" s="23" t="str">
        <f t="shared" si="7"/>
        <v>Not Eligible</v>
      </c>
      <c r="AE24" s="24" t="str">
        <f t="shared" si="8"/>
        <v>Online</v>
      </c>
      <c r="AF24" s="27" t="str">
        <f t="shared" si="9"/>
        <v>Normal Order</v>
      </c>
    </row>
    <row r="25" spans="1:34" x14ac:dyDescent="0.3">
      <c r="A25" s="2">
        <v>10024</v>
      </c>
      <c r="B25" s="2">
        <v>1343</v>
      </c>
      <c r="C25" s="3">
        <v>45075</v>
      </c>
      <c r="D25" s="3">
        <v>45082</v>
      </c>
      <c r="E25" s="2" t="s">
        <v>28</v>
      </c>
      <c r="F25" s="2" t="s">
        <v>47</v>
      </c>
      <c r="G25" s="2" t="s">
        <v>23</v>
      </c>
      <c r="H25" s="2" t="s">
        <v>50</v>
      </c>
      <c r="I25" s="2" t="s">
        <v>55</v>
      </c>
      <c r="J25" s="2" t="s">
        <v>57</v>
      </c>
      <c r="K25" s="2" t="s">
        <v>51</v>
      </c>
      <c r="L25" s="2">
        <v>1</v>
      </c>
      <c r="M25" s="2">
        <v>3606.31</v>
      </c>
      <c r="N25" s="2">
        <v>0</v>
      </c>
      <c r="O25" s="2">
        <v>3606.31</v>
      </c>
      <c r="P25" s="2">
        <f t="shared" si="0"/>
        <v>3606.31</v>
      </c>
      <c r="Q25" s="2">
        <f t="shared" si="1"/>
        <v>0</v>
      </c>
      <c r="R25" s="2">
        <f t="shared" si="2"/>
        <v>3606.31</v>
      </c>
      <c r="S25" s="2" t="str">
        <f t="shared" si="3"/>
        <v>Low</v>
      </c>
      <c r="T25" s="2" t="str" cm="1">
        <f t="array" ref="T25">_xlfn.IFS(L25&gt;5,"High",L25=5,"Medium",L25&lt;5,"Low")</f>
        <v>Low</v>
      </c>
      <c r="U25" s="2" t="str">
        <f t="shared" si="4"/>
        <v>Low</v>
      </c>
      <c r="V25" s="14" t="str">
        <f t="shared" si="5"/>
        <v>Normal Discount</v>
      </c>
      <c r="W25" s="16" t="str">
        <f t="shared" si="6"/>
        <v>Average</v>
      </c>
      <c r="X25" s="18" t="str" cm="1">
        <f t="array" ref="X25">_xlfn.IFS(O25&gt;7000,"Excellent",O25&gt;4000,"Good",O25&lt;4000,"Average")</f>
        <v>Average</v>
      </c>
      <c r="AD25" s="23" t="str">
        <f t="shared" si="7"/>
        <v>Not Eligible</v>
      </c>
      <c r="AE25" s="24" t="str">
        <f t="shared" si="8"/>
        <v>Online</v>
      </c>
      <c r="AF25" s="27" t="str">
        <f t="shared" si="9"/>
        <v>Normal Order</v>
      </c>
    </row>
    <row r="26" spans="1:34" x14ac:dyDescent="0.3">
      <c r="A26" s="2">
        <v>10025</v>
      </c>
      <c r="B26" s="2">
        <v>1491</v>
      </c>
      <c r="C26" s="3">
        <v>45052</v>
      </c>
      <c r="D26" s="3">
        <v>45061</v>
      </c>
      <c r="E26" s="2" t="s">
        <v>43</v>
      </c>
      <c r="F26" s="2" t="s">
        <v>44</v>
      </c>
      <c r="G26" s="2" t="s">
        <v>36</v>
      </c>
      <c r="H26" s="2" t="s">
        <v>50</v>
      </c>
      <c r="I26" s="2" t="s">
        <v>63</v>
      </c>
      <c r="J26" s="2" t="s">
        <v>65</v>
      </c>
      <c r="K26" s="2" t="s">
        <v>51</v>
      </c>
      <c r="L26" s="2">
        <v>6</v>
      </c>
      <c r="M26" s="2">
        <v>3018.94</v>
      </c>
      <c r="N26" s="2">
        <v>5</v>
      </c>
      <c r="O26" s="2">
        <v>17207.96</v>
      </c>
      <c r="P26" s="2">
        <f t="shared" si="0"/>
        <v>18113.64</v>
      </c>
      <c r="Q26" s="2">
        <f t="shared" si="1"/>
        <v>905.68200000000002</v>
      </c>
      <c r="R26" s="2">
        <f t="shared" si="2"/>
        <v>17207.957999999999</v>
      </c>
      <c r="S26" s="2" t="str">
        <f t="shared" si="3"/>
        <v>High</v>
      </c>
      <c r="T26" s="2" t="str" cm="1">
        <f t="array" ref="T26">_xlfn.IFS(L26&gt;5,"High",L26=5,"Medium",L26&lt;5,"Low")</f>
        <v>High</v>
      </c>
      <c r="U26" s="2" t="str">
        <f t="shared" si="4"/>
        <v>High</v>
      </c>
      <c r="V26" s="14" t="str">
        <f t="shared" si="5"/>
        <v>Normal Discount</v>
      </c>
      <c r="W26" s="16" t="str">
        <f t="shared" si="6"/>
        <v>Excellent</v>
      </c>
      <c r="X26" s="18" t="str" cm="1">
        <f t="array" ref="X26">_xlfn.IFS(O26&gt;7000,"Excellent",O26&gt;4000,"Good",O26&lt;4000,"Average")</f>
        <v>Excellent</v>
      </c>
      <c r="AD26" s="23" t="str">
        <f t="shared" si="7"/>
        <v>Eligible</v>
      </c>
      <c r="AE26" s="24" t="str">
        <f t="shared" si="8"/>
        <v>Offline</v>
      </c>
      <c r="AF26" s="27" t="str">
        <f t="shared" si="9"/>
        <v>Priority Order</v>
      </c>
    </row>
    <row r="27" spans="1:34" x14ac:dyDescent="0.3">
      <c r="A27" s="2">
        <v>10026</v>
      </c>
      <c r="B27" s="2">
        <v>1413</v>
      </c>
      <c r="C27" s="3">
        <v>45228</v>
      </c>
      <c r="D27" s="3">
        <v>45231</v>
      </c>
      <c r="E27" s="2" t="s">
        <v>40</v>
      </c>
      <c r="F27" s="2" t="s">
        <v>22</v>
      </c>
      <c r="G27" s="2" t="s">
        <v>36</v>
      </c>
      <c r="H27" s="2" t="s">
        <v>48</v>
      </c>
      <c r="I27" s="2" t="s">
        <v>58</v>
      </c>
      <c r="J27" s="2" t="s">
        <v>66</v>
      </c>
      <c r="K27" s="2" t="s">
        <v>39</v>
      </c>
      <c r="L27" s="2">
        <v>9</v>
      </c>
      <c r="M27" s="2">
        <v>444.29</v>
      </c>
      <c r="N27" s="2">
        <v>5</v>
      </c>
      <c r="O27" s="2">
        <v>3798.68</v>
      </c>
      <c r="P27" s="2">
        <f t="shared" si="0"/>
        <v>3998.61</v>
      </c>
      <c r="Q27" s="2">
        <f t="shared" si="1"/>
        <v>199.93050000000002</v>
      </c>
      <c r="R27" s="2">
        <f t="shared" si="2"/>
        <v>3798.6795000000002</v>
      </c>
      <c r="S27" s="2" t="str">
        <f t="shared" si="3"/>
        <v>High</v>
      </c>
      <c r="T27" s="2" t="str" cm="1">
        <f t="array" ref="T27">_xlfn.IFS(L27&gt;5,"High",L27=5,"Medium",L27&lt;5,"Low")</f>
        <v>High</v>
      </c>
      <c r="U27" s="2" t="str">
        <f t="shared" si="4"/>
        <v>High</v>
      </c>
      <c r="V27" s="14" t="str">
        <f t="shared" si="5"/>
        <v>Normal Discount</v>
      </c>
      <c r="W27" s="16" t="str">
        <f t="shared" si="6"/>
        <v>Average</v>
      </c>
      <c r="X27" s="18" t="str" cm="1">
        <f t="array" ref="X27">_xlfn.IFS(O27&gt;7000,"Excellent",O27&gt;4000,"Good",O27&lt;4000,"Average")</f>
        <v>Average</v>
      </c>
      <c r="AD27" s="23" t="str">
        <f t="shared" si="7"/>
        <v>Not Eligible</v>
      </c>
      <c r="AE27" s="24" t="str">
        <f t="shared" si="8"/>
        <v>Offline</v>
      </c>
      <c r="AF27" s="27" t="str">
        <f t="shared" si="9"/>
        <v>Priority Order</v>
      </c>
    </row>
    <row r="28" spans="1:34" x14ac:dyDescent="0.3">
      <c r="A28" s="2">
        <v>10027</v>
      </c>
      <c r="B28" s="2">
        <v>1805</v>
      </c>
      <c r="C28" s="3">
        <v>45286</v>
      </c>
      <c r="D28" s="3">
        <v>45290</v>
      </c>
      <c r="E28" s="2" t="s">
        <v>43</v>
      </c>
      <c r="F28" s="2" t="s">
        <v>47</v>
      </c>
      <c r="G28" s="2" t="s">
        <v>30</v>
      </c>
      <c r="H28" s="2" t="s">
        <v>41</v>
      </c>
      <c r="I28" s="2" t="s">
        <v>63</v>
      </c>
      <c r="J28" s="2" t="s">
        <v>64</v>
      </c>
      <c r="K28" s="2" t="s">
        <v>27</v>
      </c>
      <c r="L28" s="2">
        <v>3</v>
      </c>
      <c r="M28" s="2">
        <v>3599.15</v>
      </c>
      <c r="N28" s="2">
        <v>5</v>
      </c>
      <c r="O28" s="2">
        <v>10257.58</v>
      </c>
      <c r="P28" s="2">
        <f t="shared" si="0"/>
        <v>10797.45</v>
      </c>
      <c r="Q28" s="2">
        <f t="shared" si="1"/>
        <v>539.87250000000006</v>
      </c>
      <c r="R28" s="2">
        <f t="shared" si="2"/>
        <v>10257.577500000001</v>
      </c>
      <c r="S28" s="2" t="str">
        <f t="shared" si="3"/>
        <v>Low</v>
      </c>
      <c r="T28" s="2" t="str" cm="1">
        <f t="array" ref="T28">_xlfn.IFS(L28&gt;5,"High",L28=5,"Medium",L28&lt;5,"Low")</f>
        <v>Low</v>
      </c>
      <c r="U28" s="2" t="str">
        <f t="shared" si="4"/>
        <v>Low</v>
      </c>
      <c r="V28" s="14" t="str">
        <f t="shared" si="5"/>
        <v>Normal Discount</v>
      </c>
      <c r="W28" s="16" t="str">
        <f t="shared" si="6"/>
        <v>Excellent</v>
      </c>
      <c r="X28" s="18" t="str" cm="1">
        <f t="array" ref="X28">_xlfn.IFS(O28&gt;7000,"Excellent",O28&gt;4000,"Good",O28&lt;4000,"Average")</f>
        <v>Excellent</v>
      </c>
      <c r="AD28" s="23" t="str">
        <f t="shared" si="7"/>
        <v>Eligible</v>
      </c>
      <c r="AE28" s="24" t="str">
        <f t="shared" si="8"/>
        <v>Online</v>
      </c>
      <c r="AF28" s="27" t="str">
        <f t="shared" si="9"/>
        <v>Priority Order</v>
      </c>
    </row>
    <row r="29" spans="1:34" x14ac:dyDescent="0.3">
      <c r="A29" s="2">
        <v>10028</v>
      </c>
      <c r="B29" s="2">
        <v>1385</v>
      </c>
      <c r="C29" s="3">
        <v>45164</v>
      </c>
      <c r="D29" s="3">
        <v>45172</v>
      </c>
      <c r="E29" s="2" t="s">
        <v>46</v>
      </c>
      <c r="F29" s="2" t="s">
        <v>29</v>
      </c>
      <c r="G29" s="2" t="s">
        <v>30</v>
      </c>
      <c r="H29" s="2" t="s">
        <v>31</v>
      </c>
      <c r="I29" s="2" t="s">
        <v>55</v>
      </c>
      <c r="J29" s="2" t="s">
        <v>57</v>
      </c>
      <c r="K29" s="2" t="s">
        <v>39</v>
      </c>
      <c r="L29" s="2">
        <v>6</v>
      </c>
      <c r="M29" s="2">
        <v>3206.63</v>
      </c>
      <c r="N29" s="2">
        <v>20</v>
      </c>
      <c r="O29" s="2">
        <v>15391.82</v>
      </c>
      <c r="P29" s="2">
        <f t="shared" si="0"/>
        <v>19239.78</v>
      </c>
      <c r="Q29" s="2">
        <f t="shared" si="1"/>
        <v>3847.9560000000001</v>
      </c>
      <c r="R29" s="2">
        <f t="shared" si="2"/>
        <v>15391.823999999999</v>
      </c>
      <c r="S29" s="2" t="str">
        <f t="shared" si="3"/>
        <v>High</v>
      </c>
      <c r="T29" s="2" t="str" cm="1">
        <f t="array" ref="T29">_xlfn.IFS(L29&gt;5,"High",L29=5,"Medium",L29&lt;5,"Low")</f>
        <v>High</v>
      </c>
      <c r="U29" s="2" t="str">
        <f t="shared" si="4"/>
        <v>High</v>
      </c>
      <c r="V29" s="14" t="str">
        <f t="shared" si="5"/>
        <v>Heavy Discount</v>
      </c>
      <c r="W29" s="16" t="str">
        <f t="shared" si="6"/>
        <v>Excellent</v>
      </c>
      <c r="X29" s="18" t="str" cm="1">
        <f t="array" ref="X29">_xlfn.IFS(O29&gt;7000,"Excellent",O29&gt;4000,"Good",O29&lt;4000,"Average")</f>
        <v>Excellent</v>
      </c>
      <c r="AD29" s="23" t="str">
        <f t="shared" si="7"/>
        <v>Not Eligible</v>
      </c>
      <c r="AE29" s="24" t="str">
        <f t="shared" si="8"/>
        <v>Online</v>
      </c>
      <c r="AF29" s="27" t="str">
        <f t="shared" si="9"/>
        <v>Priority Order</v>
      </c>
    </row>
    <row r="30" spans="1:34" x14ac:dyDescent="0.3">
      <c r="A30" s="2">
        <v>10029</v>
      </c>
      <c r="B30" s="2">
        <v>1191</v>
      </c>
      <c r="C30" s="3">
        <v>45061</v>
      </c>
      <c r="D30" s="3">
        <v>45067</v>
      </c>
      <c r="E30" s="2" t="s">
        <v>52</v>
      </c>
      <c r="F30" s="2" t="s">
        <v>35</v>
      </c>
      <c r="G30" s="2" t="s">
        <v>23</v>
      </c>
      <c r="H30" s="2" t="s">
        <v>24</v>
      </c>
      <c r="I30" s="2" t="s">
        <v>32</v>
      </c>
      <c r="J30" s="2" t="s">
        <v>33</v>
      </c>
      <c r="K30" s="2" t="s">
        <v>39</v>
      </c>
      <c r="L30" s="2">
        <v>3</v>
      </c>
      <c r="M30" s="2">
        <v>759.47</v>
      </c>
      <c r="N30" s="2">
        <v>15</v>
      </c>
      <c r="O30" s="2">
        <v>1936.65</v>
      </c>
      <c r="P30" s="2">
        <f t="shared" si="0"/>
        <v>2278.41</v>
      </c>
      <c r="Q30" s="2">
        <f t="shared" si="1"/>
        <v>341.76149999999996</v>
      </c>
      <c r="R30" s="2">
        <f t="shared" si="2"/>
        <v>1936.6484999999998</v>
      </c>
      <c r="S30" s="2" t="str">
        <f t="shared" si="3"/>
        <v>Low</v>
      </c>
      <c r="T30" s="2" t="str" cm="1">
        <f t="array" ref="T30">_xlfn.IFS(L30&gt;5,"High",L30=5,"Medium",L30&lt;5,"Low")</f>
        <v>Low</v>
      </c>
      <c r="U30" s="2" t="str">
        <f t="shared" si="4"/>
        <v>Low</v>
      </c>
      <c r="V30" s="14" t="str">
        <f t="shared" si="5"/>
        <v>Heavy Discount</v>
      </c>
      <c r="W30" s="16" t="str">
        <f t="shared" si="6"/>
        <v>Average</v>
      </c>
      <c r="X30" s="18" t="str" cm="1">
        <f t="array" ref="X30">_xlfn.IFS(O30&gt;7000,"Excellent",O30&gt;4000,"Good",O30&lt;4000,"Average")</f>
        <v>Average</v>
      </c>
      <c r="AD30" s="23" t="str">
        <f t="shared" si="7"/>
        <v>Not Eligible</v>
      </c>
      <c r="AE30" s="24" t="str">
        <f t="shared" si="8"/>
        <v>Online</v>
      </c>
      <c r="AF30" s="27" t="str">
        <f t="shared" si="9"/>
        <v>Normal Order</v>
      </c>
    </row>
    <row r="31" spans="1:34" x14ac:dyDescent="0.3">
      <c r="A31" s="2">
        <v>10030</v>
      </c>
      <c r="B31" s="2">
        <v>1955</v>
      </c>
      <c r="C31" s="3">
        <v>45077</v>
      </c>
      <c r="D31" s="3">
        <v>45082</v>
      </c>
      <c r="E31" s="2" t="s">
        <v>52</v>
      </c>
      <c r="F31" s="2" t="s">
        <v>29</v>
      </c>
      <c r="G31" s="2" t="s">
        <v>36</v>
      </c>
      <c r="H31" s="2" t="s">
        <v>41</v>
      </c>
      <c r="I31" s="2" t="s">
        <v>32</v>
      </c>
      <c r="J31" s="2" t="s">
        <v>67</v>
      </c>
      <c r="K31" s="2" t="s">
        <v>51</v>
      </c>
      <c r="L31" s="2">
        <v>1</v>
      </c>
      <c r="M31" s="2">
        <v>349.38</v>
      </c>
      <c r="N31" s="2">
        <v>10</v>
      </c>
      <c r="O31" s="2">
        <v>314.44</v>
      </c>
      <c r="P31" s="2">
        <f t="shared" si="0"/>
        <v>349.38</v>
      </c>
      <c r="Q31" s="2">
        <f t="shared" si="1"/>
        <v>34.938000000000002</v>
      </c>
      <c r="R31" s="2">
        <f t="shared" si="2"/>
        <v>314.44200000000001</v>
      </c>
      <c r="S31" s="2" t="str">
        <f t="shared" si="3"/>
        <v>Low</v>
      </c>
      <c r="T31" s="2" t="str" cm="1">
        <f t="array" ref="T31">_xlfn.IFS(L31&gt;5,"High",L31=5,"Medium",L31&lt;5,"Low")</f>
        <v>Low</v>
      </c>
      <c r="U31" s="2" t="str">
        <f t="shared" si="4"/>
        <v>Low</v>
      </c>
      <c r="V31" s="14" t="str">
        <f t="shared" si="5"/>
        <v>Normal Discount</v>
      </c>
      <c r="W31" s="16" t="str">
        <f t="shared" si="6"/>
        <v>Average</v>
      </c>
      <c r="X31" s="18" t="str" cm="1">
        <f t="array" ref="X31">_xlfn.IFS(O31&gt;7000,"Excellent",O31&gt;4000,"Good",O31&lt;4000,"Average")</f>
        <v>Average</v>
      </c>
      <c r="AD31" s="23" t="str">
        <f t="shared" si="7"/>
        <v>Not Eligible</v>
      </c>
      <c r="AE31" s="24" t="str">
        <f t="shared" si="8"/>
        <v>Offline</v>
      </c>
      <c r="AF31" s="27" t="str">
        <f t="shared" si="9"/>
        <v>Normal Order</v>
      </c>
    </row>
    <row r="32" spans="1:34" x14ac:dyDescent="0.3">
      <c r="A32" s="2">
        <v>10031</v>
      </c>
      <c r="B32" s="2">
        <v>1276</v>
      </c>
      <c r="C32" s="3">
        <v>45162</v>
      </c>
      <c r="D32" s="3">
        <v>45166</v>
      </c>
      <c r="E32" s="2" t="s">
        <v>21</v>
      </c>
      <c r="F32" s="2" t="s">
        <v>35</v>
      </c>
      <c r="G32" s="2" t="s">
        <v>36</v>
      </c>
      <c r="H32" s="2" t="s">
        <v>48</v>
      </c>
      <c r="I32" s="2" t="s">
        <v>63</v>
      </c>
      <c r="J32" s="2" t="s">
        <v>68</v>
      </c>
      <c r="K32" s="2" t="s">
        <v>53</v>
      </c>
      <c r="L32" s="2">
        <v>5</v>
      </c>
      <c r="M32" s="2">
        <v>2295.65</v>
      </c>
      <c r="N32" s="2">
        <v>20</v>
      </c>
      <c r="O32" s="2">
        <v>9182.6</v>
      </c>
      <c r="P32" s="2">
        <f t="shared" si="0"/>
        <v>11478.25</v>
      </c>
      <c r="Q32" s="2">
        <f t="shared" si="1"/>
        <v>2295.65</v>
      </c>
      <c r="R32" s="2">
        <f t="shared" si="2"/>
        <v>9182.6</v>
      </c>
      <c r="S32" s="2" t="str">
        <f t="shared" si="3"/>
        <v>High</v>
      </c>
      <c r="T32" s="2" t="str" cm="1">
        <f t="array" ref="T32">_xlfn.IFS(L32&gt;5,"High",L32=5,"Medium",L32&lt;5,"Low")</f>
        <v>Medium</v>
      </c>
      <c r="U32" s="2" t="str">
        <f t="shared" si="4"/>
        <v>Medium</v>
      </c>
      <c r="V32" s="14" t="str">
        <f t="shared" si="5"/>
        <v>Heavy Discount</v>
      </c>
      <c r="W32" s="16" t="str">
        <f t="shared" si="6"/>
        <v>Excellent</v>
      </c>
      <c r="X32" s="18" t="str" cm="1">
        <f t="array" ref="X32">_xlfn.IFS(O32&gt;7000,"Excellent",O32&gt;4000,"Good",O32&lt;4000,"Average")</f>
        <v>Excellent</v>
      </c>
      <c r="AD32" s="23" t="str">
        <f t="shared" si="7"/>
        <v>Not Eligible</v>
      </c>
      <c r="AE32" s="24" t="str">
        <f t="shared" si="8"/>
        <v>Offline</v>
      </c>
      <c r="AF32" s="27" t="str">
        <f t="shared" si="9"/>
        <v>Priority Order</v>
      </c>
    </row>
    <row r="33" spans="1:32" x14ac:dyDescent="0.3">
      <c r="A33" s="2">
        <v>10032</v>
      </c>
      <c r="B33" s="2">
        <v>1160</v>
      </c>
      <c r="C33" s="3">
        <v>45150</v>
      </c>
      <c r="D33" s="3">
        <v>45158</v>
      </c>
      <c r="E33" s="2" t="s">
        <v>21</v>
      </c>
      <c r="F33" s="2" t="s">
        <v>47</v>
      </c>
      <c r="G33" s="2" t="s">
        <v>36</v>
      </c>
      <c r="H33" s="2" t="s">
        <v>24</v>
      </c>
      <c r="I33" s="2" t="s">
        <v>25</v>
      </c>
      <c r="J33" s="2" t="s">
        <v>49</v>
      </c>
      <c r="K33" s="2" t="s">
        <v>27</v>
      </c>
      <c r="L33" s="2">
        <v>4</v>
      </c>
      <c r="M33" s="2">
        <v>750.74</v>
      </c>
      <c r="N33" s="2">
        <v>5</v>
      </c>
      <c r="O33" s="2">
        <v>2852.81</v>
      </c>
      <c r="P33" s="2">
        <f t="shared" si="0"/>
        <v>3002.96</v>
      </c>
      <c r="Q33" s="2">
        <f t="shared" si="1"/>
        <v>150.148</v>
      </c>
      <c r="R33" s="2">
        <f t="shared" si="2"/>
        <v>2852.8119999999999</v>
      </c>
      <c r="S33" s="2" t="str">
        <f t="shared" si="3"/>
        <v>Low</v>
      </c>
      <c r="T33" s="2" t="str" cm="1">
        <f t="array" ref="T33">_xlfn.IFS(L33&gt;5,"High",L33=5,"Medium",L33&lt;5,"Low")</f>
        <v>Low</v>
      </c>
      <c r="U33" s="2" t="str">
        <f t="shared" si="4"/>
        <v>Low</v>
      </c>
      <c r="V33" s="14" t="str">
        <f t="shared" si="5"/>
        <v>Normal Discount</v>
      </c>
      <c r="W33" s="16" t="str">
        <f t="shared" si="6"/>
        <v>Average</v>
      </c>
      <c r="X33" s="18" t="str" cm="1">
        <f t="array" ref="X33">_xlfn.IFS(O33&gt;7000,"Excellent",O33&gt;4000,"Good",O33&lt;4000,"Average")</f>
        <v>Average</v>
      </c>
      <c r="AD33" s="23" t="str">
        <f t="shared" si="7"/>
        <v>Not Eligible</v>
      </c>
      <c r="AE33" s="24" t="str">
        <f t="shared" si="8"/>
        <v>Offline</v>
      </c>
      <c r="AF33" s="27" t="str">
        <f t="shared" si="9"/>
        <v>Normal Order</v>
      </c>
    </row>
    <row r="34" spans="1:32" x14ac:dyDescent="0.3">
      <c r="A34" s="2">
        <v>10033</v>
      </c>
      <c r="B34" s="2">
        <v>1459</v>
      </c>
      <c r="C34" s="3">
        <v>45129</v>
      </c>
      <c r="D34" s="3">
        <v>45130</v>
      </c>
      <c r="E34" s="2" t="s">
        <v>28</v>
      </c>
      <c r="F34" s="2" t="s">
        <v>44</v>
      </c>
      <c r="G34" s="2" t="s">
        <v>23</v>
      </c>
      <c r="H34" s="2" t="s">
        <v>50</v>
      </c>
      <c r="I34" s="2" t="s">
        <v>63</v>
      </c>
      <c r="J34" s="2" t="s">
        <v>65</v>
      </c>
      <c r="K34" s="2" t="s">
        <v>51</v>
      </c>
      <c r="L34" s="2">
        <v>7</v>
      </c>
      <c r="M34" s="2">
        <v>3363.18</v>
      </c>
      <c r="N34" s="2">
        <v>20</v>
      </c>
      <c r="O34" s="2">
        <v>18833.810000000001</v>
      </c>
      <c r="P34" s="2">
        <f t="shared" si="0"/>
        <v>23542.26</v>
      </c>
      <c r="Q34" s="2">
        <f t="shared" si="1"/>
        <v>4708.4520000000002</v>
      </c>
      <c r="R34" s="2">
        <f t="shared" si="2"/>
        <v>18833.807999999997</v>
      </c>
      <c r="S34" s="2" t="str">
        <f t="shared" si="3"/>
        <v>High</v>
      </c>
      <c r="T34" s="2" t="str" cm="1">
        <f t="array" ref="T34">_xlfn.IFS(L34&gt;5,"High",L34=5,"Medium",L34&lt;5,"Low")</f>
        <v>High</v>
      </c>
      <c r="U34" s="2" t="str">
        <f t="shared" si="4"/>
        <v>High</v>
      </c>
      <c r="V34" s="14" t="str">
        <f t="shared" si="5"/>
        <v>Heavy Discount</v>
      </c>
      <c r="W34" s="16" t="str">
        <f t="shared" si="6"/>
        <v>Excellent</v>
      </c>
      <c r="X34" s="18" t="str" cm="1">
        <f t="array" ref="X34">_xlfn.IFS(O34&gt;7000,"Excellent",O34&gt;4000,"Good",O34&lt;4000,"Average")</f>
        <v>Excellent</v>
      </c>
      <c r="AD34" s="23" t="str">
        <f t="shared" si="7"/>
        <v>Not Eligible</v>
      </c>
      <c r="AE34" s="24" t="str">
        <f t="shared" si="8"/>
        <v>Online</v>
      </c>
      <c r="AF34" s="27" t="str">
        <f t="shared" si="9"/>
        <v>Priority Order</v>
      </c>
    </row>
    <row r="35" spans="1:32" x14ac:dyDescent="0.3">
      <c r="A35" s="2">
        <v>10034</v>
      </c>
      <c r="B35" s="2">
        <v>1313</v>
      </c>
      <c r="C35" s="3">
        <v>45182</v>
      </c>
      <c r="D35" s="3">
        <v>45191</v>
      </c>
      <c r="E35" s="2" t="s">
        <v>40</v>
      </c>
      <c r="F35" s="2" t="s">
        <v>29</v>
      </c>
      <c r="G35" s="2" t="s">
        <v>36</v>
      </c>
      <c r="H35" s="2" t="s">
        <v>31</v>
      </c>
      <c r="I35" s="2" t="s">
        <v>37</v>
      </c>
      <c r="J35" s="2" t="s">
        <v>54</v>
      </c>
      <c r="K35" s="2" t="s">
        <v>53</v>
      </c>
      <c r="L35" s="2">
        <v>6</v>
      </c>
      <c r="M35" s="2">
        <v>1529.59</v>
      </c>
      <c r="N35" s="2">
        <v>0</v>
      </c>
      <c r="O35" s="2">
        <v>9177.5400000000009</v>
      </c>
      <c r="P35" s="2">
        <f t="shared" si="0"/>
        <v>9177.5399999999991</v>
      </c>
      <c r="Q35" s="2">
        <f t="shared" si="1"/>
        <v>0</v>
      </c>
      <c r="R35" s="2">
        <f t="shared" si="2"/>
        <v>9177.5399999999991</v>
      </c>
      <c r="S35" s="2" t="str">
        <f t="shared" si="3"/>
        <v>High</v>
      </c>
      <c r="T35" s="2" t="str" cm="1">
        <f t="array" ref="T35">_xlfn.IFS(L35&gt;5,"High",L35=5,"Medium",L35&lt;5,"Low")</f>
        <v>High</v>
      </c>
      <c r="U35" s="2" t="str">
        <f t="shared" si="4"/>
        <v>High</v>
      </c>
      <c r="V35" s="14" t="str">
        <f t="shared" si="5"/>
        <v>Normal Discount</v>
      </c>
      <c r="W35" s="16" t="str">
        <f t="shared" si="6"/>
        <v>Excellent</v>
      </c>
      <c r="X35" s="18" t="str" cm="1">
        <f t="array" ref="X35">_xlfn.IFS(O35&gt;7000,"Excellent",O35&gt;4000,"Good",O35&lt;4000,"Average")</f>
        <v>Excellent</v>
      </c>
      <c r="AD35" s="23" t="str">
        <f t="shared" si="7"/>
        <v>Eligible</v>
      </c>
      <c r="AE35" s="24" t="str">
        <f t="shared" si="8"/>
        <v>Offline</v>
      </c>
      <c r="AF35" s="27" t="str">
        <f t="shared" si="9"/>
        <v>Priority Order</v>
      </c>
    </row>
    <row r="36" spans="1:32" x14ac:dyDescent="0.3">
      <c r="A36" s="2">
        <v>10035</v>
      </c>
      <c r="B36" s="2">
        <v>1021</v>
      </c>
      <c r="C36" s="3">
        <v>45012</v>
      </c>
      <c r="D36" s="3">
        <v>45013</v>
      </c>
      <c r="E36" s="2" t="s">
        <v>46</v>
      </c>
      <c r="F36" s="2" t="s">
        <v>35</v>
      </c>
      <c r="G36" s="2" t="s">
        <v>36</v>
      </c>
      <c r="H36" s="2" t="s">
        <v>50</v>
      </c>
      <c r="I36" s="2" t="s">
        <v>37</v>
      </c>
      <c r="J36" s="2" t="s">
        <v>54</v>
      </c>
      <c r="K36" s="2" t="s">
        <v>53</v>
      </c>
      <c r="L36" s="2">
        <v>7</v>
      </c>
      <c r="M36" s="2">
        <v>3664.64</v>
      </c>
      <c r="N36" s="2">
        <v>5</v>
      </c>
      <c r="O36" s="2">
        <v>24369.86</v>
      </c>
      <c r="P36" s="2">
        <f t="shared" si="0"/>
        <v>25652.48</v>
      </c>
      <c r="Q36" s="2">
        <f t="shared" si="1"/>
        <v>1282.624</v>
      </c>
      <c r="R36" s="2">
        <f t="shared" si="2"/>
        <v>24369.856</v>
      </c>
      <c r="S36" s="2" t="str">
        <f t="shared" si="3"/>
        <v>High</v>
      </c>
      <c r="T36" s="2" t="str" cm="1">
        <f t="array" ref="T36">_xlfn.IFS(L36&gt;5,"High",L36=5,"Medium",L36&lt;5,"Low")</f>
        <v>High</v>
      </c>
      <c r="U36" s="2" t="str">
        <f t="shared" si="4"/>
        <v>High</v>
      </c>
      <c r="V36" s="14" t="str">
        <f t="shared" si="5"/>
        <v>Normal Discount</v>
      </c>
      <c r="W36" s="16" t="str">
        <f t="shared" si="6"/>
        <v>Excellent</v>
      </c>
      <c r="X36" s="18" t="str" cm="1">
        <f t="array" ref="X36">_xlfn.IFS(O36&gt;7000,"Excellent",O36&gt;4000,"Good",O36&lt;4000,"Average")</f>
        <v>Excellent</v>
      </c>
      <c r="AD36" s="23" t="str">
        <f t="shared" si="7"/>
        <v>Eligible</v>
      </c>
      <c r="AE36" s="24" t="str">
        <f t="shared" si="8"/>
        <v>Offline</v>
      </c>
      <c r="AF36" s="27" t="str">
        <f t="shared" si="9"/>
        <v>Priority Order</v>
      </c>
    </row>
    <row r="37" spans="1:32" x14ac:dyDescent="0.3">
      <c r="A37" s="2">
        <v>10036</v>
      </c>
      <c r="B37" s="2">
        <v>1252</v>
      </c>
      <c r="C37" s="3">
        <v>45076</v>
      </c>
      <c r="D37" s="3">
        <v>45084</v>
      </c>
      <c r="E37" s="2" t="s">
        <v>22</v>
      </c>
      <c r="F37" s="2" t="s">
        <v>44</v>
      </c>
      <c r="G37" s="2" t="s">
        <v>23</v>
      </c>
      <c r="H37" s="2" t="s">
        <v>48</v>
      </c>
      <c r="I37" s="2" t="s">
        <v>32</v>
      </c>
      <c r="J37" s="2" t="s">
        <v>33</v>
      </c>
      <c r="K37" s="2" t="s">
        <v>34</v>
      </c>
      <c r="L37" s="2">
        <v>5</v>
      </c>
      <c r="M37" s="2">
        <v>2327.9</v>
      </c>
      <c r="N37" s="2">
        <v>0</v>
      </c>
      <c r="O37" s="2">
        <v>11639.5</v>
      </c>
      <c r="P37" s="2">
        <f t="shared" si="0"/>
        <v>11639.5</v>
      </c>
      <c r="Q37" s="2">
        <f t="shared" si="1"/>
        <v>0</v>
      </c>
      <c r="R37" s="2">
        <f t="shared" si="2"/>
        <v>11639.5</v>
      </c>
      <c r="S37" s="2" t="str">
        <f t="shared" si="3"/>
        <v>High</v>
      </c>
      <c r="T37" s="2" t="str" cm="1">
        <f t="array" ref="T37">_xlfn.IFS(L37&gt;5,"High",L37=5,"Medium",L37&lt;5,"Low")</f>
        <v>Medium</v>
      </c>
      <c r="U37" s="2" t="str">
        <f t="shared" si="4"/>
        <v>Medium</v>
      </c>
      <c r="V37" s="14" t="str">
        <f t="shared" si="5"/>
        <v>Normal Discount</v>
      </c>
      <c r="W37" s="16" t="str">
        <f t="shared" si="6"/>
        <v>Excellent</v>
      </c>
      <c r="X37" s="18" t="str" cm="1">
        <f t="array" ref="X37">_xlfn.IFS(O37&gt;7000,"Excellent",O37&gt;4000,"Good",O37&lt;4000,"Average")</f>
        <v>Excellent</v>
      </c>
      <c r="AD37" s="23" t="str">
        <f t="shared" si="7"/>
        <v>Eligible</v>
      </c>
      <c r="AE37" s="24" t="str">
        <f t="shared" si="8"/>
        <v>Online</v>
      </c>
      <c r="AF37" s="27" t="str">
        <f t="shared" si="9"/>
        <v>Priority Order</v>
      </c>
    </row>
    <row r="38" spans="1:32" x14ac:dyDescent="0.3">
      <c r="A38" s="2">
        <v>10037</v>
      </c>
      <c r="B38" s="2">
        <v>1747</v>
      </c>
      <c r="C38" s="3">
        <v>45161</v>
      </c>
      <c r="D38" s="3">
        <v>45165</v>
      </c>
      <c r="E38" s="2" t="s">
        <v>43</v>
      </c>
      <c r="F38" s="2" t="s">
        <v>22</v>
      </c>
      <c r="G38" s="2" t="s">
        <v>30</v>
      </c>
      <c r="H38" s="2" t="s">
        <v>24</v>
      </c>
      <c r="I38" s="2" t="s">
        <v>25</v>
      </c>
      <c r="J38" s="2" t="s">
        <v>61</v>
      </c>
      <c r="K38" s="2" t="s">
        <v>27</v>
      </c>
      <c r="L38" s="2">
        <v>4</v>
      </c>
      <c r="M38" s="2">
        <v>853.29</v>
      </c>
      <c r="N38" s="2">
        <v>5</v>
      </c>
      <c r="O38" s="2">
        <v>3242.5</v>
      </c>
      <c r="P38" s="2">
        <f t="shared" si="0"/>
        <v>3413.16</v>
      </c>
      <c r="Q38" s="2">
        <f t="shared" si="1"/>
        <v>170.65800000000002</v>
      </c>
      <c r="R38" s="2">
        <f t="shared" si="2"/>
        <v>3242.502</v>
      </c>
      <c r="S38" s="2" t="str">
        <f t="shared" si="3"/>
        <v>Low</v>
      </c>
      <c r="T38" s="2" t="str" cm="1">
        <f t="array" ref="T38">_xlfn.IFS(L38&gt;5,"High",L38=5,"Medium",L38&lt;5,"Low")</f>
        <v>Low</v>
      </c>
      <c r="U38" s="2" t="str">
        <f t="shared" si="4"/>
        <v>Low</v>
      </c>
      <c r="V38" s="14" t="str">
        <f t="shared" si="5"/>
        <v>Normal Discount</v>
      </c>
      <c r="W38" s="16" t="str">
        <f t="shared" si="6"/>
        <v>Average</v>
      </c>
      <c r="X38" s="18" t="str" cm="1">
        <f t="array" ref="X38">_xlfn.IFS(O38&gt;7000,"Excellent",O38&gt;4000,"Good",O38&lt;4000,"Average")</f>
        <v>Average</v>
      </c>
      <c r="AD38" s="23" t="str">
        <f t="shared" si="7"/>
        <v>Not Eligible</v>
      </c>
      <c r="AE38" s="24" t="str">
        <f t="shared" si="8"/>
        <v>Online</v>
      </c>
      <c r="AF38" s="27" t="str">
        <f t="shared" si="9"/>
        <v>Normal Order</v>
      </c>
    </row>
    <row r="39" spans="1:32" x14ac:dyDescent="0.3">
      <c r="A39" s="2">
        <v>10038</v>
      </c>
      <c r="B39" s="2">
        <v>1856</v>
      </c>
      <c r="C39" s="3">
        <v>45271</v>
      </c>
      <c r="D39" s="3">
        <v>45280</v>
      </c>
      <c r="E39" s="2" t="s">
        <v>28</v>
      </c>
      <c r="F39" s="2" t="s">
        <v>35</v>
      </c>
      <c r="G39" s="2" t="s">
        <v>30</v>
      </c>
      <c r="H39" s="2" t="s">
        <v>48</v>
      </c>
      <c r="I39" s="2" t="s">
        <v>55</v>
      </c>
      <c r="J39" s="2" t="s">
        <v>69</v>
      </c>
      <c r="K39" s="2" t="s">
        <v>53</v>
      </c>
      <c r="L39" s="2">
        <v>7</v>
      </c>
      <c r="M39" s="2">
        <v>687.46</v>
      </c>
      <c r="N39" s="2">
        <v>20</v>
      </c>
      <c r="O39" s="2">
        <v>3849.78</v>
      </c>
      <c r="P39" s="2">
        <f t="shared" si="0"/>
        <v>4812.22</v>
      </c>
      <c r="Q39" s="2">
        <f t="shared" si="1"/>
        <v>962.44400000000007</v>
      </c>
      <c r="R39" s="2">
        <f t="shared" si="2"/>
        <v>3849.7760000000003</v>
      </c>
      <c r="S39" s="2" t="str">
        <f t="shared" si="3"/>
        <v>High</v>
      </c>
      <c r="T39" s="2" t="str" cm="1">
        <f t="array" ref="T39">_xlfn.IFS(L39&gt;5,"High",L39=5,"Medium",L39&lt;5,"Low")</f>
        <v>High</v>
      </c>
      <c r="U39" s="2" t="str">
        <f t="shared" si="4"/>
        <v>High</v>
      </c>
      <c r="V39" s="14" t="str">
        <f t="shared" si="5"/>
        <v>Heavy Discount</v>
      </c>
      <c r="W39" s="16" t="str">
        <f t="shared" si="6"/>
        <v>Average</v>
      </c>
      <c r="X39" s="18" t="str" cm="1">
        <f t="array" ref="X39">_xlfn.IFS(O39&gt;7000,"Excellent",O39&gt;4000,"Good",O39&lt;4000,"Average")</f>
        <v>Average</v>
      </c>
      <c r="AD39" s="23" t="str">
        <f t="shared" si="7"/>
        <v>Not Eligible</v>
      </c>
      <c r="AE39" s="24" t="str">
        <f t="shared" si="8"/>
        <v>Online</v>
      </c>
      <c r="AF39" s="27" t="str">
        <f t="shared" si="9"/>
        <v>Priority Order</v>
      </c>
    </row>
    <row r="40" spans="1:32" x14ac:dyDescent="0.3">
      <c r="A40" s="2">
        <v>10039</v>
      </c>
      <c r="B40" s="2">
        <v>1560</v>
      </c>
      <c r="C40" s="3">
        <v>44948</v>
      </c>
      <c r="D40" s="3">
        <v>44953</v>
      </c>
      <c r="E40" s="2" t="s">
        <v>40</v>
      </c>
      <c r="F40" s="2" t="s">
        <v>47</v>
      </c>
      <c r="G40" s="2" t="s">
        <v>23</v>
      </c>
      <c r="H40" s="2" t="s">
        <v>24</v>
      </c>
      <c r="I40" s="2" t="s">
        <v>37</v>
      </c>
      <c r="J40" s="2" t="s">
        <v>54</v>
      </c>
      <c r="K40" s="2" t="s">
        <v>51</v>
      </c>
      <c r="L40" s="2">
        <v>7</v>
      </c>
      <c r="M40" s="2">
        <v>2369.42</v>
      </c>
      <c r="N40" s="2">
        <v>15</v>
      </c>
      <c r="O40" s="2">
        <v>14098.05</v>
      </c>
      <c r="P40" s="2">
        <f t="shared" si="0"/>
        <v>16585.940000000002</v>
      </c>
      <c r="Q40" s="2">
        <f t="shared" si="1"/>
        <v>2487.8910000000001</v>
      </c>
      <c r="R40" s="2">
        <f t="shared" si="2"/>
        <v>14098.049000000003</v>
      </c>
      <c r="S40" s="2" t="str">
        <f t="shared" si="3"/>
        <v>High</v>
      </c>
      <c r="T40" s="2" t="str" cm="1">
        <f t="array" ref="T40">_xlfn.IFS(L40&gt;5,"High",L40=5,"Medium",L40&lt;5,"Low")</f>
        <v>High</v>
      </c>
      <c r="U40" s="2" t="str">
        <f t="shared" si="4"/>
        <v>High</v>
      </c>
      <c r="V40" s="14" t="str">
        <f t="shared" si="5"/>
        <v>Heavy Discount</v>
      </c>
      <c r="W40" s="16" t="str">
        <f t="shared" si="6"/>
        <v>Excellent</v>
      </c>
      <c r="X40" s="18" t="str" cm="1">
        <f t="array" ref="X40">_xlfn.IFS(O40&gt;7000,"Excellent",O40&gt;4000,"Good",O40&lt;4000,"Average")</f>
        <v>Excellent</v>
      </c>
      <c r="AD40" s="23" t="str">
        <f t="shared" si="7"/>
        <v>Not Eligible</v>
      </c>
      <c r="AE40" s="24" t="str">
        <f t="shared" si="8"/>
        <v>Online</v>
      </c>
      <c r="AF40" s="27" t="str">
        <f t="shared" si="9"/>
        <v>Priority Order</v>
      </c>
    </row>
    <row r="41" spans="1:32" x14ac:dyDescent="0.3">
      <c r="A41" s="2">
        <v>10040</v>
      </c>
      <c r="B41" s="2">
        <v>1474</v>
      </c>
      <c r="C41" s="3">
        <v>45274</v>
      </c>
      <c r="D41" s="3">
        <v>45277</v>
      </c>
      <c r="E41" s="2" t="s">
        <v>21</v>
      </c>
      <c r="F41" s="2" t="s">
        <v>22</v>
      </c>
      <c r="G41" s="2" t="s">
        <v>36</v>
      </c>
      <c r="H41" s="2" t="s">
        <v>41</v>
      </c>
      <c r="I41" s="2" t="s">
        <v>32</v>
      </c>
      <c r="J41" s="2" t="s">
        <v>33</v>
      </c>
      <c r="K41" s="2" t="s">
        <v>34</v>
      </c>
      <c r="L41" s="2">
        <v>6</v>
      </c>
      <c r="M41" s="2">
        <v>3083.25</v>
      </c>
      <c r="N41" s="2">
        <v>10</v>
      </c>
      <c r="O41" s="2">
        <v>16649.55</v>
      </c>
      <c r="P41" s="2">
        <f t="shared" si="0"/>
        <v>18499.5</v>
      </c>
      <c r="Q41" s="2">
        <f t="shared" si="1"/>
        <v>1849.95</v>
      </c>
      <c r="R41" s="2">
        <f t="shared" si="2"/>
        <v>16649.55</v>
      </c>
      <c r="S41" s="2" t="str">
        <f t="shared" si="3"/>
        <v>High</v>
      </c>
      <c r="T41" s="2" t="str" cm="1">
        <f t="array" ref="T41">_xlfn.IFS(L41&gt;5,"High",L41=5,"Medium",L41&lt;5,"Low")</f>
        <v>High</v>
      </c>
      <c r="U41" s="2" t="str">
        <f t="shared" si="4"/>
        <v>High</v>
      </c>
      <c r="V41" s="14" t="str">
        <f t="shared" si="5"/>
        <v>Normal Discount</v>
      </c>
      <c r="W41" s="16" t="str">
        <f t="shared" si="6"/>
        <v>Excellent</v>
      </c>
      <c r="X41" s="18" t="str" cm="1">
        <f t="array" ref="X41">_xlfn.IFS(O41&gt;7000,"Excellent",O41&gt;4000,"Good",O41&lt;4000,"Average")</f>
        <v>Excellent</v>
      </c>
      <c r="AD41" s="23" t="str">
        <f t="shared" si="7"/>
        <v>Not Eligible</v>
      </c>
      <c r="AE41" s="24" t="str">
        <f t="shared" si="8"/>
        <v>Offline</v>
      </c>
      <c r="AF41" s="27" t="str">
        <f t="shared" si="9"/>
        <v>Priority Order</v>
      </c>
    </row>
    <row r="42" spans="1:32" x14ac:dyDescent="0.3">
      <c r="A42" s="2">
        <v>10041</v>
      </c>
      <c r="B42" s="2">
        <v>1058</v>
      </c>
      <c r="C42" s="3">
        <v>45211</v>
      </c>
      <c r="D42" s="3">
        <v>45220</v>
      </c>
      <c r="E42" s="2" t="s">
        <v>43</v>
      </c>
      <c r="F42" s="2" t="s">
        <v>22</v>
      </c>
      <c r="G42" s="2" t="s">
        <v>23</v>
      </c>
      <c r="H42" s="2" t="s">
        <v>31</v>
      </c>
      <c r="I42" s="2" t="s">
        <v>58</v>
      </c>
      <c r="J42" s="2" t="s">
        <v>70</v>
      </c>
      <c r="K42" s="2" t="s">
        <v>27</v>
      </c>
      <c r="L42" s="2">
        <v>8</v>
      </c>
      <c r="M42" s="2">
        <v>3158.8</v>
      </c>
      <c r="N42" s="2">
        <v>0</v>
      </c>
      <c r="O42" s="2">
        <v>25270.400000000001</v>
      </c>
      <c r="P42" s="2">
        <f t="shared" si="0"/>
        <v>25270.400000000001</v>
      </c>
      <c r="Q42" s="2">
        <f t="shared" si="1"/>
        <v>0</v>
      </c>
      <c r="R42" s="2">
        <f t="shared" si="2"/>
        <v>25270.400000000001</v>
      </c>
      <c r="S42" s="2" t="str">
        <f t="shared" si="3"/>
        <v>High</v>
      </c>
      <c r="T42" s="2" t="str" cm="1">
        <f t="array" ref="T42">_xlfn.IFS(L42&gt;5,"High",L42=5,"Medium",L42&lt;5,"Low")</f>
        <v>High</v>
      </c>
      <c r="U42" s="2" t="str">
        <f t="shared" si="4"/>
        <v>High</v>
      </c>
      <c r="V42" s="14" t="str">
        <f t="shared" si="5"/>
        <v>Normal Discount</v>
      </c>
      <c r="W42" s="16" t="str">
        <f t="shared" si="6"/>
        <v>Excellent</v>
      </c>
      <c r="X42" s="18" t="str" cm="1">
        <f t="array" ref="X42">_xlfn.IFS(O42&gt;7000,"Excellent",O42&gt;4000,"Good",O42&lt;4000,"Average")</f>
        <v>Excellent</v>
      </c>
      <c r="AD42" s="23" t="str">
        <f t="shared" si="7"/>
        <v>Eligible</v>
      </c>
      <c r="AE42" s="24" t="str">
        <f t="shared" si="8"/>
        <v>Online</v>
      </c>
      <c r="AF42" s="27" t="str">
        <f t="shared" si="9"/>
        <v>Priority Order</v>
      </c>
    </row>
    <row r="43" spans="1:32" x14ac:dyDescent="0.3">
      <c r="A43" s="2">
        <v>10042</v>
      </c>
      <c r="B43" s="2">
        <v>1510</v>
      </c>
      <c r="C43" s="3">
        <v>45195</v>
      </c>
      <c r="D43" s="3">
        <v>45204</v>
      </c>
      <c r="E43" s="2" t="s">
        <v>21</v>
      </c>
      <c r="F43" s="2" t="s">
        <v>60</v>
      </c>
      <c r="G43" s="2" t="s">
        <v>30</v>
      </c>
      <c r="H43" s="2" t="s">
        <v>41</v>
      </c>
      <c r="I43" s="2" t="s">
        <v>32</v>
      </c>
      <c r="J43" s="2" t="s">
        <v>33</v>
      </c>
      <c r="K43" s="2" t="s">
        <v>39</v>
      </c>
      <c r="L43" s="2">
        <v>4</v>
      </c>
      <c r="M43" s="2">
        <v>1211.67</v>
      </c>
      <c r="N43" s="2">
        <v>20</v>
      </c>
      <c r="O43" s="2">
        <v>3877.34</v>
      </c>
      <c r="P43" s="2">
        <f t="shared" si="0"/>
        <v>4846.68</v>
      </c>
      <c r="Q43" s="2">
        <f t="shared" si="1"/>
        <v>969.33600000000013</v>
      </c>
      <c r="R43" s="2">
        <f t="shared" si="2"/>
        <v>3877.3440000000001</v>
      </c>
      <c r="S43" s="2" t="str">
        <f t="shared" si="3"/>
        <v>Low</v>
      </c>
      <c r="T43" s="2" t="str" cm="1">
        <f t="array" ref="T43">_xlfn.IFS(L43&gt;5,"High",L43=5,"Medium",L43&lt;5,"Low")</f>
        <v>Low</v>
      </c>
      <c r="U43" s="2" t="str">
        <f t="shared" si="4"/>
        <v>Low</v>
      </c>
      <c r="V43" s="14" t="str">
        <f t="shared" si="5"/>
        <v>Heavy Discount</v>
      </c>
      <c r="W43" s="16" t="str">
        <f t="shared" si="6"/>
        <v>Average</v>
      </c>
      <c r="X43" s="18" t="str" cm="1">
        <f t="array" ref="X43">_xlfn.IFS(O43&gt;7000,"Excellent",O43&gt;4000,"Good",O43&lt;4000,"Average")</f>
        <v>Average</v>
      </c>
      <c r="AD43" s="23" t="str">
        <f t="shared" si="7"/>
        <v>Not Eligible</v>
      </c>
      <c r="AE43" s="24" t="str">
        <f t="shared" si="8"/>
        <v>Online</v>
      </c>
      <c r="AF43" s="27" t="str">
        <f t="shared" si="9"/>
        <v>Normal Order</v>
      </c>
    </row>
    <row r="44" spans="1:32" x14ac:dyDescent="0.3">
      <c r="A44" s="2">
        <v>10043</v>
      </c>
      <c r="B44" s="2">
        <v>1681</v>
      </c>
      <c r="C44" s="3">
        <v>45184</v>
      </c>
      <c r="D44" s="3">
        <v>45188</v>
      </c>
      <c r="E44" s="2" t="s">
        <v>43</v>
      </c>
      <c r="F44" s="2" t="s">
        <v>29</v>
      </c>
      <c r="G44" s="2" t="s">
        <v>30</v>
      </c>
      <c r="H44" s="2" t="s">
        <v>41</v>
      </c>
      <c r="I44" s="2" t="s">
        <v>37</v>
      </c>
      <c r="J44" s="2" t="s">
        <v>54</v>
      </c>
      <c r="K44" s="2" t="s">
        <v>51</v>
      </c>
      <c r="L44" s="2">
        <v>5</v>
      </c>
      <c r="M44" s="2">
        <v>936.35</v>
      </c>
      <c r="N44" s="2">
        <v>15</v>
      </c>
      <c r="O44" s="2">
        <v>3979.49</v>
      </c>
      <c r="P44" s="2">
        <f t="shared" si="0"/>
        <v>4681.75</v>
      </c>
      <c r="Q44" s="2">
        <f t="shared" si="1"/>
        <v>702.26249999999993</v>
      </c>
      <c r="R44" s="2">
        <f t="shared" si="2"/>
        <v>3979.4875000000002</v>
      </c>
      <c r="S44" s="2" t="str">
        <f t="shared" si="3"/>
        <v>High</v>
      </c>
      <c r="T44" s="2" t="str" cm="1">
        <f t="array" ref="T44">_xlfn.IFS(L44&gt;5,"High",L44=5,"Medium",L44&lt;5,"Low")</f>
        <v>Medium</v>
      </c>
      <c r="U44" s="2" t="str">
        <f t="shared" si="4"/>
        <v>Medium</v>
      </c>
      <c r="V44" s="14" t="str">
        <f t="shared" si="5"/>
        <v>Heavy Discount</v>
      </c>
      <c r="W44" s="16" t="str">
        <f t="shared" si="6"/>
        <v>Average</v>
      </c>
      <c r="X44" s="18" t="str" cm="1">
        <f t="array" ref="X44">_xlfn.IFS(O44&gt;7000,"Excellent",O44&gt;4000,"Good",O44&lt;4000,"Average")</f>
        <v>Average</v>
      </c>
      <c r="AD44" s="23" t="str">
        <f t="shared" si="7"/>
        <v>Not Eligible</v>
      </c>
      <c r="AE44" s="24" t="str">
        <f t="shared" si="8"/>
        <v>Online</v>
      </c>
      <c r="AF44" s="27" t="str">
        <f t="shared" si="9"/>
        <v>Normal Order</v>
      </c>
    </row>
    <row r="45" spans="1:32" x14ac:dyDescent="0.3">
      <c r="A45" s="2">
        <v>10044</v>
      </c>
      <c r="B45" s="2">
        <v>1475</v>
      </c>
      <c r="C45" s="3">
        <v>44955</v>
      </c>
      <c r="D45" s="3">
        <v>44959</v>
      </c>
      <c r="E45" s="2" t="s">
        <v>22</v>
      </c>
      <c r="F45" s="2" t="s">
        <v>35</v>
      </c>
      <c r="G45" s="2" t="s">
        <v>23</v>
      </c>
      <c r="H45" s="2" t="s">
        <v>48</v>
      </c>
      <c r="I45" s="2" t="s">
        <v>37</v>
      </c>
      <c r="J45" s="2" t="s">
        <v>54</v>
      </c>
      <c r="K45" s="2" t="s">
        <v>53</v>
      </c>
      <c r="L45" s="2">
        <v>4</v>
      </c>
      <c r="M45" s="2">
        <v>214.51</v>
      </c>
      <c r="N45" s="2">
        <v>20</v>
      </c>
      <c r="O45" s="2">
        <v>686.43</v>
      </c>
      <c r="P45" s="2">
        <f t="shared" si="0"/>
        <v>858.04</v>
      </c>
      <c r="Q45" s="2">
        <f t="shared" si="1"/>
        <v>171.608</v>
      </c>
      <c r="R45" s="2">
        <f t="shared" si="2"/>
        <v>686.43200000000002</v>
      </c>
      <c r="S45" s="2" t="str">
        <f t="shared" si="3"/>
        <v>Low</v>
      </c>
      <c r="T45" s="2" t="str" cm="1">
        <f t="array" ref="T45">_xlfn.IFS(L45&gt;5,"High",L45=5,"Medium",L45&lt;5,"Low")</f>
        <v>Low</v>
      </c>
      <c r="U45" s="2" t="str">
        <f t="shared" si="4"/>
        <v>Low</v>
      </c>
      <c r="V45" s="14" t="str">
        <f t="shared" si="5"/>
        <v>Heavy Discount</v>
      </c>
      <c r="W45" s="16" t="str">
        <f t="shared" si="6"/>
        <v>Average</v>
      </c>
      <c r="X45" s="18" t="str" cm="1">
        <f t="array" ref="X45">_xlfn.IFS(O45&gt;7000,"Excellent",O45&gt;4000,"Good",O45&lt;4000,"Average")</f>
        <v>Average</v>
      </c>
      <c r="AD45" s="23" t="str">
        <f t="shared" si="7"/>
        <v>Not Eligible</v>
      </c>
      <c r="AE45" s="24" t="str">
        <f t="shared" si="8"/>
        <v>Online</v>
      </c>
      <c r="AF45" s="27" t="str">
        <f t="shared" si="9"/>
        <v>Normal Order</v>
      </c>
    </row>
    <row r="46" spans="1:32" x14ac:dyDescent="0.3">
      <c r="A46" s="2">
        <v>10045</v>
      </c>
      <c r="B46" s="2">
        <v>1699</v>
      </c>
      <c r="C46" s="3">
        <v>45139</v>
      </c>
      <c r="D46" s="3">
        <v>45147</v>
      </c>
      <c r="E46" s="2" t="s">
        <v>40</v>
      </c>
      <c r="F46" s="2" t="s">
        <v>22</v>
      </c>
      <c r="G46" s="2" t="s">
        <v>23</v>
      </c>
      <c r="H46" s="2" t="s">
        <v>31</v>
      </c>
      <c r="I46" s="2" t="s">
        <v>32</v>
      </c>
      <c r="J46" s="2" t="s">
        <v>67</v>
      </c>
      <c r="K46" s="2" t="s">
        <v>53</v>
      </c>
      <c r="L46" s="2">
        <v>1</v>
      </c>
      <c r="M46" s="2">
        <v>2764.92</v>
      </c>
      <c r="N46" s="2">
        <v>0</v>
      </c>
      <c r="O46" s="2">
        <v>2764.92</v>
      </c>
      <c r="P46" s="2">
        <f t="shared" si="0"/>
        <v>2764.92</v>
      </c>
      <c r="Q46" s="2">
        <f t="shared" si="1"/>
        <v>0</v>
      </c>
      <c r="R46" s="2">
        <f t="shared" si="2"/>
        <v>2764.92</v>
      </c>
      <c r="S46" s="2" t="str">
        <f t="shared" si="3"/>
        <v>Low</v>
      </c>
      <c r="T46" s="2" t="str" cm="1">
        <f t="array" ref="T46">_xlfn.IFS(L46&gt;5,"High",L46=5,"Medium",L46&lt;5,"Low")</f>
        <v>Low</v>
      </c>
      <c r="U46" s="2" t="str">
        <f t="shared" si="4"/>
        <v>Low</v>
      </c>
      <c r="V46" s="14" t="str">
        <f t="shared" si="5"/>
        <v>Normal Discount</v>
      </c>
      <c r="W46" s="16" t="str">
        <f t="shared" si="6"/>
        <v>Average</v>
      </c>
      <c r="X46" s="18" t="str" cm="1">
        <f t="array" ref="X46">_xlfn.IFS(O46&gt;7000,"Excellent",O46&gt;4000,"Good",O46&lt;4000,"Average")</f>
        <v>Average</v>
      </c>
      <c r="AD46" s="23" t="str">
        <f t="shared" si="7"/>
        <v>Not Eligible</v>
      </c>
      <c r="AE46" s="24" t="str">
        <f t="shared" si="8"/>
        <v>Online</v>
      </c>
      <c r="AF46" s="27" t="str">
        <f t="shared" si="9"/>
        <v>Normal Order</v>
      </c>
    </row>
    <row r="47" spans="1:32" x14ac:dyDescent="0.3">
      <c r="A47" s="2">
        <v>10046</v>
      </c>
      <c r="B47" s="2">
        <v>1975</v>
      </c>
      <c r="C47" s="3">
        <v>45209</v>
      </c>
      <c r="D47" s="3">
        <v>45211</v>
      </c>
      <c r="E47" s="2" t="s">
        <v>43</v>
      </c>
      <c r="F47" s="2" t="s">
        <v>60</v>
      </c>
      <c r="G47" s="2" t="s">
        <v>30</v>
      </c>
      <c r="H47" s="2" t="s">
        <v>24</v>
      </c>
      <c r="I47" s="2" t="s">
        <v>55</v>
      </c>
      <c r="J47" s="2" t="s">
        <v>57</v>
      </c>
      <c r="K47" s="2" t="s">
        <v>51</v>
      </c>
      <c r="L47" s="2">
        <v>8</v>
      </c>
      <c r="M47" s="2">
        <v>444.79</v>
      </c>
      <c r="N47" s="2">
        <v>10</v>
      </c>
      <c r="O47" s="2">
        <v>3202.49</v>
      </c>
      <c r="P47" s="2">
        <f t="shared" si="0"/>
        <v>3558.32</v>
      </c>
      <c r="Q47" s="2">
        <f t="shared" si="1"/>
        <v>355.83200000000005</v>
      </c>
      <c r="R47" s="2">
        <f t="shared" si="2"/>
        <v>3202.4880000000003</v>
      </c>
      <c r="S47" s="2" t="str">
        <f t="shared" si="3"/>
        <v>High</v>
      </c>
      <c r="T47" s="2" t="str" cm="1">
        <f t="array" ref="T47">_xlfn.IFS(L47&gt;5,"High",L47=5,"Medium",L47&lt;5,"Low")</f>
        <v>High</v>
      </c>
      <c r="U47" s="2" t="str">
        <f t="shared" si="4"/>
        <v>High</v>
      </c>
      <c r="V47" s="14" t="str">
        <f t="shared" si="5"/>
        <v>Normal Discount</v>
      </c>
      <c r="W47" s="16" t="str">
        <f t="shared" si="6"/>
        <v>Average</v>
      </c>
      <c r="X47" s="18" t="str" cm="1">
        <f t="array" ref="X47">_xlfn.IFS(O47&gt;7000,"Excellent",O47&gt;4000,"Good",O47&lt;4000,"Average")</f>
        <v>Average</v>
      </c>
      <c r="AD47" s="23" t="str">
        <f t="shared" si="7"/>
        <v>Not Eligible</v>
      </c>
      <c r="AE47" s="24" t="str">
        <f t="shared" si="8"/>
        <v>Online</v>
      </c>
      <c r="AF47" s="27" t="str">
        <f t="shared" si="9"/>
        <v>Priority Order</v>
      </c>
    </row>
    <row r="48" spans="1:32" x14ac:dyDescent="0.3">
      <c r="A48" s="2">
        <v>10047</v>
      </c>
      <c r="B48" s="2">
        <v>1782</v>
      </c>
      <c r="C48" s="3">
        <v>44976</v>
      </c>
      <c r="D48" s="3">
        <v>44985</v>
      </c>
      <c r="E48" s="2" t="s">
        <v>46</v>
      </c>
      <c r="F48" s="2" t="s">
        <v>47</v>
      </c>
      <c r="G48" s="2" t="s">
        <v>23</v>
      </c>
      <c r="H48" s="2" t="s">
        <v>24</v>
      </c>
      <c r="I48" s="2" t="s">
        <v>63</v>
      </c>
      <c r="J48" s="2" t="s">
        <v>68</v>
      </c>
      <c r="K48" s="2" t="s">
        <v>53</v>
      </c>
      <c r="L48" s="2">
        <v>1</v>
      </c>
      <c r="M48" s="2">
        <v>1769.93</v>
      </c>
      <c r="N48" s="2">
        <v>20</v>
      </c>
      <c r="O48" s="2">
        <v>1415.94</v>
      </c>
      <c r="P48" s="2">
        <f t="shared" si="0"/>
        <v>1769.93</v>
      </c>
      <c r="Q48" s="2">
        <f t="shared" si="1"/>
        <v>353.98600000000005</v>
      </c>
      <c r="R48" s="2">
        <f t="shared" si="2"/>
        <v>1415.944</v>
      </c>
      <c r="S48" s="2" t="str">
        <f t="shared" si="3"/>
        <v>Low</v>
      </c>
      <c r="T48" s="2" t="str" cm="1">
        <f t="array" ref="T48">_xlfn.IFS(L48&gt;5,"High",L48=5,"Medium",L48&lt;5,"Low")</f>
        <v>Low</v>
      </c>
      <c r="U48" s="2" t="str">
        <f t="shared" si="4"/>
        <v>Low</v>
      </c>
      <c r="V48" s="14" t="str">
        <f t="shared" si="5"/>
        <v>Heavy Discount</v>
      </c>
      <c r="W48" s="16" t="str">
        <f t="shared" si="6"/>
        <v>Average</v>
      </c>
      <c r="X48" s="18" t="str" cm="1">
        <f t="array" ref="X48">_xlfn.IFS(O48&gt;7000,"Excellent",O48&gt;4000,"Good",O48&lt;4000,"Average")</f>
        <v>Average</v>
      </c>
      <c r="AD48" s="23" t="str">
        <f t="shared" si="7"/>
        <v>Not Eligible</v>
      </c>
      <c r="AE48" s="24" t="str">
        <f t="shared" si="8"/>
        <v>Online</v>
      </c>
      <c r="AF48" s="27" t="str">
        <f t="shared" si="9"/>
        <v>Normal Order</v>
      </c>
    </row>
    <row r="49" spans="1:32" x14ac:dyDescent="0.3">
      <c r="A49" s="2">
        <v>10048</v>
      </c>
      <c r="B49" s="2">
        <v>1189</v>
      </c>
      <c r="C49" s="3">
        <v>45021</v>
      </c>
      <c r="D49" s="3">
        <v>45027</v>
      </c>
      <c r="E49" s="2" t="s">
        <v>28</v>
      </c>
      <c r="F49" s="2" t="s">
        <v>44</v>
      </c>
      <c r="G49" s="2" t="s">
        <v>30</v>
      </c>
      <c r="H49" s="2" t="s">
        <v>50</v>
      </c>
      <c r="I49" s="2" t="s">
        <v>37</v>
      </c>
      <c r="J49" s="2" t="s">
        <v>71</v>
      </c>
      <c r="K49" s="2" t="s">
        <v>34</v>
      </c>
      <c r="L49" s="2">
        <v>5</v>
      </c>
      <c r="M49" s="2">
        <v>2466.48</v>
      </c>
      <c r="N49" s="2">
        <v>5</v>
      </c>
      <c r="O49" s="2">
        <v>11715.78</v>
      </c>
      <c r="P49" s="2">
        <f t="shared" si="0"/>
        <v>12332.4</v>
      </c>
      <c r="Q49" s="2">
        <f t="shared" si="1"/>
        <v>616.62</v>
      </c>
      <c r="R49" s="2">
        <f t="shared" si="2"/>
        <v>11715.779999999999</v>
      </c>
      <c r="S49" s="2" t="str">
        <f t="shared" si="3"/>
        <v>High</v>
      </c>
      <c r="T49" s="2" t="str" cm="1">
        <f t="array" ref="T49">_xlfn.IFS(L49&gt;5,"High",L49=5,"Medium",L49&lt;5,"Low")</f>
        <v>Medium</v>
      </c>
      <c r="U49" s="2" t="str">
        <f t="shared" si="4"/>
        <v>Medium</v>
      </c>
      <c r="V49" s="14" t="str">
        <f t="shared" si="5"/>
        <v>Normal Discount</v>
      </c>
      <c r="W49" s="16" t="str">
        <f t="shared" si="6"/>
        <v>Excellent</v>
      </c>
      <c r="X49" s="18" t="str" cm="1">
        <f t="array" ref="X49">_xlfn.IFS(O49&gt;7000,"Excellent",O49&gt;4000,"Good",O49&lt;4000,"Average")</f>
        <v>Excellent</v>
      </c>
      <c r="AD49" s="23" t="str">
        <f t="shared" si="7"/>
        <v>Eligible</v>
      </c>
      <c r="AE49" s="24" t="str">
        <f t="shared" si="8"/>
        <v>Online</v>
      </c>
      <c r="AF49" s="27" t="str">
        <f t="shared" si="9"/>
        <v>Priority Order</v>
      </c>
    </row>
    <row r="50" spans="1:32" x14ac:dyDescent="0.3">
      <c r="A50" s="2">
        <v>10049</v>
      </c>
      <c r="B50" s="2">
        <v>1957</v>
      </c>
      <c r="C50" s="3">
        <v>45014</v>
      </c>
      <c r="D50" s="3">
        <v>45023</v>
      </c>
      <c r="E50" s="2" t="s">
        <v>52</v>
      </c>
      <c r="F50" s="2" t="s">
        <v>35</v>
      </c>
      <c r="G50" s="2" t="s">
        <v>23</v>
      </c>
      <c r="H50" s="2" t="s">
        <v>24</v>
      </c>
      <c r="I50" s="2" t="s">
        <v>32</v>
      </c>
      <c r="J50" s="2" t="s">
        <v>33</v>
      </c>
      <c r="K50" s="2" t="s">
        <v>27</v>
      </c>
      <c r="L50" s="2">
        <v>6</v>
      </c>
      <c r="M50" s="2">
        <v>3757.87</v>
      </c>
      <c r="N50" s="2">
        <v>15</v>
      </c>
      <c r="O50" s="2">
        <v>19165.14</v>
      </c>
      <c r="P50" s="2">
        <f t="shared" si="0"/>
        <v>22547.22</v>
      </c>
      <c r="Q50" s="2">
        <f t="shared" si="1"/>
        <v>3382.0830000000001</v>
      </c>
      <c r="R50" s="2">
        <f t="shared" si="2"/>
        <v>19165.137000000002</v>
      </c>
      <c r="S50" s="2" t="str">
        <f t="shared" si="3"/>
        <v>High</v>
      </c>
      <c r="T50" s="2" t="str" cm="1">
        <f t="array" ref="T50">_xlfn.IFS(L50&gt;5,"High",L50=5,"Medium",L50&lt;5,"Low")</f>
        <v>High</v>
      </c>
      <c r="U50" s="2" t="str">
        <f t="shared" si="4"/>
        <v>High</v>
      </c>
      <c r="V50" s="14" t="str">
        <f t="shared" si="5"/>
        <v>Heavy Discount</v>
      </c>
      <c r="W50" s="16" t="str">
        <f t="shared" si="6"/>
        <v>Excellent</v>
      </c>
      <c r="X50" s="18" t="str" cm="1">
        <f t="array" ref="X50">_xlfn.IFS(O50&gt;7000,"Excellent",O50&gt;4000,"Good",O50&lt;4000,"Average")</f>
        <v>Excellent</v>
      </c>
      <c r="AD50" s="23" t="str">
        <f t="shared" si="7"/>
        <v>Not Eligible</v>
      </c>
      <c r="AE50" s="24" t="str">
        <f t="shared" si="8"/>
        <v>Online</v>
      </c>
      <c r="AF50" s="27" t="str">
        <f t="shared" si="9"/>
        <v>Priority Order</v>
      </c>
    </row>
    <row r="51" spans="1:32" x14ac:dyDescent="0.3">
      <c r="A51" s="2">
        <v>10050</v>
      </c>
      <c r="B51" s="2">
        <v>1686</v>
      </c>
      <c r="C51" s="3">
        <v>44970</v>
      </c>
      <c r="D51" s="3">
        <v>44978</v>
      </c>
      <c r="E51" s="2" t="s">
        <v>46</v>
      </c>
      <c r="F51" s="2" t="s">
        <v>22</v>
      </c>
      <c r="G51" s="2" t="s">
        <v>23</v>
      </c>
      <c r="H51" s="2" t="s">
        <v>48</v>
      </c>
      <c r="I51" s="2" t="s">
        <v>32</v>
      </c>
      <c r="J51" s="2" t="s">
        <v>67</v>
      </c>
      <c r="K51" s="2" t="s">
        <v>34</v>
      </c>
      <c r="L51" s="2">
        <v>6</v>
      </c>
      <c r="M51" s="2">
        <v>1350.44</v>
      </c>
      <c r="N51" s="2">
        <v>20</v>
      </c>
      <c r="O51" s="2">
        <v>6482.11</v>
      </c>
      <c r="P51" s="2">
        <f t="shared" si="0"/>
        <v>8102.64</v>
      </c>
      <c r="Q51" s="2">
        <f t="shared" si="1"/>
        <v>1620.5280000000002</v>
      </c>
      <c r="R51" s="2">
        <f t="shared" si="2"/>
        <v>6482.1120000000001</v>
      </c>
      <c r="S51" s="2" t="str">
        <f t="shared" si="3"/>
        <v>High</v>
      </c>
      <c r="T51" s="2" t="str" cm="1">
        <f t="array" ref="T51">_xlfn.IFS(L51&gt;5,"High",L51=5,"Medium",L51&lt;5,"Low")</f>
        <v>High</v>
      </c>
      <c r="U51" s="2" t="str">
        <f t="shared" si="4"/>
        <v>High</v>
      </c>
      <c r="V51" s="14" t="str">
        <f t="shared" si="5"/>
        <v>Heavy Discount</v>
      </c>
      <c r="W51" s="16" t="str">
        <f t="shared" si="6"/>
        <v>Good</v>
      </c>
      <c r="X51" s="18" t="str" cm="1">
        <f t="array" ref="X51">_xlfn.IFS(O51&gt;7000,"Excellent",O51&gt;4000,"Good",O51&lt;4000,"Average")</f>
        <v>Good</v>
      </c>
      <c r="AD51" s="23" t="str">
        <f t="shared" si="7"/>
        <v>Not Eligible</v>
      </c>
      <c r="AE51" s="24" t="str">
        <f t="shared" si="8"/>
        <v>Online</v>
      </c>
      <c r="AF51" s="27" t="str">
        <f t="shared" si="9"/>
        <v>Priority Order</v>
      </c>
    </row>
    <row r="52" spans="1:32" x14ac:dyDescent="0.3">
      <c r="A52" s="2">
        <v>10051</v>
      </c>
      <c r="B52" s="2">
        <v>1957</v>
      </c>
      <c r="C52" s="3">
        <v>45204</v>
      </c>
      <c r="D52" s="3">
        <v>45211</v>
      </c>
      <c r="E52" s="2" t="s">
        <v>46</v>
      </c>
      <c r="F52" s="2" t="s">
        <v>29</v>
      </c>
      <c r="G52" s="2" t="s">
        <v>23</v>
      </c>
      <c r="H52" s="2" t="s">
        <v>41</v>
      </c>
      <c r="I52" s="2" t="s">
        <v>25</v>
      </c>
      <c r="J52" s="2" t="s">
        <v>72</v>
      </c>
      <c r="K52" s="2" t="s">
        <v>53</v>
      </c>
      <c r="L52" s="2">
        <v>5</v>
      </c>
      <c r="M52" s="2">
        <v>1111.6199999999999</v>
      </c>
      <c r="N52" s="2">
        <v>15</v>
      </c>
      <c r="O52" s="2">
        <v>4724.3900000000003</v>
      </c>
      <c r="P52" s="2">
        <f t="shared" si="0"/>
        <v>5558.0999999999995</v>
      </c>
      <c r="Q52" s="2">
        <f t="shared" si="1"/>
        <v>833.71499999999992</v>
      </c>
      <c r="R52" s="2">
        <f t="shared" si="2"/>
        <v>4724.3849999999993</v>
      </c>
      <c r="S52" s="2" t="str">
        <f t="shared" si="3"/>
        <v>High</v>
      </c>
      <c r="T52" s="2" t="str" cm="1">
        <f t="array" ref="T52">_xlfn.IFS(L52&gt;5,"High",L52=5,"Medium",L52&lt;5,"Low")</f>
        <v>Medium</v>
      </c>
      <c r="U52" s="2" t="str">
        <f t="shared" si="4"/>
        <v>Medium</v>
      </c>
      <c r="V52" s="14" t="str">
        <f t="shared" si="5"/>
        <v>Heavy Discount</v>
      </c>
      <c r="W52" s="16" t="str">
        <f t="shared" si="6"/>
        <v>Good</v>
      </c>
      <c r="X52" s="18" t="str" cm="1">
        <f t="array" ref="X52">_xlfn.IFS(O52&gt;7000,"Excellent",O52&gt;4000,"Good",O52&lt;4000,"Average")</f>
        <v>Good</v>
      </c>
      <c r="AD52" s="23" t="str">
        <f t="shared" si="7"/>
        <v>Not Eligible</v>
      </c>
      <c r="AE52" s="24" t="str">
        <f t="shared" si="8"/>
        <v>Online</v>
      </c>
      <c r="AF52" s="27" t="str">
        <f t="shared" si="9"/>
        <v>Normal Order</v>
      </c>
    </row>
    <row r="53" spans="1:32" x14ac:dyDescent="0.3">
      <c r="A53" s="2">
        <v>10052</v>
      </c>
      <c r="B53" s="2">
        <v>1562</v>
      </c>
      <c r="C53" s="3">
        <v>45097</v>
      </c>
      <c r="D53" s="3">
        <v>45098</v>
      </c>
      <c r="E53" s="2" t="s">
        <v>28</v>
      </c>
      <c r="F53" s="2" t="s">
        <v>60</v>
      </c>
      <c r="G53" s="2" t="s">
        <v>30</v>
      </c>
      <c r="H53" s="2" t="s">
        <v>41</v>
      </c>
      <c r="I53" s="2" t="s">
        <v>63</v>
      </c>
      <c r="J53" s="2" t="s">
        <v>68</v>
      </c>
      <c r="K53" s="2" t="s">
        <v>39</v>
      </c>
      <c r="L53" s="2">
        <v>3</v>
      </c>
      <c r="M53" s="2">
        <v>2668.52</v>
      </c>
      <c r="N53" s="2">
        <v>5</v>
      </c>
      <c r="O53" s="2">
        <v>7605.28</v>
      </c>
      <c r="P53" s="2">
        <f t="shared" si="0"/>
        <v>8005.5599999999995</v>
      </c>
      <c r="Q53" s="2">
        <f t="shared" si="1"/>
        <v>400.27800000000002</v>
      </c>
      <c r="R53" s="2">
        <f t="shared" si="2"/>
        <v>7605.2819999999992</v>
      </c>
      <c r="S53" s="2" t="str">
        <f t="shared" si="3"/>
        <v>Low</v>
      </c>
      <c r="T53" s="2" t="str" cm="1">
        <f t="array" ref="T53">_xlfn.IFS(L53&gt;5,"High",L53=5,"Medium",L53&lt;5,"Low")</f>
        <v>Low</v>
      </c>
      <c r="U53" s="2" t="str">
        <f t="shared" si="4"/>
        <v>Low</v>
      </c>
      <c r="V53" s="14" t="str">
        <f t="shared" si="5"/>
        <v>Normal Discount</v>
      </c>
      <c r="W53" s="16" t="str">
        <f t="shared" si="6"/>
        <v>Excellent</v>
      </c>
      <c r="X53" s="18" t="str" cm="1">
        <f t="array" ref="X53">_xlfn.IFS(O53&gt;7000,"Excellent",O53&gt;4000,"Good",O53&lt;4000,"Average")</f>
        <v>Excellent</v>
      </c>
      <c r="AD53" s="23" t="str">
        <f t="shared" si="7"/>
        <v>Eligible</v>
      </c>
      <c r="AE53" s="24" t="str">
        <f t="shared" si="8"/>
        <v>Online</v>
      </c>
      <c r="AF53" s="27" t="str">
        <f t="shared" si="9"/>
        <v>Priority Order</v>
      </c>
    </row>
    <row r="54" spans="1:32" x14ac:dyDescent="0.3">
      <c r="A54" s="2">
        <v>10053</v>
      </c>
      <c r="B54" s="2">
        <v>1875</v>
      </c>
      <c r="C54" s="3">
        <v>45115</v>
      </c>
      <c r="D54" s="3">
        <v>45118</v>
      </c>
      <c r="E54" s="2" t="s">
        <v>52</v>
      </c>
      <c r="F54" s="2" t="s">
        <v>22</v>
      </c>
      <c r="G54" s="2" t="s">
        <v>23</v>
      </c>
      <c r="H54" s="2" t="s">
        <v>41</v>
      </c>
      <c r="I54" s="2" t="s">
        <v>58</v>
      </c>
      <c r="J54" s="2" t="s">
        <v>70</v>
      </c>
      <c r="K54" s="2" t="s">
        <v>27</v>
      </c>
      <c r="L54" s="2">
        <v>5</v>
      </c>
      <c r="M54" s="2">
        <v>2534.0700000000002</v>
      </c>
      <c r="N54" s="2">
        <v>10</v>
      </c>
      <c r="O54" s="2">
        <v>11403.31</v>
      </c>
      <c r="P54" s="2">
        <f t="shared" si="0"/>
        <v>12670.35</v>
      </c>
      <c r="Q54" s="2">
        <f t="shared" si="1"/>
        <v>1267.0350000000001</v>
      </c>
      <c r="R54" s="2">
        <f t="shared" si="2"/>
        <v>11403.315000000001</v>
      </c>
      <c r="S54" s="2" t="str">
        <f t="shared" si="3"/>
        <v>High</v>
      </c>
      <c r="T54" s="2" t="str" cm="1">
        <f t="array" ref="T54">_xlfn.IFS(L54&gt;5,"High",L54=5,"Medium",L54&lt;5,"Low")</f>
        <v>Medium</v>
      </c>
      <c r="U54" s="2" t="str">
        <f t="shared" si="4"/>
        <v>Medium</v>
      </c>
      <c r="V54" s="14" t="str">
        <f t="shared" si="5"/>
        <v>Normal Discount</v>
      </c>
      <c r="W54" s="16" t="str">
        <f t="shared" si="6"/>
        <v>Excellent</v>
      </c>
      <c r="X54" s="18" t="str" cm="1">
        <f t="array" ref="X54">_xlfn.IFS(O54&gt;7000,"Excellent",O54&gt;4000,"Good",O54&lt;4000,"Average")</f>
        <v>Excellent</v>
      </c>
      <c r="AD54" s="23" t="str">
        <f t="shared" si="7"/>
        <v>Not Eligible</v>
      </c>
      <c r="AE54" s="24" t="str">
        <f t="shared" si="8"/>
        <v>Online</v>
      </c>
      <c r="AF54" s="27" t="str">
        <f t="shared" si="9"/>
        <v>Priority Order</v>
      </c>
    </row>
    <row r="55" spans="1:32" x14ac:dyDescent="0.3">
      <c r="A55" s="2">
        <v>10054</v>
      </c>
      <c r="B55" s="2">
        <v>1566</v>
      </c>
      <c r="C55" s="3">
        <v>45279</v>
      </c>
      <c r="D55" s="3">
        <v>45281</v>
      </c>
      <c r="E55" s="2" t="s">
        <v>46</v>
      </c>
      <c r="F55" s="2" t="s">
        <v>29</v>
      </c>
      <c r="G55" s="2" t="s">
        <v>30</v>
      </c>
      <c r="H55" s="2" t="s">
        <v>31</v>
      </c>
      <c r="I55" s="2" t="s">
        <v>55</v>
      </c>
      <c r="J55" s="2" t="s">
        <v>56</v>
      </c>
      <c r="K55" s="2" t="s">
        <v>27</v>
      </c>
      <c r="L55" s="2">
        <v>8</v>
      </c>
      <c r="M55" s="2">
        <v>1428.62</v>
      </c>
      <c r="N55" s="2">
        <v>10</v>
      </c>
      <c r="O55" s="2">
        <v>10286.06</v>
      </c>
      <c r="P55" s="2">
        <f t="shared" si="0"/>
        <v>11428.96</v>
      </c>
      <c r="Q55" s="2">
        <f t="shared" si="1"/>
        <v>1142.896</v>
      </c>
      <c r="R55" s="2">
        <f t="shared" si="2"/>
        <v>10286.063999999998</v>
      </c>
      <c r="S55" s="2" t="str">
        <f t="shared" si="3"/>
        <v>High</v>
      </c>
      <c r="T55" s="2" t="str" cm="1">
        <f t="array" ref="T55">_xlfn.IFS(L55&gt;5,"High",L55=5,"Medium",L55&lt;5,"Low")</f>
        <v>High</v>
      </c>
      <c r="U55" s="2" t="str">
        <f t="shared" si="4"/>
        <v>High</v>
      </c>
      <c r="V55" s="14" t="str">
        <f t="shared" si="5"/>
        <v>Normal Discount</v>
      </c>
      <c r="W55" s="16" t="str">
        <f t="shared" si="6"/>
        <v>Excellent</v>
      </c>
      <c r="X55" s="18" t="str" cm="1">
        <f t="array" ref="X55">_xlfn.IFS(O55&gt;7000,"Excellent",O55&gt;4000,"Good",O55&lt;4000,"Average")</f>
        <v>Excellent</v>
      </c>
      <c r="AD55" s="23" t="str">
        <f t="shared" si="7"/>
        <v>Not Eligible</v>
      </c>
      <c r="AE55" s="24" t="str">
        <f t="shared" si="8"/>
        <v>Online</v>
      </c>
      <c r="AF55" s="27" t="str">
        <f t="shared" si="9"/>
        <v>Priority Order</v>
      </c>
    </row>
    <row r="56" spans="1:32" x14ac:dyDescent="0.3">
      <c r="A56" s="2">
        <v>10055</v>
      </c>
      <c r="B56" s="2">
        <v>1243</v>
      </c>
      <c r="C56" s="3">
        <v>45110</v>
      </c>
      <c r="D56" s="3">
        <v>45115</v>
      </c>
      <c r="E56" s="2" t="s">
        <v>43</v>
      </c>
      <c r="F56" s="2" t="s">
        <v>22</v>
      </c>
      <c r="G56" s="2" t="s">
        <v>30</v>
      </c>
      <c r="H56" s="2" t="s">
        <v>24</v>
      </c>
      <c r="I56" s="2" t="s">
        <v>58</v>
      </c>
      <c r="J56" s="2" t="s">
        <v>70</v>
      </c>
      <c r="K56" s="2" t="s">
        <v>51</v>
      </c>
      <c r="L56" s="2">
        <v>2</v>
      </c>
      <c r="M56" s="2">
        <v>3723.19</v>
      </c>
      <c r="N56" s="2">
        <v>5</v>
      </c>
      <c r="O56" s="2">
        <v>7074.06</v>
      </c>
      <c r="P56" s="2">
        <f t="shared" si="0"/>
        <v>7446.38</v>
      </c>
      <c r="Q56" s="2">
        <f t="shared" si="1"/>
        <v>372.31900000000002</v>
      </c>
      <c r="R56" s="2">
        <f t="shared" si="2"/>
        <v>7074.0609999999997</v>
      </c>
      <c r="S56" s="2" t="str">
        <f t="shared" si="3"/>
        <v>Low</v>
      </c>
      <c r="T56" s="2" t="str" cm="1">
        <f t="array" ref="T56">_xlfn.IFS(L56&gt;5,"High",L56=5,"Medium",L56&lt;5,"Low")</f>
        <v>Low</v>
      </c>
      <c r="U56" s="2" t="str">
        <f t="shared" si="4"/>
        <v>Low</v>
      </c>
      <c r="V56" s="14" t="str">
        <f t="shared" si="5"/>
        <v>Normal Discount</v>
      </c>
      <c r="W56" s="16" t="str">
        <f t="shared" si="6"/>
        <v>Excellent</v>
      </c>
      <c r="X56" s="18" t="str" cm="1">
        <f t="array" ref="X56">_xlfn.IFS(O56&gt;7000,"Excellent",O56&gt;4000,"Good",O56&lt;4000,"Average")</f>
        <v>Excellent</v>
      </c>
      <c r="AD56" s="23" t="str">
        <f t="shared" si="7"/>
        <v>Eligible</v>
      </c>
      <c r="AE56" s="24" t="str">
        <f t="shared" si="8"/>
        <v>Online</v>
      </c>
      <c r="AF56" s="27" t="str">
        <f t="shared" si="9"/>
        <v>Priority Order</v>
      </c>
    </row>
    <row r="57" spans="1:32" x14ac:dyDescent="0.3">
      <c r="A57" s="2">
        <v>10056</v>
      </c>
      <c r="B57" s="2">
        <v>1831</v>
      </c>
      <c r="C57" s="3">
        <v>44929</v>
      </c>
      <c r="D57" s="3">
        <v>44934</v>
      </c>
      <c r="E57" s="2" t="s">
        <v>43</v>
      </c>
      <c r="F57" s="2" t="s">
        <v>35</v>
      </c>
      <c r="G57" s="2" t="s">
        <v>23</v>
      </c>
      <c r="H57" s="2" t="s">
        <v>48</v>
      </c>
      <c r="I57" s="2" t="s">
        <v>63</v>
      </c>
      <c r="J57" s="2" t="s">
        <v>68</v>
      </c>
      <c r="K57" s="2" t="s">
        <v>51</v>
      </c>
      <c r="L57" s="2">
        <v>6</v>
      </c>
      <c r="M57" s="2">
        <v>3402.72</v>
      </c>
      <c r="N57" s="2">
        <v>15</v>
      </c>
      <c r="O57" s="2">
        <v>17353.87</v>
      </c>
      <c r="P57" s="2">
        <f t="shared" si="0"/>
        <v>20416.32</v>
      </c>
      <c r="Q57" s="2">
        <f t="shared" si="1"/>
        <v>3062.4479999999999</v>
      </c>
      <c r="R57" s="2">
        <f t="shared" si="2"/>
        <v>17353.871999999999</v>
      </c>
      <c r="S57" s="2" t="str">
        <f t="shared" si="3"/>
        <v>High</v>
      </c>
      <c r="T57" s="2" t="str" cm="1">
        <f t="array" ref="T57">_xlfn.IFS(L57&gt;5,"High",L57=5,"Medium",L57&lt;5,"Low")</f>
        <v>High</v>
      </c>
      <c r="U57" s="2" t="str">
        <f t="shared" si="4"/>
        <v>High</v>
      </c>
      <c r="V57" s="14" t="str">
        <f t="shared" si="5"/>
        <v>Heavy Discount</v>
      </c>
      <c r="W57" s="16" t="str">
        <f t="shared" si="6"/>
        <v>Excellent</v>
      </c>
      <c r="X57" s="18" t="str" cm="1">
        <f t="array" ref="X57">_xlfn.IFS(O57&gt;7000,"Excellent",O57&gt;4000,"Good",O57&lt;4000,"Average")</f>
        <v>Excellent</v>
      </c>
      <c r="AD57" s="23" t="str">
        <f t="shared" si="7"/>
        <v>Not Eligible</v>
      </c>
      <c r="AE57" s="24" t="str">
        <f t="shared" si="8"/>
        <v>Online</v>
      </c>
      <c r="AF57" s="27" t="str">
        <f t="shared" si="9"/>
        <v>Priority Order</v>
      </c>
    </row>
    <row r="58" spans="1:32" x14ac:dyDescent="0.3">
      <c r="A58" s="2">
        <v>10057</v>
      </c>
      <c r="B58" s="2">
        <v>1504</v>
      </c>
      <c r="C58" s="3">
        <v>45117</v>
      </c>
      <c r="D58" s="3">
        <v>45122</v>
      </c>
      <c r="E58" s="2" t="s">
        <v>43</v>
      </c>
      <c r="F58" s="2" t="s">
        <v>35</v>
      </c>
      <c r="G58" s="2" t="s">
        <v>23</v>
      </c>
      <c r="H58" s="2" t="s">
        <v>31</v>
      </c>
      <c r="I58" s="2" t="s">
        <v>63</v>
      </c>
      <c r="J58" s="2" t="s">
        <v>64</v>
      </c>
      <c r="K58" s="2" t="s">
        <v>39</v>
      </c>
      <c r="L58" s="2">
        <v>9</v>
      </c>
      <c r="M58" s="2">
        <v>1012.33</v>
      </c>
      <c r="N58" s="2">
        <v>20</v>
      </c>
      <c r="O58" s="2">
        <v>7288.78</v>
      </c>
      <c r="P58" s="2">
        <f t="shared" si="0"/>
        <v>9110.9700000000012</v>
      </c>
      <c r="Q58" s="2">
        <f t="shared" si="1"/>
        <v>1822.1940000000004</v>
      </c>
      <c r="R58" s="2">
        <f t="shared" si="2"/>
        <v>7288.7760000000007</v>
      </c>
      <c r="S58" s="2" t="str">
        <f t="shared" si="3"/>
        <v>High</v>
      </c>
      <c r="T58" s="2" t="str" cm="1">
        <f t="array" ref="T58">_xlfn.IFS(L58&gt;5,"High",L58=5,"Medium",L58&lt;5,"Low")</f>
        <v>High</v>
      </c>
      <c r="U58" s="2" t="str">
        <f t="shared" si="4"/>
        <v>High</v>
      </c>
      <c r="V58" s="14" t="str">
        <f t="shared" si="5"/>
        <v>Heavy Discount</v>
      </c>
      <c r="W58" s="16" t="str">
        <f t="shared" si="6"/>
        <v>Excellent</v>
      </c>
      <c r="X58" s="18" t="str" cm="1">
        <f t="array" ref="X58">_xlfn.IFS(O58&gt;7000,"Excellent",O58&gt;4000,"Good",O58&lt;4000,"Average")</f>
        <v>Excellent</v>
      </c>
      <c r="AD58" s="23" t="str">
        <f t="shared" si="7"/>
        <v>Not Eligible</v>
      </c>
      <c r="AE58" s="24" t="str">
        <f t="shared" si="8"/>
        <v>Online</v>
      </c>
      <c r="AF58" s="27" t="str">
        <f t="shared" si="9"/>
        <v>Priority Order</v>
      </c>
    </row>
    <row r="59" spans="1:32" x14ac:dyDescent="0.3">
      <c r="A59" s="2">
        <v>10058</v>
      </c>
      <c r="B59" s="2">
        <v>1130</v>
      </c>
      <c r="C59" s="3">
        <v>45044</v>
      </c>
      <c r="D59" s="3">
        <v>45048</v>
      </c>
      <c r="E59" s="2" t="s">
        <v>52</v>
      </c>
      <c r="F59" s="2" t="s">
        <v>35</v>
      </c>
      <c r="G59" s="2" t="s">
        <v>30</v>
      </c>
      <c r="H59" s="2" t="s">
        <v>50</v>
      </c>
      <c r="I59" s="2" t="s">
        <v>63</v>
      </c>
      <c r="J59" s="2" t="s">
        <v>65</v>
      </c>
      <c r="K59" s="2" t="s">
        <v>27</v>
      </c>
      <c r="L59" s="2">
        <v>8</v>
      </c>
      <c r="M59" s="2">
        <v>1070.7</v>
      </c>
      <c r="N59" s="2">
        <v>5</v>
      </c>
      <c r="O59" s="2">
        <v>8137.32</v>
      </c>
      <c r="P59" s="2">
        <f t="shared" si="0"/>
        <v>8565.6</v>
      </c>
      <c r="Q59" s="2">
        <f t="shared" si="1"/>
        <v>428.28000000000003</v>
      </c>
      <c r="R59" s="2">
        <f t="shared" si="2"/>
        <v>8137.3200000000006</v>
      </c>
      <c r="S59" s="2" t="str">
        <f t="shared" si="3"/>
        <v>High</v>
      </c>
      <c r="T59" s="2" t="str" cm="1">
        <f t="array" ref="T59">_xlfn.IFS(L59&gt;5,"High",L59=5,"Medium",L59&lt;5,"Low")</f>
        <v>High</v>
      </c>
      <c r="U59" s="2" t="str">
        <f t="shared" si="4"/>
        <v>High</v>
      </c>
      <c r="V59" s="14" t="str">
        <f t="shared" si="5"/>
        <v>Normal Discount</v>
      </c>
      <c r="W59" s="16" t="str">
        <f t="shared" si="6"/>
        <v>Excellent</v>
      </c>
      <c r="X59" s="18" t="str" cm="1">
        <f t="array" ref="X59">_xlfn.IFS(O59&gt;7000,"Excellent",O59&gt;4000,"Good",O59&lt;4000,"Average")</f>
        <v>Excellent</v>
      </c>
      <c r="AD59" s="23" t="str">
        <f t="shared" si="7"/>
        <v>Eligible</v>
      </c>
      <c r="AE59" s="24" t="str">
        <f t="shared" si="8"/>
        <v>Online</v>
      </c>
      <c r="AF59" s="27" t="str">
        <f t="shared" si="9"/>
        <v>Priority Order</v>
      </c>
    </row>
    <row r="60" spans="1:32" x14ac:dyDescent="0.3">
      <c r="A60" s="2">
        <v>10059</v>
      </c>
      <c r="B60" s="2">
        <v>1484</v>
      </c>
      <c r="C60" s="3">
        <v>44945</v>
      </c>
      <c r="D60" s="3">
        <v>44950</v>
      </c>
      <c r="E60" s="2" t="s">
        <v>46</v>
      </c>
      <c r="F60" s="2" t="s">
        <v>47</v>
      </c>
      <c r="G60" s="2" t="s">
        <v>30</v>
      </c>
      <c r="H60" s="2" t="s">
        <v>48</v>
      </c>
      <c r="I60" s="2" t="s">
        <v>58</v>
      </c>
      <c r="J60" s="2" t="s">
        <v>70</v>
      </c>
      <c r="K60" s="2" t="s">
        <v>39</v>
      </c>
      <c r="L60" s="2">
        <v>8</v>
      </c>
      <c r="M60" s="2">
        <v>2122.36</v>
      </c>
      <c r="N60" s="2">
        <v>0</v>
      </c>
      <c r="O60" s="2">
        <v>16978.88</v>
      </c>
      <c r="P60" s="2">
        <f t="shared" si="0"/>
        <v>16978.88</v>
      </c>
      <c r="Q60" s="2">
        <f t="shared" si="1"/>
        <v>0</v>
      </c>
      <c r="R60" s="2">
        <f t="shared" si="2"/>
        <v>16978.88</v>
      </c>
      <c r="S60" s="2" t="str">
        <f t="shared" si="3"/>
        <v>High</v>
      </c>
      <c r="T60" s="2" t="str" cm="1">
        <f t="array" ref="T60">_xlfn.IFS(L60&gt;5,"High",L60=5,"Medium",L60&lt;5,"Low")</f>
        <v>High</v>
      </c>
      <c r="U60" s="2" t="str">
        <f t="shared" si="4"/>
        <v>High</v>
      </c>
      <c r="V60" s="14" t="str">
        <f t="shared" si="5"/>
        <v>Normal Discount</v>
      </c>
      <c r="W60" s="16" t="str">
        <f t="shared" si="6"/>
        <v>Excellent</v>
      </c>
      <c r="X60" s="18" t="str" cm="1">
        <f t="array" ref="X60">_xlfn.IFS(O60&gt;7000,"Excellent",O60&gt;4000,"Good",O60&lt;4000,"Average")</f>
        <v>Excellent</v>
      </c>
      <c r="AD60" s="23" t="str">
        <f t="shared" si="7"/>
        <v>Eligible</v>
      </c>
      <c r="AE60" s="24" t="str">
        <f t="shared" si="8"/>
        <v>Online</v>
      </c>
      <c r="AF60" s="27" t="str">
        <f t="shared" si="9"/>
        <v>Priority Order</v>
      </c>
    </row>
    <row r="61" spans="1:32" x14ac:dyDescent="0.3">
      <c r="A61" s="2">
        <v>10060</v>
      </c>
      <c r="B61" s="2">
        <v>1818</v>
      </c>
      <c r="C61" s="3">
        <v>44949</v>
      </c>
      <c r="D61" s="3">
        <v>44952</v>
      </c>
      <c r="E61" s="2" t="s">
        <v>52</v>
      </c>
      <c r="F61" s="2" t="s">
        <v>47</v>
      </c>
      <c r="G61" s="2" t="s">
        <v>36</v>
      </c>
      <c r="H61" s="2" t="s">
        <v>48</v>
      </c>
      <c r="I61" s="2" t="s">
        <v>63</v>
      </c>
      <c r="J61" s="2" t="s">
        <v>68</v>
      </c>
      <c r="K61" s="2" t="s">
        <v>51</v>
      </c>
      <c r="L61" s="2">
        <v>8</v>
      </c>
      <c r="M61" s="2">
        <v>3128.25</v>
      </c>
      <c r="N61" s="2">
        <v>15</v>
      </c>
      <c r="O61" s="2">
        <v>21272.1</v>
      </c>
      <c r="P61" s="2">
        <f t="shared" si="0"/>
        <v>25026</v>
      </c>
      <c r="Q61" s="2">
        <f t="shared" si="1"/>
        <v>3753.8999999999996</v>
      </c>
      <c r="R61" s="2">
        <f t="shared" si="2"/>
        <v>21272.1</v>
      </c>
      <c r="S61" s="2" t="str">
        <f t="shared" si="3"/>
        <v>High</v>
      </c>
      <c r="T61" s="2" t="str" cm="1">
        <f t="array" ref="T61">_xlfn.IFS(L61&gt;5,"High",L61=5,"Medium",L61&lt;5,"Low")</f>
        <v>High</v>
      </c>
      <c r="U61" s="2" t="str">
        <f t="shared" si="4"/>
        <v>High</v>
      </c>
      <c r="V61" s="14" t="str">
        <f t="shared" si="5"/>
        <v>Heavy Discount</v>
      </c>
      <c r="W61" s="16" t="str">
        <f t="shared" si="6"/>
        <v>Excellent</v>
      </c>
      <c r="X61" s="18" t="str" cm="1">
        <f t="array" ref="X61">_xlfn.IFS(O61&gt;7000,"Excellent",O61&gt;4000,"Good",O61&lt;4000,"Average")</f>
        <v>Excellent</v>
      </c>
      <c r="AD61" s="23" t="str">
        <f t="shared" si="7"/>
        <v>Not Eligible</v>
      </c>
      <c r="AE61" s="24" t="str">
        <f t="shared" si="8"/>
        <v>Offline</v>
      </c>
      <c r="AF61" s="27" t="str">
        <f t="shared" si="9"/>
        <v>Priority Order</v>
      </c>
    </row>
    <row r="62" spans="1:32" x14ac:dyDescent="0.3">
      <c r="A62" s="2">
        <v>10061</v>
      </c>
      <c r="B62" s="2">
        <v>1646</v>
      </c>
      <c r="C62" s="3">
        <v>44956</v>
      </c>
      <c r="D62" s="3">
        <v>44957</v>
      </c>
      <c r="E62" s="2" t="s">
        <v>43</v>
      </c>
      <c r="F62" s="2" t="s">
        <v>60</v>
      </c>
      <c r="G62" s="2" t="s">
        <v>30</v>
      </c>
      <c r="H62" s="2" t="s">
        <v>48</v>
      </c>
      <c r="I62" s="2" t="s">
        <v>32</v>
      </c>
      <c r="J62" s="2" t="s">
        <v>42</v>
      </c>
      <c r="K62" s="2" t="s">
        <v>51</v>
      </c>
      <c r="L62" s="2">
        <v>7</v>
      </c>
      <c r="M62" s="2">
        <v>319.56</v>
      </c>
      <c r="N62" s="2">
        <v>10</v>
      </c>
      <c r="O62" s="2">
        <v>2013.23</v>
      </c>
      <c r="P62" s="2">
        <f t="shared" si="0"/>
        <v>2236.92</v>
      </c>
      <c r="Q62" s="2">
        <f t="shared" si="1"/>
        <v>223.69200000000001</v>
      </c>
      <c r="R62" s="2">
        <f t="shared" si="2"/>
        <v>2013.2280000000001</v>
      </c>
      <c r="S62" s="2" t="str">
        <f t="shared" si="3"/>
        <v>High</v>
      </c>
      <c r="T62" s="2" t="str" cm="1">
        <f t="array" ref="T62">_xlfn.IFS(L62&gt;5,"High",L62=5,"Medium",L62&lt;5,"Low")</f>
        <v>High</v>
      </c>
      <c r="U62" s="2" t="str">
        <f t="shared" si="4"/>
        <v>High</v>
      </c>
      <c r="V62" s="14" t="str">
        <f t="shared" si="5"/>
        <v>Normal Discount</v>
      </c>
      <c r="W62" s="16" t="str">
        <f t="shared" si="6"/>
        <v>Average</v>
      </c>
      <c r="X62" s="18" t="str" cm="1">
        <f t="array" ref="X62">_xlfn.IFS(O62&gt;7000,"Excellent",O62&gt;4000,"Good",O62&lt;4000,"Average")</f>
        <v>Average</v>
      </c>
      <c r="AD62" s="23" t="str">
        <f t="shared" si="7"/>
        <v>Not Eligible</v>
      </c>
      <c r="AE62" s="24" t="str">
        <f t="shared" si="8"/>
        <v>Online</v>
      </c>
      <c r="AF62" s="27" t="str">
        <f t="shared" si="9"/>
        <v>Priority Order</v>
      </c>
    </row>
    <row r="63" spans="1:32" x14ac:dyDescent="0.3">
      <c r="A63" s="2">
        <v>10062</v>
      </c>
      <c r="B63" s="2">
        <v>1020</v>
      </c>
      <c r="C63" s="3">
        <v>45221</v>
      </c>
      <c r="D63" s="3">
        <v>45226</v>
      </c>
      <c r="E63" s="2" t="s">
        <v>28</v>
      </c>
      <c r="F63" s="2" t="s">
        <v>35</v>
      </c>
      <c r="G63" s="2" t="s">
        <v>36</v>
      </c>
      <c r="H63" s="2" t="s">
        <v>41</v>
      </c>
      <c r="I63" s="2" t="s">
        <v>58</v>
      </c>
      <c r="J63" s="2" t="s">
        <v>62</v>
      </c>
      <c r="K63" s="2" t="s">
        <v>27</v>
      </c>
      <c r="L63" s="2">
        <v>8</v>
      </c>
      <c r="M63" s="2">
        <v>2819.34</v>
      </c>
      <c r="N63" s="2">
        <v>5</v>
      </c>
      <c r="O63" s="2">
        <v>21426.98</v>
      </c>
      <c r="P63" s="2">
        <f t="shared" si="0"/>
        <v>22554.720000000001</v>
      </c>
      <c r="Q63" s="2">
        <f t="shared" si="1"/>
        <v>1127.7360000000001</v>
      </c>
      <c r="R63" s="2">
        <f t="shared" si="2"/>
        <v>21426.984</v>
      </c>
      <c r="S63" s="2" t="str">
        <f t="shared" si="3"/>
        <v>High</v>
      </c>
      <c r="T63" s="2" t="str" cm="1">
        <f t="array" ref="T63">_xlfn.IFS(L63&gt;5,"High",L63=5,"Medium",L63&lt;5,"Low")</f>
        <v>High</v>
      </c>
      <c r="U63" s="2" t="str">
        <f t="shared" si="4"/>
        <v>High</v>
      </c>
      <c r="V63" s="14" t="str">
        <f t="shared" si="5"/>
        <v>Normal Discount</v>
      </c>
      <c r="W63" s="16" t="str">
        <f t="shared" si="6"/>
        <v>Excellent</v>
      </c>
      <c r="X63" s="18" t="str" cm="1">
        <f t="array" ref="X63">_xlfn.IFS(O63&gt;7000,"Excellent",O63&gt;4000,"Good",O63&lt;4000,"Average")</f>
        <v>Excellent</v>
      </c>
      <c r="AD63" s="23" t="str">
        <f t="shared" si="7"/>
        <v>Eligible</v>
      </c>
      <c r="AE63" s="24" t="str">
        <f t="shared" si="8"/>
        <v>Offline</v>
      </c>
      <c r="AF63" s="27" t="str">
        <f t="shared" si="9"/>
        <v>Priority Order</v>
      </c>
    </row>
    <row r="64" spans="1:32" x14ac:dyDescent="0.3">
      <c r="A64" s="2">
        <v>10063</v>
      </c>
      <c r="B64" s="2">
        <v>1840</v>
      </c>
      <c r="C64" s="3">
        <v>45034</v>
      </c>
      <c r="D64" s="3">
        <v>45043</v>
      </c>
      <c r="E64" s="2" t="s">
        <v>46</v>
      </c>
      <c r="F64" s="2" t="s">
        <v>29</v>
      </c>
      <c r="G64" s="2" t="s">
        <v>36</v>
      </c>
      <c r="H64" s="2" t="s">
        <v>48</v>
      </c>
      <c r="I64" s="2" t="s">
        <v>63</v>
      </c>
      <c r="J64" s="2" t="s">
        <v>68</v>
      </c>
      <c r="K64" s="2" t="s">
        <v>34</v>
      </c>
      <c r="L64" s="2">
        <v>6</v>
      </c>
      <c r="M64" s="2">
        <v>2645.71</v>
      </c>
      <c r="N64" s="2">
        <v>10</v>
      </c>
      <c r="O64" s="2">
        <v>14286.83</v>
      </c>
      <c r="P64" s="2">
        <f t="shared" si="0"/>
        <v>15874.26</v>
      </c>
      <c r="Q64" s="2">
        <f t="shared" si="1"/>
        <v>1587.4260000000002</v>
      </c>
      <c r="R64" s="2">
        <f t="shared" si="2"/>
        <v>14286.834000000001</v>
      </c>
      <c r="S64" s="2" t="str">
        <f t="shared" si="3"/>
        <v>High</v>
      </c>
      <c r="T64" s="2" t="str" cm="1">
        <f t="array" ref="T64">_xlfn.IFS(L64&gt;5,"High",L64=5,"Medium",L64&lt;5,"Low")</f>
        <v>High</v>
      </c>
      <c r="U64" s="2" t="str">
        <f t="shared" si="4"/>
        <v>High</v>
      </c>
      <c r="V64" s="14" t="str">
        <f t="shared" si="5"/>
        <v>Normal Discount</v>
      </c>
      <c r="W64" s="16" t="str">
        <f t="shared" si="6"/>
        <v>Excellent</v>
      </c>
      <c r="X64" s="18" t="str" cm="1">
        <f t="array" ref="X64">_xlfn.IFS(O64&gt;7000,"Excellent",O64&gt;4000,"Good",O64&lt;4000,"Average")</f>
        <v>Excellent</v>
      </c>
      <c r="AD64" s="23" t="str">
        <f t="shared" si="7"/>
        <v>Not Eligible</v>
      </c>
      <c r="AE64" s="24" t="str">
        <f t="shared" si="8"/>
        <v>Offline</v>
      </c>
      <c r="AF64" s="27" t="str">
        <f t="shared" si="9"/>
        <v>Priority Order</v>
      </c>
    </row>
    <row r="65" spans="1:32" x14ac:dyDescent="0.3">
      <c r="A65" s="2">
        <v>10064</v>
      </c>
      <c r="B65" s="2">
        <v>1166</v>
      </c>
      <c r="C65" s="3">
        <v>45207</v>
      </c>
      <c r="D65" s="3">
        <v>45216</v>
      </c>
      <c r="E65" s="2" t="s">
        <v>46</v>
      </c>
      <c r="F65" s="2" t="s">
        <v>22</v>
      </c>
      <c r="G65" s="2" t="s">
        <v>36</v>
      </c>
      <c r="H65" s="2" t="s">
        <v>24</v>
      </c>
      <c r="I65" s="2" t="s">
        <v>32</v>
      </c>
      <c r="J65" s="2" t="s">
        <v>42</v>
      </c>
      <c r="K65" s="2" t="s">
        <v>53</v>
      </c>
      <c r="L65" s="2">
        <v>2</v>
      </c>
      <c r="M65" s="2">
        <v>1041.2</v>
      </c>
      <c r="N65" s="2">
        <v>15</v>
      </c>
      <c r="O65" s="2">
        <v>1770.04</v>
      </c>
      <c r="P65" s="2">
        <f t="shared" si="0"/>
        <v>2082.4</v>
      </c>
      <c r="Q65" s="2">
        <f t="shared" si="1"/>
        <v>312.36</v>
      </c>
      <c r="R65" s="2">
        <f t="shared" si="2"/>
        <v>1770.04</v>
      </c>
      <c r="S65" s="2" t="str">
        <f t="shared" si="3"/>
        <v>Low</v>
      </c>
      <c r="T65" s="2" t="str" cm="1">
        <f t="array" ref="T65">_xlfn.IFS(L65&gt;5,"High",L65=5,"Medium",L65&lt;5,"Low")</f>
        <v>Low</v>
      </c>
      <c r="U65" s="2" t="str">
        <f t="shared" si="4"/>
        <v>Low</v>
      </c>
      <c r="V65" s="14" t="str">
        <f t="shared" si="5"/>
        <v>Heavy Discount</v>
      </c>
      <c r="W65" s="16" t="str">
        <f t="shared" si="6"/>
        <v>Average</v>
      </c>
      <c r="X65" s="18" t="str" cm="1">
        <f t="array" ref="X65">_xlfn.IFS(O65&gt;7000,"Excellent",O65&gt;4000,"Good",O65&lt;4000,"Average")</f>
        <v>Average</v>
      </c>
      <c r="AD65" s="23" t="str">
        <f t="shared" si="7"/>
        <v>Not Eligible</v>
      </c>
      <c r="AE65" s="24" t="str">
        <f t="shared" si="8"/>
        <v>Offline</v>
      </c>
      <c r="AF65" s="27" t="str">
        <f t="shared" si="9"/>
        <v>Normal Order</v>
      </c>
    </row>
    <row r="66" spans="1:32" x14ac:dyDescent="0.3">
      <c r="A66" s="2">
        <v>10065</v>
      </c>
      <c r="B66" s="2">
        <v>1273</v>
      </c>
      <c r="C66" s="3">
        <v>45054</v>
      </c>
      <c r="D66" s="3">
        <v>45058</v>
      </c>
      <c r="E66" s="2" t="s">
        <v>21</v>
      </c>
      <c r="F66" s="2" t="s">
        <v>44</v>
      </c>
      <c r="G66" s="2" t="s">
        <v>23</v>
      </c>
      <c r="H66" s="2" t="s">
        <v>48</v>
      </c>
      <c r="I66" s="2" t="s">
        <v>25</v>
      </c>
      <c r="J66" s="2" t="s">
        <v>49</v>
      </c>
      <c r="K66" s="2" t="s">
        <v>51</v>
      </c>
      <c r="L66" s="2">
        <v>2</v>
      </c>
      <c r="M66" s="2">
        <v>2773.21</v>
      </c>
      <c r="N66" s="2">
        <v>10</v>
      </c>
      <c r="O66" s="2">
        <v>4991.78</v>
      </c>
      <c r="P66" s="2">
        <f t="shared" si="0"/>
        <v>5546.42</v>
      </c>
      <c r="Q66" s="2">
        <f t="shared" si="1"/>
        <v>554.64200000000005</v>
      </c>
      <c r="R66" s="2">
        <f t="shared" si="2"/>
        <v>4991.7780000000002</v>
      </c>
      <c r="S66" s="2" t="str">
        <f t="shared" si="3"/>
        <v>Low</v>
      </c>
      <c r="T66" s="2" t="str" cm="1">
        <f t="array" ref="T66">_xlfn.IFS(L66&gt;5,"High",L66=5,"Medium",L66&lt;5,"Low")</f>
        <v>Low</v>
      </c>
      <c r="U66" s="2" t="str">
        <f t="shared" si="4"/>
        <v>Low</v>
      </c>
      <c r="V66" s="14" t="str">
        <f t="shared" si="5"/>
        <v>Normal Discount</v>
      </c>
      <c r="W66" s="16" t="str">
        <f t="shared" si="6"/>
        <v>Good</v>
      </c>
      <c r="X66" s="18" t="str" cm="1">
        <f t="array" ref="X66">_xlfn.IFS(O66&gt;7000,"Excellent",O66&gt;4000,"Good",O66&lt;4000,"Average")</f>
        <v>Good</v>
      </c>
      <c r="AD66" s="23" t="str">
        <f t="shared" si="7"/>
        <v>Not Eligible</v>
      </c>
      <c r="AE66" s="24" t="str">
        <f t="shared" si="8"/>
        <v>Online</v>
      </c>
      <c r="AF66" s="27" t="str">
        <f t="shared" si="9"/>
        <v>Normal Order</v>
      </c>
    </row>
    <row r="67" spans="1:32" x14ac:dyDescent="0.3">
      <c r="A67" s="2">
        <v>10066</v>
      </c>
      <c r="B67" s="2">
        <v>1387</v>
      </c>
      <c r="C67" s="3">
        <v>45155</v>
      </c>
      <c r="D67" s="3">
        <v>45158</v>
      </c>
      <c r="E67" s="2" t="s">
        <v>21</v>
      </c>
      <c r="F67" s="2" t="s">
        <v>29</v>
      </c>
      <c r="G67" s="2" t="s">
        <v>23</v>
      </c>
      <c r="H67" s="2" t="s">
        <v>41</v>
      </c>
      <c r="I67" s="2" t="s">
        <v>63</v>
      </c>
      <c r="J67" s="2" t="s">
        <v>73</v>
      </c>
      <c r="K67" s="2" t="s">
        <v>51</v>
      </c>
      <c r="L67" s="2">
        <v>8</v>
      </c>
      <c r="M67" s="2">
        <v>3769.71</v>
      </c>
      <c r="N67" s="2">
        <v>5</v>
      </c>
      <c r="O67" s="2">
        <v>28649.8</v>
      </c>
      <c r="P67" s="2">
        <f t="shared" ref="P67:P130" si="10">M67*L67</f>
        <v>30157.68</v>
      </c>
      <c r="Q67" s="2">
        <f t="shared" ref="Q67:Q130" si="11">P67*N67%</f>
        <v>1507.884</v>
      </c>
      <c r="R67" s="2">
        <f t="shared" ref="R67:R130" si="12">P67-Q67</f>
        <v>28649.796000000002</v>
      </c>
      <c r="S67" s="2" t="str">
        <f t="shared" ref="S67:S130" si="13">IF(L67&gt;=5,"High","Low")</f>
        <v>High</v>
      </c>
      <c r="T67" s="2" t="str" cm="1">
        <f t="array" ref="T67">_xlfn.IFS(L67&gt;5,"High",L67=5,"Medium",L67&lt;5,"Low")</f>
        <v>High</v>
      </c>
      <c r="U67" s="2" t="str">
        <f t="shared" ref="U67:U130" si="14">IF(L67&gt;5,"High",IF(L67=5,"Medium","Low"))</f>
        <v>High</v>
      </c>
      <c r="V67" s="14" t="str">
        <f t="shared" ref="V67:V130" si="15">IF(N67&gt;10,"Heavy Discount","Normal Discount")</f>
        <v>Normal Discount</v>
      </c>
      <c r="W67" s="16" t="str">
        <f t="shared" ref="W67:W130" si="16">IF(O67&gt;7000,"Excellent",IF(O67&gt;4000,"Good","Average"))</f>
        <v>Excellent</v>
      </c>
      <c r="X67" s="18" t="str" cm="1">
        <f t="array" ref="X67">_xlfn.IFS(O67&gt;7000,"Excellent",O67&gt;4000,"Good",O67&lt;4000,"Average")</f>
        <v>Excellent</v>
      </c>
      <c r="AD67" s="23" t="str">
        <f t="shared" ref="AD67:AD130" si="17">IF(AND(O67&gt;5000,N67&lt;10),"Eligible","Not Eligible")</f>
        <v>Eligible</v>
      </c>
      <c r="AE67" s="24" t="str">
        <f t="shared" ref="AE67:AE130" si="18">IF(G67&lt;&gt;"Marketplace","Online","Offline")</f>
        <v>Online</v>
      </c>
      <c r="AF67" s="27" t="str">
        <f t="shared" ref="AF67:AF130" si="19">IF(OR(O67&gt;7000,L67&gt;5),"Priority Order","Normal Order")</f>
        <v>Priority Order</v>
      </c>
    </row>
    <row r="68" spans="1:32" x14ac:dyDescent="0.3">
      <c r="A68" s="2">
        <v>10067</v>
      </c>
      <c r="B68" s="2">
        <v>1600</v>
      </c>
      <c r="C68" s="3">
        <v>45037</v>
      </c>
      <c r="D68" s="3">
        <v>45038</v>
      </c>
      <c r="E68" s="2" t="s">
        <v>22</v>
      </c>
      <c r="F68" s="2" t="s">
        <v>47</v>
      </c>
      <c r="G68" s="2" t="s">
        <v>30</v>
      </c>
      <c r="H68" s="2" t="s">
        <v>48</v>
      </c>
      <c r="I68" s="2" t="s">
        <v>58</v>
      </c>
      <c r="J68" s="2" t="s">
        <v>70</v>
      </c>
      <c r="K68" s="2" t="s">
        <v>34</v>
      </c>
      <c r="L68" s="2">
        <v>1</v>
      </c>
      <c r="M68" s="2">
        <v>330.13</v>
      </c>
      <c r="N68" s="2">
        <v>15</v>
      </c>
      <c r="O68" s="2">
        <v>280.61</v>
      </c>
      <c r="P68" s="2">
        <f t="shared" si="10"/>
        <v>330.13</v>
      </c>
      <c r="Q68" s="2">
        <f t="shared" si="11"/>
        <v>49.519500000000001</v>
      </c>
      <c r="R68" s="2">
        <f t="shared" si="12"/>
        <v>280.6105</v>
      </c>
      <c r="S68" s="2" t="str">
        <f t="shared" si="13"/>
        <v>Low</v>
      </c>
      <c r="T68" s="2" t="str" cm="1">
        <f t="array" ref="T68">_xlfn.IFS(L68&gt;5,"High",L68=5,"Medium",L68&lt;5,"Low")</f>
        <v>Low</v>
      </c>
      <c r="U68" s="2" t="str">
        <f t="shared" si="14"/>
        <v>Low</v>
      </c>
      <c r="V68" s="14" t="str">
        <f t="shared" si="15"/>
        <v>Heavy Discount</v>
      </c>
      <c r="W68" s="16" t="str">
        <f t="shared" si="16"/>
        <v>Average</v>
      </c>
      <c r="X68" s="18" t="str" cm="1">
        <f t="array" ref="X68">_xlfn.IFS(O68&gt;7000,"Excellent",O68&gt;4000,"Good",O68&lt;4000,"Average")</f>
        <v>Average</v>
      </c>
      <c r="AD68" s="23" t="str">
        <f t="shared" si="17"/>
        <v>Not Eligible</v>
      </c>
      <c r="AE68" s="24" t="str">
        <f t="shared" si="18"/>
        <v>Online</v>
      </c>
      <c r="AF68" s="27" t="str">
        <f t="shared" si="19"/>
        <v>Normal Order</v>
      </c>
    </row>
    <row r="69" spans="1:32" x14ac:dyDescent="0.3">
      <c r="A69" s="2">
        <v>10068</v>
      </c>
      <c r="B69" s="2">
        <v>1315</v>
      </c>
      <c r="C69" s="3">
        <v>45062</v>
      </c>
      <c r="D69" s="3">
        <v>45064</v>
      </c>
      <c r="E69" s="2" t="s">
        <v>40</v>
      </c>
      <c r="F69" s="2" t="s">
        <v>47</v>
      </c>
      <c r="G69" s="2" t="s">
        <v>36</v>
      </c>
      <c r="H69" s="2" t="s">
        <v>50</v>
      </c>
      <c r="I69" s="2" t="s">
        <v>37</v>
      </c>
      <c r="J69" s="2" t="s">
        <v>54</v>
      </c>
      <c r="K69" s="2" t="s">
        <v>34</v>
      </c>
      <c r="L69" s="2">
        <v>6</v>
      </c>
      <c r="M69" s="2">
        <v>1380.66</v>
      </c>
      <c r="N69" s="2">
        <v>0</v>
      </c>
      <c r="O69" s="2">
        <v>8283.9599999999991</v>
      </c>
      <c r="P69" s="2">
        <f t="shared" si="10"/>
        <v>8283.9600000000009</v>
      </c>
      <c r="Q69" s="2">
        <f t="shared" si="11"/>
        <v>0</v>
      </c>
      <c r="R69" s="2">
        <f t="shared" si="12"/>
        <v>8283.9600000000009</v>
      </c>
      <c r="S69" s="2" t="str">
        <f t="shared" si="13"/>
        <v>High</v>
      </c>
      <c r="T69" s="2" t="str" cm="1">
        <f t="array" ref="T69">_xlfn.IFS(L69&gt;5,"High",L69=5,"Medium",L69&lt;5,"Low")</f>
        <v>High</v>
      </c>
      <c r="U69" s="2" t="str">
        <f t="shared" si="14"/>
        <v>High</v>
      </c>
      <c r="V69" s="14" t="str">
        <f t="shared" si="15"/>
        <v>Normal Discount</v>
      </c>
      <c r="W69" s="16" t="str">
        <f t="shared" si="16"/>
        <v>Excellent</v>
      </c>
      <c r="X69" s="18" t="str" cm="1">
        <f t="array" ref="X69">_xlfn.IFS(O69&gt;7000,"Excellent",O69&gt;4000,"Good",O69&lt;4000,"Average")</f>
        <v>Excellent</v>
      </c>
      <c r="AD69" s="23" t="str">
        <f t="shared" si="17"/>
        <v>Eligible</v>
      </c>
      <c r="AE69" s="24" t="str">
        <f t="shared" si="18"/>
        <v>Offline</v>
      </c>
      <c r="AF69" s="27" t="str">
        <f t="shared" si="19"/>
        <v>Priority Order</v>
      </c>
    </row>
    <row r="70" spans="1:32" x14ac:dyDescent="0.3">
      <c r="A70" s="2">
        <v>10069</v>
      </c>
      <c r="B70" s="2">
        <v>1013</v>
      </c>
      <c r="C70" s="3">
        <v>45288</v>
      </c>
      <c r="D70" s="3">
        <v>45296</v>
      </c>
      <c r="E70" s="2" t="s">
        <v>21</v>
      </c>
      <c r="F70" s="2" t="s">
        <v>29</v>
      </c>
      <c r="G70" s="2" t="s">
        <v>23</v>
      </c>
      <c r="H70" s="2" t="s">
        <v>50</v>
      </c>
      <c r="I70" s="2" t="s">
        <v>63</v>
      </c>
      <c r="J70" s="2" t="s">
        <v>68</v>
      </c>
      <c r="K70" s="2" t="s">
        <v>39</v>
      </c>
      <c r="L70" s="2">
        <v>6</v>
      </c>
      <c r="M70" s="2">
        <v>1836.98</v>
      </c>
      <c r="N70" s="2">
        <v>5</v>
      </c>
      <c r="O70" s="2">
        <v>10470.790000000001</v>
      </c>
      <c r="P70" s="2">
        <f t="shared" si="10"/>
        <v>11021.880000000001</v>
      </c>
      <c r="Q70" s="2">
        <f t="shared" si="11"/>
        <v>551.09400000000005</v>
      </c>
      <c r="R70" s="2">
        <f t="shared" si="12"/>
        <v>10470.786</v>
      </c>
      <c r="S70" s="2" t="str">
        <f t="shared" si="13"/>
        <v>High</v>
      </c>
      <c r="T70" s="2" t="str" cm="1">
        <f t="array" ref="T70">_xlfn.IFS(L70&gt;5,"High",L70=5,"Medium",L70&lt;5,"Low")</f>
        <v>High</v>
      </c>
      <c r="U70" s="2" t="str">
        <f t="shared" si="14"/>
        <v>High</v>
      </c>
      <c r="V70" s="14" t="str">
        <f t="shared" si="15"/>
        <v>Normal Discount</v>
      </c>
      <c r="W70" s="16" t="str">
        <f t="shared" si="16"/>
        <v>Excellent</v>
      </c>
      <c r="X70" s="18" t="str" cm="1">
        <f t="array" ref="X70">_xlfn.IFS(O70&gt;7000,"Excellent",O70&gt;4000,"Good",O70&lt;4000,"Average")</f>
        <v>Excellent</v>
      </c>
      <c r="AD70" s="23" t="str">
        <f t="shared" si="17"/>
        <v>Eligible</v>
      </c>
      <c r="AE70" s="24" t="str">
        <f t="shared" si="18"/>
        <v>Online</v>
      </c>
      <c r="AF70" s="27" t="str">
        <f t="shared" si="19"/>
        <v>Priority Order</v>
      </c>
    </row>
    <row r="71" spans="1:32" x14ac:dyDescent="0.3">
      <c r="A71" s="2">
        <v>10070</v>
      </c>
      <c r="B71" s="2">
        <v>1241</v>
      </c>
      <c r="C71" s="3">
        <v>45112</v>
      </c>
      <c r="D71" s="3">
        <v>45113</v>
      </c>
      <c r="E71" s="2" t="s">
        <v>52</v>
      </c>
      <c r="F71" s="2" t="s">
        <v>47</v>
      </c>
      <c r="G71" s="2" t="s">
        <v>23</v>
      </c>
      <c r="H71" s="2" t="s">
        <v>41</v>
      </c>
      <c r="I71" s="2" t="s">
        <v>37</v>
      </c>
      <c r="J71" s="2" t="s">
        <v>45</v>
      </c>
      <c r="K71" s="2" t="s">
        <v>39</v>
      </c>
      <c r="L71" s="2">
        <v>4</v>
      </c>
      <c r="M71" s="2">
        <v>3612.15</v>
      </c>
      <c r="N71" s="2">
        <v>20</v>
      </c>
      <c r="O71" s="2">
        <v>11558.88</v>
      </c>
      <c r="P71" s="2">
        <f t="shared" si="10"/>
        <v>14448.6</v>
      </c>
      <c r="Q71" s="2">
        <f t="shared" si="11"/>
        <v>2889.7200000000003</v>
      </c>
      <c r="R71" s="2">
        <f t="shared" si="12"/>
        <v>11558.880000000001</v>
      </c>
      <c r="S71" s="2" t="str">
        <f t="shared" si="13"/>
        <v>Low</v>
      </c>
      <c r="T71" s="2" t="str" cm="1">
        <f t="array" ref="T71">_xlfn.IFS(L71&gt;5,"High",L71=5,"Medium",L71&lt;5,"Low")</f>
        <v>Low</v>
      </c>
      <c r="U71" s="2" t="str">
        <f t="shared" si="14"/>
        <v>Low</v>
      </c>
      <c r="V71" s="14" t="str">
        <f t="shared" si="15"/>
        <v>Heavy Discount</v>
      </c>
      <c r="W71" s="16" t="str">
        <f t="shared" si="16"/>
        <v>Excellent</v>
      </c>
      <c r="X71" s="18" t="str" cm="1">
        <f t="array" ref="X71">_xlfn.IFS(O71&gt;7000,"Excellent",O71&gt;4000,"Good",O71&lt;4000,"Average")</f>
        <v>Excellent</v>
      </c>
      <c r="AD71" s="23" t="str">
        <f t="shared" si="17"/>
        <v>Not Eligible</v>
      </c>
      <c r="AE71" s="24" t="str">
        <f t="shared" si="18"/>
        <v>Online</v>
      </c>
      <c r="AF71" s="27" t="str">
        <f t="shared" si="19"/>
        <v>Priority Order</v>
      </c>
    </row>
    <row r="72" spans="1:32" x14ac:dyDescent="0.3">
      <c r="A72" s="2">
        <v>10071</v>
      </c>
      <c r="B72" s="2">
        <v>1776</v>
      </c>
      <c r="C72" s="3">
        <v>45070</v>
      </c>
      <c r="D72" s="3">
        <v>45078</v>
      </c>
      <c r="E72" s="2" t="s">
        <v>21</v>
      </c>
      <c r="F72" s="2" t="s">
        <v>35</v>
      </c>
      <c r="G72" s="2" t="s">
        <v>23</v>
      </c>
      <c r="H72" s="2" t="s">
        <v>24</v>
      </c>
      <c r="I72" s="2" t="s">
        <v>32</v>
      </c>
      <c r="J72" s="2" t="s">
        <v>67</v>
      </c>
      <c r="K72" s="2" t="s">
        <v>53</v>
      </c>
      <c r="L72" s="2">
        <v>3</v>
      </c>
      <c r="M72" s="2">
        <v>3854.71</v>
      </c>
      <c r="N72" s="2">
        <v>5</v>
      </c>
      <c r="O72" s="2">
        <v>10985.92</v>
      </c>
      <c r="P72" s="2">
        <f t="shared" si="10"/>
        <v>11564.130000000001</v>
      </c>
      <c r="Q72" s="2">
        <f t="shared" si="11"/>
        <v>578.20650000000012</v>
      </c>
      <c r="R72" s="2">
        <f t="shared" si="12"/>
        <v>10985.923500000001</v>
      </c>
      <c r="S72" s="2" t="str">
        <f t="shared" si="13"/>
        <v>Low</v>
      </c>
      <c r="T72" s="2" t="str" cm="1">
        <f t="array" ref="T72">_xlfn.IFS(L72&gt;5,"High",L72=5,"Medium",L72&lt;5,"Low")</f>
        <v>Low</v>
      </c>
      <c r="U72" s="2" t="str">
        <f t="shared" si="14"/>
        <v>Low</v>
      </c>
      <c r="V72" s="14" t="str">
        <f t="shared" si="15"/>
        <v>Normal Discount</v>
      </c>
      <c r="W72" s="16" t="str">
        <f t="shared" si="16"/>
        <v>Excellent</v>
      </c>
      <c r="X72" s="18" t="str" cm="1">
        <f t="array" ref="X72">_xlfn.IFS(O72&gt;7000,"Excellent",O72&gt;4000,"Good",O72&lt;4000,"Average")</f>
        <v>Excellent</v>
      </c>
      <c r="AD72" s="23" t="str">
        <f t="shared" si="17"/>
        <v>Eligible</v>
      </c>
      <c r="AE72" s="24" t="str">
        <f t="shared" si="18"/>
        <v>Online</v>
      </c>
      <c r="AF72" s="27" t="str">
        <f t="shared" si="19"/>
        <v>Priority Order</v>
      </c>
    </row>
    <row r="73" spans="1:32" x14ac:dyDescent="0.3">
      <c r="A73" s="2">
        <v>10072</v>
      </c>
      <c r="B73" s="2">
        <v>1345</v>
      </c>
      <c r="C73" s="3">
        <v>44998</v>
      </c>
      <c r="D73" s="3">
        <v>45005</v>
      </c>
      <c r="E73" s="2" t="s">
        <v>22</v>
      </c>
      <c r="F73" s="2" t="s">
        <v>60</v>
      </c>
      <c r="G73" s="2" t="s">
        <v>23</v>
      </c>
      <c r="H73" s="2" t="s">
        <v>24</v>
      </c>
      <c r="I73" s="2" t="s">
        <v>25</v>
      </c>
      <c r="J73" s="2" t="s">
        <v>61</v>
      </c>
      <c r="K73" s="2" t="s">
        <v>53</v>
      </c>
      <c r="L73" s="2">
        <v>3</v>
      </c>
      <c r="M73" s="2">
        <v>1859.84</v>
      </c>
      <c r="N73" s="2">
        <v>15</v>
      </c>
      <c r="O73" s="2">
        <v>4742.59</v>
      </c>
      <c r="P73" s="2">
        <f t="shared" si="10"/>
        <v>5579.5199999999995</v>
      </c>
      <c r="Q73" s="2">
        <f t="shared" si="11"/>
        <v>836.92799999999988</v>
      </c>
      <c r="R73" s="2">
        <f t="shared" si="12"/>
        <v>4742.5919999999996</v>
      </c>
      <c r="S73" s="2" t="str">
        <f t="shared" si="13"/>
        <v>Low</v>
      </c>
      <c r="T73" s="2" t="str" cm="1">
        <f t="array" ref="T73">_xlfn.IFS(L73&gt;5,"High",L73=5,"Medium",L73&lt;5,"Low")</f>
        <v>Low</v>
      </c>
      <c r="U73" s="2" t="str">
        <f t="shared" si="14"/>
        <v>Low</v>
      </c>
      <c r="V73" s="14" t="str">
        <f t="shared" si="15"/>
        <v>Heavy Discount</v>
      </c>
      <c r="W73" s="16" t="str">
        <f t="shared" si="16"/>
        <v>Good</v>
      </c>
      <c r="X73" s="18" t="str" cm="1">
        <f t="array" ref="X73">_xlfn.IFS(O73&gt;7000,"Excellent",O73&gt;4000,"Good",O73&lt;4000,"Average")</f>
        <v>Good</v>
      </c>
      <c r="AD73" s="23" t="str">
        <f t="shared" si="17"/>
        <v>Not Eligible</v>
      </c>
      <c r="AE73" s="24" t="str">
        <f t="shared" si="18"/>
        <v>Online</v>
      </c>
      <c r="AF73" s="27" t="str">
        <f t="shared" si="19"/>
        <v>Normal Order</v>
      </c>
    </row>
    <row r="74" spans="1:32" x14ac:dyDescent="0.3">
      <c r="A74" s="2">
        <v>10073</v>
      </c>
      <c r="B74" s="2">
        <v>1564</v>
      </c>
      <c r="C74" s="3">
        <v>45055</v>
      </c>
      <c r="D74" s="3">
        <v>45063</v>
      </c>
      <c r="E74" s="2" t="s">
        <v>46</v>
      </c>
      <c r="F74" s="2" t="s">
        <v>22</v>
      </c>
      <c r="G74" s="2" t="s">
        <v>23</v>
      </c>
      <c r="H74" s="2" t="s">
        <v>31</v>
      </c>
      <c r="I74" s="2" t="s">
        <v>55</v>
      </c>
      <c r="J74" s="2" t="s">
        <v>74</v>
      </c>
      <c r="K74" s="2" t="s">
        <v>27</v>
      </c>
      <c r="L74" s="2">
        <v>1</v>
      </c>
      <c r="M74" s="2">
        <v>3037.61</v>
      </c>
      <c r="N74" s="2">
        <v>5</v>
      </c>
      <c r="O74" s="2">
        <v>2885.73</v>
      </c>
      <c r="P74" s="2">
        <f t="shared" si="10"/>
        <v>3037.61</v>
      </c>
      <c r="Q74" s="2">
        <f t="shared" si="11"/>
        <v>151.88050000000001</v>
      </c>
      <c r="R74" s="2">
        <f t="shared" si="12"/>
        <v>2885.7294999999999</v>
      </c>
      <c r="S74" s="2" t="str">
        <f t="shared" si="13"/>
        <v>Low</v>
      </c>
      <c r="T74" s="2" t="str" cm="1">
        <f t="array" ref="T74">_xlfn.IFS(L74&gt;5,"High",L74=5,"Medium",L74&lt;5,"Low")</f>
        <v>Low</v>
      </c>
      <c r="U74" s="2" t="str">
        <f t="shared" si="14"/>
        <v>Low</v>
      </c>
      <c r="V74" s="14" t="str">
        <f t="shared" si="15"/>
        <v>Normal Discount</v>
      </c>
      <c r="W74" s="16" t="str">
        <f t="shared" si="16"/>
        <v>Average</v>
      </c>
      <c r="X74" s="18" t="str" cm="1">
        <f t="array" ref="X74">_xlfn.IFS(O74&gt;7000,"Excellent",O74&gt;4000,"Good",O74&lt;4000,"Average")</f>
        <v>Average</v>
      </c>
      <c r="AD74" s="23" t="str">
        <f t="shared" si="17"/>
        <v>Not Eligible</v>
      </c>
      <c r="AE74" s="24" t="str">
        <f t="shared" si="18"/>
        <v>Online</v>
      </c>
      <c r="AF74" s="27" t="str">
        <f t="shared" si="19"/>
        <v>Normal Order</v>
      </c>
    </row>
    <row r="75" spans="1:32" x14ac:dyDescent="0.3">
      <c r="A75" s="2">
        <v>10074</v>
      </c>
      <c r="B75" s="2">
        <v>1897</v>
      </c>
      <c r="C75" s="3">
        <v>45290</v>
      </c>
      <c r="D75" s="3">
        <v>45296</v>
      </c>
      <c r="E75" s="2" t="s">
        <v>22</v>
      </c>
      <c r="F75" s="2" t="s">
        <v>60</v>
      </c>
      <c r="G75" s="2" t="s">
        <v>36</v>
      </c>
      <c r="H75" s="2" t="s">
        <v>41</v>
      </c>
      <c r="I75" s="2" t="s">
        <v>25</v>
      </c>
      <c r="J75" s="2" t="s">
        <v>49</v>
      </c>
      <c r="K75" s="2" t="s">
        <v>39</v>
      </c>
      <c r="L75" s="2">
        <v>3</v>
      </c>
      <c r="M75" s="2">
        <v>2196.89</v>
      </c>
      <c r="N75" s="2">
        <v>0</v>
      </c>
      <c r="O75" s="2">
        <v>6590.67</v>
      </c>
      <c r="P75" s="2">
        <f t="shared" si="10"/>
        <v>6590.67</v>
      </c>
      <c r="Q75" s="2">
        <f t="shared" si="11"/>
        <v>0</v>
      </c>
      <c r="R75" s="2">
        <f t="shared" si="12"/>
        <v>6590.67</v>
      </c>
      <c r="S75" s="2" t="str">
        <f t="shared" si="13"/>
        <v>Low</v>
      </c>
      <c r="T75" s="2" t="str" cm="1">
        <f t="array" ref="T75">_xlfn.IFS(L75&gt;5,"High",L75=5,"Medium",L75&lt;5,"Low")</f>
        <v>Low</v>
      </c>
      <c r="U75" s="2" t="str">
        <f t="shared" si="14"/>
        <v>Low</v>
      </c>
      <c r="V75" s="14" t="str">
        <f t="shared" si="15"/>
        <v>Normal Discount</v>
      </c>
      <c r="W75" s="16" t="str">
        <f t="shared" si="16"/>
        <v>Good</v>
      </c>
      <c r="X75" s="18" t="str" cm="1">
        <f t="array" ref="X75">_xlfn.IFS(O75&gt;7000,"Excellent",O75&gt;4000,"Good",O75&lt;4000,"Average")</f>
        <v>Good</v>
      </c>
      <c r="AD75" s="23" t="str">
        <f t="shared" si="17"/>
        <v>Eligible</v>
      </c>
      <c r="AE75" s="24" t="str">
        <f t="shared" si="18"/>
        <v>Offline</v>
      </c>
      <c r="AF75" s="27" t="str">
        <f t="shared" si="19"/>
        <v>Normal Order</v>
      </c>
    </row>
    <row r="76" spans="1:32" x14ac:dyDescent="0.3">
      <c r="A76" s="2">
        <v>10075</v>
      </c>
      <c r="B76" s="2">
        <v>1339</v>
      </c>
      <c r="C76" s="3">
        <v>45187</v>
      </c>
      <c r="D76" s="3">
        <v>45196</v>
      </c>
      <c r="E76" s="2" t="s">
        <v>46</v>
      </c>
      <c r="F76" s="2" t="s">
        <v>22</v>
      </c>
      <c r="G76" s="2" t="s">
        <v>36</v>
      </c>
      <c r="H76" s="2" t="s">
        <v>48</v>
      </c>
      <c r="I76" s="2" t="s">
        <v>63</v>
      </c>
      <c r="J76" s="2" t="s">
        <v>64</v>
      </c>
      <c r="K76" s="2" t="s">
        <v>51</v>
      </c>
      <c r="L76" s="2">
        <v>4</v>
      </c>
      <c r="M76" s="2">
        <v>2220.46</v>
      </c>
      <c r="N76" s="2">
        <v>0</v>
      </c>
      <c r="O76" s="2">
        <v>8881.84</v>
      </c>
      <c r="P76" s="2">
        <f t="shared" si="10"/>
        <v>8881.84</v>
      </c>
      <c r="Q76" s="2">
        <f t="shared" si="11"/>
        <v>0</v>
      </c>
      <c r="R76" s="2">
        <f t="shared" si="12"/>
        <v>8881.84</v>
      </c>
      <c r="S76" s="2" t="str">
        <f t="shared" si="13"/>
        <v>Low</v>
      </c>
      <c r="T76" s="2" t="str" cm="1">
        <f t="array" ref="T76">_xlfn.IFS(L76&gt;5,"High",L76=5,"Medium",L76&lt;5,"Low")</f>
        <v>Low</v>
      </c>
      <c r="U76" s="2" t="str">
        <f t="shared" si="14"/>
        <v>Low</v>
      </c>
      <c r="V76" s="14" t="str">
        <f t="shared" si="15"/>
        <v>Normal Discount</v>
      </c>
      <c r="W76" s="16" t="str">
        <f t="shared" si="16"/>
        <v>Excellent</v>
      </c>
      <c r="X76" s="18" t="str" cm="1">
        <f t="array" ref="X76">_xlfn.IFS(O76&gt;7000,"Excellent",O76&gt;4000,"Good",O76&lt;4000,"Average")</f>
        <v>Excellent</v>
      </c>
      <c r="AD76" s="23" t="str">
        <f t="shared" si="17"/>
        <v>Eligible</v>
      </c>
      <c r="AE76" s="24" t="str">
        <f t="shared" si="18"/>
        <v>Offline</v>
      </c>
      <c r="AF76" s="27" t="str">
        <f t="shared" si="19"/>
        <v>Priority Order</v>
      </c>
    </row>
    <row r="77" spans="1:32" x14ac:dyDescent="0.3">
      <c r="A77" s="2">
        <v>10076</v>
      </c>
      <c r="B77" s="2">
        <v>1091</v>
      </c>
      <c r="C77" s="3">
        <v>44929</v>
      </c>
      <c r="D77" s="3">
        <v>44932</v>
      </c>
      <c r="E77" s="2" t="s">
        <v>28</v>
      </c>
      <c r="F77" s="2" t="s">
        <v>22</v>
      </c>
      <c r="G77" s="2" t="s">
        <v>36</v>
      </c>
      <c r="H77" s="2" t="s">
        <v>41</v>
      </c>
      <c r="I77" s="2" t="s">
        <v>37</v>
      </c>
      <c r="J77" s="2" t="s">
        <v>45</v>
      </c>
      <c r="K77" s="2" t="s">
        <v>39</v>
      </c>
      <c r="L77" s="2">
        <v>5</v>
      </c>
      <c r="M77" s="2">
        <v>1220.68</v>
      </c>
      <c r="N77" s="2">
        <v>20</v>
      </c>
      <c r="O77" s="2">
        <v>4882.72</v>
      </c>
      <c r="P77" s="2">
        <f t="shared" si="10"/>
        <v>6103.4000000000005</v>
      </c>
      <c r="Q77" s="2">
        <f t="shared" si="11"/>
        <v>1220.68</v>
      </c>
      <c r="R77" s="2">
        <f t="shared" si="12"/>
        <v>4882.72</v>
      </c>
      <c r="S77" s="2" t="str">
        <f t="shared" si="13"/>
        <v>High</v>
      </c>
      <c r="T77" s="2" t="str" cm="1">
        <f t="array" ref="T77">_xlfn.IFS(L77&gt;5,"High",L77=5,"Medium",L77&lt;5,"Low")</f>
        <v>Medium</v>
      </c>
      <c r="U77" s="2" t="str">
        <f t="shared" si="14"/>
        <v>Medium</v>
      </c>
      <c r="V77" s="14" t="str">
        <f t="shared" si="15"/>
        <v>Heavy Discount</v>
      </c>
      <c r="W77" s="16" t="str">
        <f t="shared" si="16"/>
        <v>Good</v>
      </c>
      <c r="X77" s="18" t="str" cm="1">
        <f t="array" ref="X77">_xlfn.IFS(O77&gt;7000,"Excellent",O77&gt;4000,"Good",O77&lt;4000,"Average")</f>
        <v>Good</v>
      </c>
      <c r="AD77" s="23" t="str">
        <f t="shared" si="17"/>
        <v>Not Eligible</v>
      </c>
      <c r="AE77" s="24" t="str">
        <f t="shared" si="18"/>
        <v>Offline</v>
      </c>
      <c r="AF77" s="27" t="str">
        <f t="shared" si="19"/>
        <v>Normal Order</v>
      </c>
    </row>
    <row r="78" spans="1:32" x14ac:dyDescent="0.3">
      <c r="A78" s="2">
        <v>10077</v>
      </c>
      <c r="B78" s="2">
        <v>1366</v>
      </c>
      <c r="C78" s="3">
        <v>45030</v>
      </c>
      <c r="D78" s="3">
        <v>45034</v>
      </c>
      <c r="E78" s="2" t="s">
        <v>28</v>
      </c>
      <c r="F78" s="2" t="s">
        <v>60</v>
      </c>
      <c r="G78" s="2" t="s">
        <v>36</v>
      </c>
      <c r="H78" s="2" t="s">
        <v>31</v>
      </c>
      <c r="I78" s="2" t="s">
        <v>37</v>
      </c>
      <c r="J78" s="2" t="s">
        <v>38</v>
      </c>
      <c r="K78" s="2" t="s">
        <v>51</v>
      </c>
      <c r="L78" s="2">
        <v>3</v>
      </c>
      <c r="M78" s="2">
        <v>985.28</v>
      </c>
      <c r="N78" s="2">
        <v>10</v>
      </c>
      <c r="O78" s="2">
        <v>2660.26</v>
      </c>
      <c r="P78" s="2">
        <f t="shared" si="10"/>
        <v>2955.84</v>
      </c>
      <c r="Q78" s="2">
        <f t="shared" si="11"/>
        <v>295.584</v>
      </c>
      <c r="R78" s="2">
        <f t="shared" si="12"/>
        <v>2660.2560000000003</v>
      </c>
      <c r="S78" s="2" t="str">
        <f t="shared" si="13"/>
        <v>Low</v>
      </c>
      <c r="T78" s="2" t="str" cm="1">
        <f t="array" ref="T78">_xlfn.IFS(L78&gt;5,"High",L78=5,"Medium",L78&lt;5,"Low")</f>
        <v>Low</v>
      </c>
      <c r="U78" s="2" t="str">
        <f t="shared" si="14"/>
        <v>Low</v>
      </c>
      <c r="V78" s="14" t="str">
        <f t="shared" si="15"/>
        <v>Normal Discount</v>
      </c>
      <c r="W78" s="16" t="str">
        <f t="shared" si="16"/>
        <v>Average</v>
      </c>
      <c r="X78" s="18" t="str" cm="1">
        <f t="array" ref="X78">_xlfn.IFS(O78&gt;7000,"Excellent",O78&gt;4000,"Good",O78&lt;4000,"Average")</f>
        <v>Average</v>
      </c>
      <c r="AD78" s="23" t="str">
        <f t="shared" si="17"/>
        <v>Not Eligible</v>
      </c>
      <c r="AE78" s="24" t="str">
        <f t="shared" si="18"/>
        <v>Offline</v>
      </c>
      <c r="AF78" s="27" t="str">
        <f t="shared" si="19"/>
        <v>Normal Order</v>
      </c>
    </row>
    <row r="79" spans="1:32" x14ac:dyDescent="0.3">
      <c r="A79" s="2">
        <v>10078</v>
      </c>
      <c r="B79" s="2">
        <v>1955</v>
      </c>
      <c r="C79" s="3">
        <v>45150</v>
      </c>
      <c r="D79" s="3">
        <v>45156</v>
      </c>
      <c r="E79" s="2" t="s">
        <v>46</v>
      </c>
      <c r="F79" s="2" t="s">
        <v>29</v>
      </c>
      <c r="G79" s="2" t="s">
        <v>30</v>
      </c>
      <c r="H79" s="2" t="s">
        <v>41</v>
      </c>
      <c r="I79" s="2" t="s">
        <v>58</v>
      </c>
      <c r="J79" s="2" t="s">
        <v>66</v>
      </c>
      <c r="K79" s="2" t="s">
        <v>34</v>
      </c>
      <c r="L79" s="2">
        <v>6</v>
      </c>
      <c r="M79" s="2">
        <v>1258.82</v>
      </c>
      <c r="N79" s="2">
        <v>15</v>
      </c>
      <c r="O79" s="2">
        <v>6419.98</v>
      </c>
      <c r="P79" s="2">
        <f t="shared" si="10"/>
        <v>7552.92</v>
      </c>
      <c r="Q79" s="2">
        <f t="shared" si="11"/>
        <v>1132.9379999999999</v>
      </c>
      <c r="R79" s="2">
        <f t="shared" si="12"/>
        <v>6419.982</v>
      </c>
      <c r="S79" s="2" t="str">
        <f t="shared" si="13"/>
        <v>High</v>
      </c>
      <c r="T79" s="2" t="str" cm="1">
        <f t="array" ref="T79">_xlfn.IFS(L79&gt;5,"High",L79=5,"Medium",L79&lt;5,"Low")</f>
        <v>High</v>
      </c>
      <c r="U79" s="2" t="str">
        <f t="shared" si="14"/>
        <v>High</v>
      </c>
      <c r="V79" s="14" t="str">
        <f t="shared" si="15"/>
        <v>Heavy Discount</v>
      </c>
      <c r="W79" s="16" t="str">
        <f t="shared" si="16"/>
        <v>Good</v>
      </c>
      <c r="X79" s="18" t="str" cm="1">
        <f t="array" ref="X79">_xlfn.IFS(O79&gt;7000,"Excellent",O79&gt;4000,"Good",O79&lt;4000,"Average")</f>
        <v>Good</v>
      </c>
      <c r="AD79" s="23" t="str">
        <f t="shared" si="17"/>
        <v>Not Eligible</v>
      </c>
      <c r="AE79" s="24" t="str">
        <f t="shared" si="18"/>
        <v>Online</v>
      </c>
      <c r="AF79" s="27" t="str">
        <f t="shared" si="19"/>
        <v>Priority Order</v>
      </c>
    </row>
    <row r="80" spans="1:32" x14ac:dyDescent="0.3">
      <c r="A80" s="2">
        <v>10079</v>
      </c>
      <c r="B80" s="2">
        <v>1454</v>
      </c>
      <c r="C80" s="3">
        <v>45246</v>
      </c>
      <c r="D80" s="3">
        <v>45254</v>
      </c>
      <c r="E80" s="2" t="s">
        <v>40</v>
      </c>
      <c r="F80" s="2" t="s">
        <v>22</v>
      </c>
      <c r="G80" s="2" t="s">
        <v>36</v>
      </c>
      <c r="H80" s="2" t="s">
        <v>41</v>
      </c>
      <c r="I80" s="2" t="s">
        <v>37</v>
      </c>
      <c r="J80" s="2" t="s">
        <v>38</v>
      </c>
      <c r="K80" s="2" t="s">
        <v>39</v>
      </c>
      <c r="L80" s="2">
        <v>5</v>
      </c>
      <c r="M80" s="2">
        <v>2291.86</v>
      </c>
      <c r="N80" s="2">
        <v>15</v>
      </c>
      <c r="O80" s="2">
        <v>9740.4</v>
      </c>
      <c r="P80" s="2">
        <f t="shared" si="10"/>
        <v>11459.300000000001</v>
      </c>
      <c r="Q80" s="2">
        <f t="shared" si="11"/>
        <v>1718.8950000000002</v>
      </c>
      <c r="R80" s="2">
        <f t="shared" si="12"/>
        <v>9740.4050000000007</v>
      </c>
      <c r="S80" s="2" t="str">
        <f t="shared" si="13"/>
        <v>High</v>
      </c>
      <c r="T80" s="2" t="str" cm="1">
        <f t="array" ref="T80">_xlfn.IFS(L80&gt;5,"High",L80=5,"Medium",L80&lt;5,"Low")</f>
        <v>Medium</v>
      </c>
      <c r="U80" s="2" t="str">
        <f t="shared" si="14"/>
        <v>Medium</v>
      </c>
      <c r="V80" s="14" t="str">
        <f t="shared" si="15"/>
        <v>Heavy Discount</v>
      </c>
      <c r="W80" s="16" t="str">
        <f t="shared" si="16"/>
        <v>Excellent</v>
      </c>
      <c r="X80" s="18" t="str" cm="1">
        <f t="array" ref="X80">_xlfn.IFS(O80&gt;7000,"Excellent",O80&gt;4000,"Good",O80&lt;4000,"Average")</f>
        <v>Excellent</v>
      </c>
      <c r="AD80" s="23" t="str">
        <f t="shared" si="17"/>
        <v>Not Eligible</v>
      </c>
      <c r="AE80" s="24" t="str">
        <f t="shared" si="18"/>
        <v>Offline</v>
      </c>
      <c r="AF80" s="27" t="str">
        <f t="shared" si="19"/>
        <v>Priority Order</v>
      </c>
    </row>
    <row r="81" spans="1:32" x14ac:dyDescent="0.3">
      <c r="A81" s="2">
        <v>10080</v>
      </c>
      <c r="B81" s="2">
        <v>1427</v>
      </c>
      <c r="C81" s="3">
        <v>45288</v>
      </c>
      <c r="D81" s="3">
        <v>45293</v>
      </c>
      <c r="E81" s="2" t="s">
        <v>21</v>
      </c>
      <c r="F81" s="2" t="s">
        <v>60</v>
      </c>
      <c r="G81" s="2" t="s">
        <v>23</v>
      </c>
      <c r="H81" s="2" t="s">
        <v>31</v>
      </c>
      <c r="I81" s="2" t="s">
        <v>58</v>
      </c>
      <c r="J81" s="2" t="s">
        <v>62</v>
      </c>
      <c r="K81" s="2" t="s">
        <v>34</v>
      </c>
      <c r="L81" s="2">
        <v>3</v>
      </c>
      <c r="M81" s="2">
        <v>262.25</v>
      </c>
      <c r="N81" s="2">
        <v>10</v>
      </c>
      <c r="O81" s="2">
        <v>708.07</v>
      </c>
      <c r="P81" s="2">
        <f t="shared" si="10"/>
        <v>786.75</v>
      </c>
      <c r="Q81" s="2">
        <f t="shared" si="11"/>
        <v>78.675000000000011</v>
      </c>
      <c r="R81" s="2">
        <f t="shared" si="12"/>
        <v>708.07500000000005</v>
      </c>
      <c r="S81" s="2" t="str">
        <f t="shared" si="13"/>
        <v>Low</v>
      </c>
      <c r="T81" s="2" t="str" cm="1">
        <f t="array" ref="T81">_xlfn.IFS(L81&gt;5,"High",L81=5,"Medium",L81&lt;5,"Low")</f>
        <v>Low</v>
      </c>
      <c r="U81" s="2" t="str">
        <f t="shared" si="14"/>
        <v>Low</v>
      </c>
      <c r="V81" s="14" t="str">
        <f t="shared" si="15"/>
        <v>Normal Discount</v>
      </c>
      <c r="W81" s="16" t="str">
        <f t="shared" si="16"/>
        <v>Average</v>
      </c>
      <c r="X81" s="18" t="str" cm="1">
        <f t="array" ref="X81">_xlfn.IFS(O81&gt;7000,"Excellent",O81&gt;4000,"Good",O81&lt;4000,"Average")</f>
        <v>Average</v>
      </c>
      <c r="AD81" s="23" t="str">
        <f t="shared" si="17"/>
        <v>Not Eligible</v>
      </c>
      <c r="AE81" s="24" t="str">
        <f t="shared" si="18"/>
        <v>Online</v>
      </c>
      <c r="AF81" s="27" t="str">
        <f t="shared" si="19"/>
        <v>Normal Order</v>
      </c>
    </row>
    <row r="82" spans="1:32" x14ac:dyDescent="0.3">
      <c r="A82" s="2">
        <v>10081</v>
      </c>
      <c r="B82" s="2">
        <v>1508</v>
      </c>
      <c r="C82" s="3">
        <v>45280</v>
      </c>
      <c r="D82" s="3">
        <v>45283</v>
      </c>
      <c r="E82" s="2" t="s">
        <v>52</v>
      </c>
      <c r="F82" s="2" t="s">
        <v>22</v>
      </c>
      <c r="G82" s="2" t="s">
        <v>36</v>
      </c>
      <c r="H82" s="2" t="s">
        <v>24</v>
      </c>
      <c r="I82" s="2" t="s">
        <v>32</v>
      </c>
      <c r="J82" s="2" t="s">
        <v>33</v>
      </c>
      <c r="K82" s="2" t="s">
        <v>53</v>
      </c>
      <c r="L82" s="2">
        <v>6</v>
      </c>
      <c r="M82" s="2">
        <v>3642.91</v>
      </c>
      <c r="N82" s="2">
        <v>0</v>
      </c>
      <c r="O82" s="2">
        <v>21857.46</v>
      </c>
      <c r="P82" s="2">
        <f t="shared" si="10"/>
        <v>21857.46</v>
      </c>
      <c r="Q82" s="2">
        <f t="shared" si="11"/>
        <v>0</v>
      </c>
      <c r="R82" s="2">
        <f t="shared" si="12"/>
        <v>21857.46</v>
      </c>
      <c r="S82" s="2" t="str">
        <f t="shared" si="13"/>
        <v>High</v>
      </c>
      <c r="T82" s="2" t="str" cm="1">
        <f t="array" ref="T82">_xlfn.IFS(L82&gt;5,"High",L82=5,"Medium",L82&lt;5,"Low")</f>
        <v>High</v>
      </c>
      <c r="U82" s="2" t="str">
        <f t="shared" si="14"/>
        <v>High</v>
      </c>
      <c r="V82" s="14" t="str">
        <f t="shared" si="15"/>
        <v>Normal Discount</v>
      </c>
      <c r="W82" s="16" t="str">
        <f t="shared" si="16"/>
        <v>Excellent</v>
      </c>
      <c r="X82" s="18" t="str" cm="1">
        <f t="array" ref="X82">_xlfn.IFS(O82&gt;7000,"Excellent",O82&gt;4000,"Good",O82&lt;4000,"Average")</f>
        <v>Excellent</v>
      </c>
      <c r="AD82" s="23" t="str">
        <f t="shared" si="17"/>
        <v>Eligible</v>
      </c>
      <c r="AE82" s="24" t="str">
        <f t="shared" si="18"/>
        <v>Offline</v>
      </c>
      <c r="AF82" s="27" t="str">
        <f t="shared" si="19"/>
        <v>Priority Order</v>
      </c>
    </row>
    <row r="83" spans="1:32" x14ac:dyDescent="0.3">
      <c r="A83" s="2">
        <v>10082</v>
      </c>
      <c r="B83" s="2">
        <v>1775</v>
      </c>
      <c r="C83" s="3">
        <v>44936</v>
      </c>
      <c r="D83" s="3">
        <v>44942</v>
      </c>
      <c r="E83" s="2" t="s">
        <v>52</v>
      </c>
      <c r="F83" s="2" t="s">
        <v>44</v>
      </c>
      <c r="G83" s="2" t="s">
        <v>30</v>
      </c>
      <c r="H83" s="2" t="s">
        <v>48</v>
      </c>
      <c r="I83" s="2" t="s">
        <v>55</v>
      </c>
      <c r="J83" s="2" t="s">
        <v>69</v>
      </c>
      <c r="K83" s="2" t="s">
        <v>53</v>
      </c>
      <c r="L83" s="2">
        <v>6</v>
      </c>
      <c r="M83" s="2">
        <v>751.69</v>
      </c>
      <c r="N83" s="2">
        <v>0</v>
      </c>
      <c r="O83" s="2">
        <v>4510.1400000000003</v>
      </c>
      <c r="P83" s="2">
        <f t="shared" si="10"/>
        <v>4510.1400000000003</v>
      </c>
      <c r="Q83" s="2">
        <f t="shared" si="11"/>
        <v>0</v>
      </c>
      <c r="R83" s="2">
        <f t="shared" si="12"/>
        <v>4510.1400000000003</v>
      </c>
      <c r="S83" s="2" t="str">
        <f t="shared" si="13"/>
        <v>High</v>
      </c>
      <c r="T83" s="2" t="str" cm="1">
        <f t="array" ref="T83">_xlfn.IFS(L83&gt;5,"High",L83=5,"Medium",L83&lt;5,"Low")</f>
        <v>High</v>
      </c>
      <c r="U83" s="2" t="str">
        <f t="shared" si="14"/>
        <v>High</v>
      </c>
      <c r="V83" s="14" t="str">
        <f t="shared" si="15"/>
        <v>Normal Discount</v>
      </c>
      <c r="W83" s="16" t="str">
        <f t="shared" si="16"/>
        <v>Good</v>
      </c>
      <c r="X83" s="18" t="str" cm="1">
        <f t="array" ref="X83">_xlfn.IFS(O83&gt;7000,"Excellent",O83&gt;4000,"Good",O83&lt;4000,"Average")</f>
        <v>Good</v>
      </c>
      <c r="AD83" s="23" t="str">
        <f t="shared" si="17"/>
        <v>Not Eligible</v>
      </c>
      <c r="AE83" s="24" t="str">
        <f t="shared" si="18"/>
        <v>Online</v>
      </c>
      <c r="AF83" s="27" t="str">
        <f t="shared" si="19"/>
        <v>Priority Order</v>
      </c>
    </row>
    <row r="84" spans="1:32" x14ac:dyDescent="0.3">
      <c r="A84" s="2">
        <v>10083</v>
      </c>
      <c r="B84" s="2">
        <v>1942</v>
      </c>
      <c r="C84" s="3">
        <v>45228</v>
      </c>
      <c r="D84" s="3">
        <v>45232</v>
      </c>
      <c r="E84" s="2" t="s">
        <v>43</v>
      </c>
      <c r="F84" s="2" t="s">
        <v>29</v>
      </c>
      <c r="G84" s="2" t="s">
        <v>23</v>
      </c>
      <c r="H84" s="2" t="s">
        <v>31</v>
      </c>
      <c r="I84" s="2" t="s">
        <v>63</v>
      </c>
      <c r="J84" s="2" t="s">
        <v>68</v>
      </c>
      <c r="K84" s="2" t="s">
        <v>27</v>
      </c>
      <c r="L84" s="2">
        <v>8</v>
      </c>
      <c r="M84" s="2">
        <v>997.34</v>
      </c>
      <c r="N84" s="2">
        <v>5</v>
      </c>
      <c r="O84" s="2">
        <v>7579.78</v>
      </c>
      <c r="P84" s="2">
        <f t="shared" si="10"/>
        <v>7978.72</v>
      </c>
      <c r="Q84" s="2">
        <f t="shared" si="11"/>
        <v>398.93600000000004</v>
      </c>
      <c r="R84" s="2">
        <f t="shared" si="12"/>
        <v>7579.7840000000006</v>
      </c>
      <c r="S84" s="2" t="str">
        <f t="shared" si="13"/>
        <v>High</v>
      </c>
      <c r="T84" s="2" t="str" cm="1">
        <f t="array" ref="T84">_xlfn.IFS(L84&gt;5,"High",L84=5,"Medium",L84&lt;5,"Low")</f>
        <v>High</v>
      </c>
      <c r="U84" s="2" t="str">
        <f t="shared" si="14"/>
        <v>High</v>
      </c>
      <c r="V84" s="14" t="str">
        <f t="shared" si="15"/>
        <v>Normal Discount</v>
      </c>
      <c r="W84" s="16" t="str">
        <f t="shared" si="16"/>
        <v>Excellent</v>
      </c>
      <c r="X84" s="18" t="str" cm="1">
        <f t="array" ref="X84">_xlfn.IFS(O84&gt;7000,"Excellent",O84&gt;4000,"Good",O84&lt;4000,"Average")</f>
        <v>Excellent</v>
      </c>
      <c r="AD84" s="23" t="str">
        <f t="shared" si="17"/>
        <v>Eligible</v>
      </c>
      <c r="AE84" s="24" t="str">
        <f t="shared" si="18"/>
        <v>Online</v>
      </c>
      <c r="AF84" s="27" t="str">
        <f t="shared" si="19"/>
        <v>Priority Order</v>
      </c>
    </row>
    <row r="85" spans="1:32" x14ac:dyDescent="0.3">
      <c r="A85" s="2">
        <v>10084</v>
      </c>
      <c r="B85" s="2">
        <v>1034</v>
      </c>
      <c r="C85" s="3">
        <v>45157</v>
      </c>
      <c r="D85" s="3">
        <v>45166</v>
      </c>
      <c r="E85" s="2" t="s">
        <v>46</v>
      </c>
      <c r="F85" s="2" t="s">
        <v>35</v>
      </c>
      <c r="G85" s="2" t="s">
        <v>36</v>
      </c>
      <c r="H85" s="2" t="s">
        <v>50</v>
      </c>
      <c r="I85" s="2" t="s">
        <v>58</v>
      </c>
      <c r="J85" s="2" t="s">
        <v>62</v>
      </c>
      <c r="K85" s="2" t="s">
        <v>39</v>
      </c>
      <c r="L85" s="2">
        <v>2</v>
      </c>
      <c r="M85" s="2">
        <v>2145.36</v>
      </c>
      <c r="N85" s="2">
        <v>20</v>
      </c>
      <c r="O85" s="2">
        <v>3432.58</v>
      </c>
      <c r="P85" s="2">
        <f t="shared" si="10"/>
        <v>4290.72</v>
      </c>
      <c r="Q85" s="2">
        <f t="shared" si="11"/>
        <v>858.14400000000012</v>
      </c>
      <c r="R85" s="2">
        <f t="shared" si="12"/>
        <v>3432.576</v>
      </c>
      <c r="S85" s="2" t="str">
        <f t="shared" si="13"/>
        <v>Low</v>
      </c>
      <c r="T85" s="2" t="str" cm="1">
        <f t="array" ref="T85">_xlfn.IFS(L85&gt;5,"High",L85=5,"Medium",L85&lt;5,"Low")</f>
        <v>Low</v>
      </c>
      <c r="U85" s="2" t="str">
        <f t="shared" si="14"/>
        <v>Low</v>
      </c>
      <c r="V85" s="14" t="str">
        <f t="shared" si="15"/>
        <v>Heavy Discount</v>
      </c>
      <c r="W85" s="16" t="str">
        <f t="shared" si="16"/>
        <v>Average</v>
      </c>
      <c r="X85" s="18" t="str" cm="1">
        <f t="array" ref="X85">_xlfn.IFS(O85&gt;7000,"Excellent",O85&gt;4000,"Good",O85&lt;4000,"Average")</f>
        <v>Average</v>
      </c>
      <c r="AD85" s="23" t="str">
        <f t="shared" si="17"/>
        <v>Not Eligible</v>
      </c>
      <c r="AE85" s="24" t="str">
        <f t="shared" si="18"/>
        <v>Offline</v>
      </c>
      <c r="AF85" s="27" t="str">
        <f t="shared" si="19"/>
        <v>Normal Order</v>
      </c>
    </row>
    <row r="86" spans="1:32" x14ac:dyDescent="0.3">
      <c r="A86" s="2">
        <v>10085</v>
      </c>
      <c r="B86" s="2">
        <v>1205</v>
      </c>
      <c r="C86" s="3">
        <v>45145</v>
      </c>
      <c r="D86" s="3">
        <v>45148</v>
      </c>
      <c r="E86" s="2" t="s">
        <v>52</v>
      </c>
      <c r="F86" s="2" t="s">
        <v>22</v>
      </c>
      <c r="G86" s="2" t="s">
        <v>36</v>
      </c>
      <c r="H86" s="2" t="s">
        <v>24</v>
      </c>
      <c r="I86" s="2" t="s">
        <v>55</v>
      </c>
      <c r="J86" s="2" t="s">
        <v>56</v>
      </c>
      <c r="K86" s="2" t="s">
        <v>34</v>
      </c>
      <c r="L86" s="2">
        <v>1</v>
      </c>
      <c r="M86" s="2">
        <v>2883.94</v>
      </c>
      <c r="N86" s="2">
        <v>20</v>
      </c>
      <c r="O86" s="2">
        <v>2307.15</v>
      </c>
      <c r="P86" s="2">
        <f t="shared" si="10"/>
        <v>2883.94</v>
      </c>
      <c r="Q86" s="2">
        <f t="shared" si="11"/>
        <v>576.78800000000001</v>
      </c>
      <c r="R86" s="2">
        <f t="shared" si="12"/>
        <v>2307.152</v>
      </c>
      <c r="S86" s="2" t="str">
        <f t="shared" si="13"/>
        <v>Low</v>
      </c>
      <c r="T86" s="2" t="str" cm="1">
        <f t="array" ref="T86">_xlfn.IFS(L86&gt;5,"High",L86=5,"Medium",L86&lt;5,"Low")</f>
        <v>Low</v>
      </c>
      <c r="U86" s="2" t="str">
        <f t="shared" si="14"/>
        <v>Low</v>
      </c>
      <c r="V86" s="14" t="str">
        <f t="shared" si="15"/>
        <v>Heavy Discount</v>
      </c>
      <c r="W86" s="16" t="str">
        <f t="shared" si="16"/>
        <v>Average</v>
      </c>
      <c r="X86" s="18" t="str" cm="1">
        <f t="array" ref="X86">_xlfn.IFS(O86&gt;7000,"Excellent",O86&gt;4000,"Good",O86&lt;4000,"Average")</f>
        <v>Average</v>
      </c>
      <c r="AD86" s="23" t="str">
        <f t="shared" si="17"/>
        <v>Not Eligible</v>
      </c>
      <c r="AE86" s="24" t="str">
        <f t="shared" si="18"/>
        <v>Offline</v>
      </c>
      <c r="AF86" s="27" t="str">
        <f t="shared" si="19"/>
        <v>Normal Order</v>
      </c>
    </row>
    <row r="87" spans="1:32" x14ac:dyDescent="0.3">
      <c r="A87" s="2">
        <v>10086</v>
      </c>
      <c r="B87" s="2">
        <v>1080</v>
      </c>
      <c r="C87" s="3">
        <v>44992</v>
      </c>
      <c r="D87" s="3">
        <v>44996</v>
      </c>
      <c r="E87" s="2" t="s">
        <v>40</v>
      </c>
      <c r="F87" s="2" t="s">
        <v>44</v>
      </c>
      <c r="G87" s="2" t="s">
        <v>36</v>
      </c>
      <c r="H87" s="2" t="s">
        <v>50</v>
      </c>
      <c r="I87" s="2" t="s">
        <v>37</v>
      </c>
      <c r="J87" s="2" t="s">
        <v>71</v>
      </c>
      <c r="K87" s="2" t="s">
        <v>51</v>
      </c>
      <c r="L87" s="2">
        <v>4</v>
      </c>
      <c r="M87" s="2">
        <v>518.55999999999995</v>
      </c>
      <c r="N87" s="2">
        <v>20</v>
      </c>
      <c r="O87" s="2">
        <v>1659.39</v>
      </c>
      <c r="P87" s="2">
        <f t="shared" si="10"/>
        <v>2074.2399999999998</v>
      </c>
      <c r="Q87" s="2">
        <f t="shared" si="11"/>
        <v>414.84799999999996</v>
      </c>
      <c r="R87" s="2">
        <f t="shared" si="12"/>
        <v>1659.3919999999998</v>
      </c>
      <c r="S87" s="2" t="str">
        <f t="shared" si="13"/>
        <v>Low</v>
      </c>
      <c r="T87" s="2" t="str" cm="1">
        <f t="array" ref="T87">_xlfn.IFS(L87&gt;5,"High",L87=5,"Medium",L87&lt;5,"Low")</f>
        <v>Low</v>
      </c>
      <c r="U87" s="2" t="str">
        <f t="shared" si="14"/>
        <v>Low</v>
      </c>
      <c r="V87" s="14" t="str">
        <f t="shared" si="15"/>
        <v>Heavy Discount</v>
      </c>
      <c r="W87" s="16" t="str">
        <f t="shared" si="16"/>
        <v>Average</v>
      </c>
      <c r="X87" s="18" t="str" cm="1">
        <f t="array" ref="X87">_xlfn.IFS(O87&gt;7000,"Excellent",O87&gt;4000,"Good",O87&lt;4000,"Average")</f>
        <v>Average</v>
      </c>
      <c r="AD87" s="23" t="str">
        <f t="shared" si="17"/>
        <v>Not Eligible</v>
      </c>
      <c r="AE87" s="24" t="str">
        <f t="shared" si="18"/>
        <v>Offline</v>
      </c>
      <c r="AF87" s="27" t="str">
        <f t="shared" si="19"/>
        <v>Normal Order</v>
      </c>
    </row>
    <row r="88" spans="1:32" x14ac:dyDescent="0.3">
      <c r="A88" s="2">
        <v>10087</v>
      </c>
      <c r="B88" s="2">
        <v>1931</v>
      </c>
      <c r="C88" s="3">
        <v>45038</v>
      </c>
      <c r="D88" s="3">
        <v>45045</v>
      </c>
      <c r="E88" s="2" t="s">
        <v>46</v>
      </c>
      <c r="F88" s="2" t="s">
        <v>35</v>
      </c>
      <c r="G88" s="2" t="s">
        <v>23</v>
      </c>
      <c r="H88" s="2" t="s">
        <v>24</v>
      </c>
      <c r="I88" s="2" t="s">
        <v>37</v>
      </c>
      <c r="J88" s="2" t="s">
        <v>45</v>
      </c>
      <c r="K88" s="2" t="s">
        <v>53</v>
      </c>
      <c r="L88" s="2">
        <v>7</v>
      </c>
      <c r="M88" s="2">
        <v>1373.12</v>
      </c>
      <c r="N88" s="2">
        <v>5</v>
      </c>
      <c r="O88" s="2">
        <v>9131.25</v>
      </c>
      <c r="P88" s="2">
        <f t="shared" si="10"/>
        <v>9611.84</v>
      </c>
      <c r="Q88" s="2">
        <f t="shared" si="11"/>
        <v>480.59200000000004</v>
      </c>
      <c r="R88" s="2">
        <f t="shared" si="12"/>
        <v>9131.2479999999996</v>
      </c>
      <c r="S88" s="2" t="str">
        <f t="shared" si="13"/>
        <v>High</v>
      </c>
      <c r="T88" s="2" t="str" cm="1">
        <f t="array" ref="T88">_xlfn.IFS(L88&gt;5,"High",L88=5,"Medium",L88&lt;5,"Low")</f>
        <v>High</v>
      </c>
      <c r="U88" s="2" t="str">
        <f t="shared" si="14"/>
        <v>High</v>
      </c>
      <c r="V88" s="14" t="str">
        <f t="shared" si="15"/>
        <v>Normal Discount</v>
      </c>
      <c r="W88" s="16" t="str">
        <f t="shared" si="16"/>
        <v>Excellent</v>
      </c>
      <c r="X88" s="18" t="str" cm="1">
        <f t="array" ref="X88">_xlfn.IFS(O88&gt;7000,"Excellent",O88&gt;4000,"Good",O88&lt;4000,"Average")</f>
        <v>Excellent</v>
      </c>
      <c r="AD88" s="23" t="str">
        <f t="shared" si="17"/>
        <v>Eligible</v>
      </c>
      <c r="AE88" s="24" t="str">
        <f t="shared" si="18"/>
        <v>Online</v>
      </c>
      <c r="AF88" s="27" t="str">
        <f t="shared" si="19"/>
        <v>Priority Order</v>
      </c>
    </row>
    <row r="89" spans="1:32" x14ac:dyDescent="0.3">
      <c r="A89" s="2">
        <v>10088</v>
      </c>
      <c r="B89" s="2">
        <v>1561</v>
      </c>
      <c r="C89" s="3">
        <v>44939</v>
      </c>
      <c r="D89" s="3">
        <v>44946</v>
      </c>
      <c r="E89" s="2" t="s">
        <v>40</v>
      </c>
      <c r="F89" s="2" t="s">
        <v>35</v>
      </c>
      <c r="G89" s="2" t="s">
        <v>23</v>
      </c>
      <c r="H89" s="2" t="s">
        <v>48</v>
      </c>
      <c r="I89" s="2" t="s">
        <v>55</v>
      </c>
      <c r="J89" s="2" t="s">
        <v>69</v>
      </c>
      <c r="K89" s="2" t="s">
        <v>53</v>
      </c>
      <c r="L89" s="2">
        <v>3</v>
      </c>
      <c r="M89" s="2">
        <v>3879.4</v>
      </c>
      <c r="N89" s="2">
        <v>20</v>
      </c>
      <c r="O89" s="2">
        <v>9310.56</v>
      </c>
      <c r="P89" s="2">
        <f t="shared" si="10"/>
        <v>11638.2</v>
      </c>
      <c r="Q89" s="2">
        <f t="shared" si="11"/>
        <v>2327.6400000000003</v>
      </c>
      <c r="R89" s="2">
        <f t="shared" si="12"/>
        <v>9310.5600000000013</v>
      </c>
      <c r="S89" s="2" t="str">
        <f t="shared" si="13"/>
        <v>Low</v>
      </c>
      <c r="T89" s="2" t="str" cm="1">
        <f t="array" ref="T89">_xlfn.IFS(L89&gt;5,"High",L89=5,"Medium",L89&lt;5,"Low")</f>
        <v>Low</v>
      </c>
      <c r="U89" s="2" t="str">
        <f t="shared" si="14"/>
        <v>Low</v>
      </c>
      <c r="V89" s="14" t="str">
        <f t="shared" si="15"/>
        <v>Heavy Discount</v>
      </c>
      <c r="W89" s="16" t="str">
        <f t="shared" si="16"/>
        <v>Excellent</v>
      </c>
      <c r="X89" s="18" t="str" cm="1">
        <f t="array" ref="X89">_xlfn.IFS(O89&gt;7000,"Excellent",O89&gt;4000,"Good",O89&lt;4000,"Average")</f>
        <v>Excellent</v>
      </c>
      <c r="AD89" s="23" t="str">
        <f t="shared" si="17"/>
        <v>Not Eligible</v>
      </c>
      <c r="AE89" s="24" t="str">
        <f t="shared" si="18"/>
        <v>Online</v>
      </c>
      <c r="AF89" s="27" t="str">
        <f t="shared" si="19"/>
        <v>Priority Order</v>
      </c>
    </row>
    <row r="90" spans="1:32" x14ac:dyDescent="0.3">
      <c r="A90" s="2">
        <v>10089</v>
      </c>
      <c r="B90" s="2">
        <v>1871</v>
      </c>
      <c r="C90" s="3">
        <v>45012</v>
      </c>
      <c r="D90" s="3">
        <v>45016</v>
      </c>
      <c r="E90" s="2" t="s">
        <v>52</v>
      </c>
      <c r="F90" s="2" t="s">
        <v>22</v>
      </c>
      <c r="G90" s="2" t="s">
        <v>30</v>
      </c>
      <c r="H90" s="2" t="s">
        <v>48</v>
      </c>
      <c r="I90" s="2" t="s">
        <v>37</v>
      </c>
      <c r="J90" s="2" t="s">
        <v>54</v>
      </c>
      <c r="K90" s="2" t="s">
        <v>51</v>
      </c>
      <c r="L90" s="2">
        <v>3</v>
      </c>
      <c r="M90" s="2">
        <v>1160.02</v>
      </c>
      <c r="N90" s="2">
        <v>10</v>
      </c>
      <c r="O90" s="2">
        <v>3132.05</v>
      </c>
      <c r="P90" s="2">
        <f t="shared" si="10"/>
        <v>3480.06</v>
      </c>
      <c r="Q90" s="2">
        <f t="shared" si="11"/>
        <v>348.00600000000003</v>
      </c>
      <c r="R90" s="2">
        <f t="shared" si="12"/>
        <v>3132.0540000000001</v>
      </c>
      <c r="S90" s="2" t="str">
        <f t="shared" si="13"/>
        <v>Low</v>
      </c>
      <c r="T90" s="2" t="str" cm="1">
        <f t="array" ref="T90">_xlfn.IFS(L90&gt;5,"High",L90=5,"Medium",L90&lt;5,"Low")</f>
        <v>Low</v>
      </c>
      <c r="U90" s="2" t="str">
        <f t="shared" si="14"/>
        <v>Low</v>
      </c>
      <c r="V90" s="14" t="str">
        <f t="shared" si="15"/>
        <v>Normal Discount</v>
      </c>
      <c r="W90" s="16" t="str">
        <f t="shared" si="16"/>
        <v>Average</v>
      </c>
      <c r="X90" s="18" t="str" cm="1">
        <f t="array" ref="X90">_xlfn.IFS(O90&gt;7000,"Excellent",O90&gt;4000,"Good",O90&lt;4000,"Average")</f>
        <v>Average</v>
      </c>
      <c r="AD90" s="23" t="str">
        <f t="shared" si="17"/>
        <v>Not Eligible</v>
      </c>
      <c r="AE90" s="24" t="str">
        <f t="shared" si="18"/>
        <v>Online</v>
      </c>
      <c r="AF90" s="27" t="str">
        <f t="shared" si="19"/>
        <v>Normal Order</v>
      </c>
    </row>
    <row r="91" spans="1:32" x14ac:dyDescent="0.3">
      <c r="A91" s="2">
        <v>10090</v>
      </c>
      <c r="B91" s="2">
        <v>1387</v>
      </c>
      <c r="C91" s="3">
        <v>45160</v>
      </c>
      <c r="D91" s="3">
        <v>45166</v>
      </c>
      <c r="E91" s="2" t="s">
        <v>52</v>
      </c>
      <c r="F91" s="2" t="s">
        <v>60</v>
      </c>
      <c r="G91" s="2" t="s">
        <v>23</v>
      </c>
      <c r="H91" s="2" t="s">
        <v>41</v>
      </c>
      <c r="I91" s="2" t="s">
        <v>32</v>
      </c>
      <c r="J91" s="2" t="s">
        <v>33</v>
      </c>
      <c r="K91" s="2" t="s">
        <v>34</v>
      </c>
      <c r="L91" s="2">
        <v>5</v>
      </c>
      <c r="M91" s="2">
        <v>1355.24</v>
      </c>
      <c r="N91" s="2">
        <v>5</v>
      </c>
      <c r="O91" s="2">
        <v>6437.39</v>
      </c>
      <c r="P91" s="2">
        <f t="shared" si="10"/>
        <v>6776.2</v>
      </c>
      <c r="Q91" s="2">
        <f t="shared" si="11"/>
        <v>338.81</v>
      </c>
      <c r="R91" s="2">
        <f t="shared" si="12"/>
        <v>6437.3899999999994</v>
      </c>
      <c r="S91" s="2" t="str">
        <f t="shared" si="13"/>
        <v>High</v>
      </c>
      <c r="T91" s="2" t="str" cm="1">
        <f t="array" ref="T91">_xlfn.IFS(L91&gt;5,"High",L91=5,"Medium",L91&lt;5,"Low")</f>
        <v>Medium</v>
      </c>
      <c r="U91" s="2" t="str">
        <f t="shared" si="14"/>
        <v>Medium</v>
      </c>
      <c r="V91" s="14" t="str">
        <f t="shared" si="15"/>
        <v>Normal Discount</v>
      </c>
      <c r="W91" s="16" t="str">
        <f t="shared" si="16"/>
        <v>Good</v>
      </c>
      <c r="X91" s="18" t="str" cm="1">
        <f t="array" ref="X91">_xlfn.IFS(O91&gt;7000,"Excellent",O91&gt;4000,"Good",O91&lt;4000,"Average")</f>
        <v>Good</v>
      </c>
      <c r="AD91" s="23" t="str">
        <f t="shared" si="17"/>
        <v>Eligible</v>
      </c>
      <c r="AE91" s="24" t="str">
        <f t="shared" si="18"/>
        <v>Online</v>
      </c>
      <c r="AF91" s="27" t="str">
        <f t="shared" si="19"/>
        <v>Normal Order</v>
      </c>
    </row>
    <row r="92" spans="1:32" x14ac:dyDescent="0.3">
      <c r="A92" s="2">
        <v>10091</v>
      </c>
      <c r="B92" s="2">
        <v>1001</v>
      </c>
      <c r="C92" s="3">
        <v>45016</v>
      </c>
      <c r="D92" s="3">
        <v>45019</v>
      </c>
      <c r="E92" s="2" t="s">
        <v>43</v>
      </c>
      <c r="F92" s="2" t="s">
        <v>22</v>
      </c>
      <c r="G92" s="2" t="s">
        <v>23</v>
      </c>
      <c r="H92" s="2" t="s">
        <v>50</v>
      </c>
      <c r="I92" s="2" t="s">
        <v>32</v>
      </c>
      <c r="J92" s="2" t="s">
        <v>33</v>
      </c>
      <c r="K92" s="2" t="s">
        <v>34</v>
      </c>
      <c r="L92" s="2">
        <v>5</v>
      </c>
      <c r="M92" s="2">
        <v>3370.52</v>
      </c>
      <c r="N92" s="2">
        <v>10</v>
      </c>
      <c r="O92" s="2">
        <v>15167.34</v>
      </c>
      <c r="P92" s="2">
        <f t="shared" si="10"/>
        <v>16852.599999999999</v>
      </c>
      <c r="Q92" s="2">
        <f t="shared" si="11"/>
        <v>1685.26</v>
      </c>
      <c r="R92" s="2">
        <f t="shared" si="12"/>
        <v>15167.339999999998</v>
      </c>
      <c r="S92" s="2" t="str">
        <f t="shared" si="13"/>
        <v>High</v>
      </c>
      <c r="T92" s="2" t="str" cm="1">
        <f t="array" ref="T92">_xlfn.IFS(L92&gt;5,"High",L92=5,"Medium",L92&lt;5,"Low")</f>
        <v>Medium</v>
      </c>
      <c r="U92" s="2" t="str">
        <f t="shared" si="14"/>
        <v>Medium</v>
      </c>
      <c r="V92" s="14" t="str">
        <f t="shared" si="15"/>
        <v>Normal Discount</v>
      </c>
      <c r="W92" s="16" t="str">
        <f t="shared" si="16"/>
        <v>Excellent</v>
      </c>
      <c r="X92" s="18" t="str" cm="1">
        <f t="array" ref="X92">_xlfn.IFS(O92&gt;7000,"Excellent",O92&gt;4000,"Good",O92&lt;4000,"Average")</f>
        <v>Excellent</v>
      </c>
      <c r="AD92" s="23" t="str">
        <f t="shared" si="17"/>
        <v>Not Eligible</v>
      </c>
      <c r="AE92" s="24" t="str">
        <f t="shared" si="18"/>
        <v>Online</v>
      </c>
      <c r="AF92" s="27" t="str">
        <f t="shared" si="19"/>
        <v>Priority Order</v>
      </c>
    </row>
    <row r="93" spans="1:32" x14ac:dyDescent="0.3">
      <c r="A93" s="2">
        <v>10092</v>
      </c>
      <c r="B93" s="2">
        <v>1389</v>
      </c>
      <c r="C93" s="3">
        <v>45240</v>
      </c>
      <c r="D93" s="3">
        <v>45246</v>
      </c>
      <c r="E93" s="2" t="s">
        <v>52</v>
      </c>
      <c r="F93" s="2" t="s">
        <v>44</v>
      </c>
      <c r="G93" s="2" t="s">
        <v>36</v>
      </c>
      <c r="H93" s="2" t="s">
        <v>24</v>
      </c>
      <c r="I93" s="2" t="s">
        <v>55</v>
      </c>
      <c r="J93" s="2" t="s">
        <v>56</v>
      </c>
      <c r="K93" s="2" t="s">
        <v>39</v>
      </c>
      <c r="L93" s="2">
        <v>3</v>
      </c>
      <c r="M93" s="2">
        <v>343.33</v>
      </c>
      <c r="N93" s="2">
        <v>5</v>
      </c>
      <c r="O93" s="2">
        <v>978.49</v>
      </c>
      <c r="P93" s="2">
        <f t="shared" si="10"/>
        <v>1029.99</v>
      </c>
      <c r="Q93" s="2">
        <f t="shared" si="11"/>
        <v>51.499500000000005</v>
      </c>
      <c r="R93" s="2">
        <f t="shared" si="12"/>
        <v>978.4905</v>
      </c>
      <c r="S93" s="2" t="str">
        <f t="shared" si="13"/>
        <v>Low</v>
      </c>
      <c r="T93" s="2" t="str" cm="1">
        <f t="array" ref="T93">_xlfn.IFS(L93&gt;5,"High",L93=5,"Medium",L93&lt;5,"Low")</f>
        <v>Low</v>
      </c>
      <c r="U93" s="2" t="str">
        <f t="shared" si="14"/>
        <v>Low</v>
      </c>
      <c r="V93" s="14" t="str">
        <f t="shared" si="15"/>
        <v>Normal Discount</v>
      </c>
      <c r="W93" s="16" t="str">
        <f t="shared" si="16"/>
        <v>Average</v>
      </c>
      <c r="X93" s="18" t="str" cm="1">
        <f t="array" ref="X93">_xlfn.IFS(O93&gt;7000,"Excellent",O93&gt;4000,"Good",O93&lt;4000,"Average")</f>
        <v>Average</v>
      </c>
      <c r="AD93" s="23" t="str">
        <f t="shared" si="17"/>
        <v>Not Eligible</v>
      </c>
      <c r="AE93" s="24" t="str">
        <f t="shared" si="18"/>
        <v>Offline</v>
      </c>
      <c r="AF93" s="27" t="str">
        <f t="shared" si="19"/>
        <v>Normal Order</v>
      </c>
    </row>
    <row r="94" spans="1:32" x14ac:dyDescent="0.3">
      <c r="A94" s="2">
        <v>10093</v>
      </c>
      <c r="B94" s="2">
        <v>1565</v>
      </c>
      <c r="C94" s="3">
        <v>44980</v>
      </c>
      <c r="D94" s="3">
        <v>44982</v>
      </c>
      <c r="E94" s="2" t="s">
        <v>46</v>
      </c>
      <c r="F94" s="2" t="s">
        <v>35</v>
      </c>
      <c r="G94" s="2" t="s">
        <v>23</v>
      </c>
      <c r="H94" s="2" t="s">
        <v>48</v>
      </c>
      <c r="I94" s="2" t="s">
        <v>58</v>
      </c>
      <c r="J94" s="2" t="s">
        <v>62</v>
      </c>
      <c r="K94" s="2" t="s">
        <v>39</v>
      </c>
      <c r="L94" s="2">
        <v>9</v>
      </c>
      <c r="M94" s="2">
        <v>1938.76</v>
      </c>
      <c r="N94" s="2">
        <v>20</v>
      </c>
      <c r="O94" s="2">
        <v>13959.07</v>
      </c>
      <c r="P94" s="2">
        <f t="shared" si="10"/>
        <v>17448.84</v>
      </c>
      <c r="Q94" s="2">
        <f t="shared" si="11"/>
        <v>3489.768</v>
      </c>
      <c r="R94" s="2">
        <f t="shared" si="12"/>
        <v>13959.072</v>
      </c>
      <c r="S94" s="2" t="str">
        <f t="shared" si="13"/>
        <v>High</v>
      </c>
      <c r="T94" s="2" t="str" cm="1">
        <f t="array" ref="T94">_xlfn.IFS(L94&gt;5,"High",L94=5,"Medium",L94&lt;5,"Low")</f>
        <v>High</v>
      </c>
      <c r="U94" s="2" t="str">
        <f t="shared" si="14"/>
        <v>High</v>
      </c>
      <c r="V94" s="14" t="str">
        <f t="shared" si="15"/>
        <v>Heavy Discount</v>
      </c>
      <c r="W94" s="16" t="str">
        <f t="shared" si="16"/>
        <v>Excellent</v>
      </c>
      <c r="X94" s="18" t="str" cm="1">
        <f t="array" ref="X94">_xlfn.IFS(O94&gt;7000,"Excellent",O94&gt;4000,"Good",O94&lt;4000,"Average")</f>
        <v>Excellent</v>
      </c>
      <c r="AD94" s="23" t="str">
        <f t="shared" si="17"/>
        <v>Not Eligible</v>
      </c>
      <c r="AE94" s="24" t="str">
        <f t="shared" si="18"/>
        <v>Online</v>
      </c>
      <c r="AF94" s="27" t="str">
        <f t="shared" si="19"/>
        <v>Priority Order</v>
      </c>
    </row>
    <row r="95" spans="1:32" x14ac:dyDescent="0.3">
      <c r="A95" s="2">
        <v>10094</v>
      </c>
      <c r="B95" s="2">
        <v>1105</v>
      </c>
      <c r="C95" s="3">
        <v>44938</v>
      </c>
      <c r="D95" s="3">
        <v>44946</v>
      </c>
      <c r="E95" s="2" t="s">
        <v>28</v>
      </c>
      <c r="F95" s="2" t="s">
        <v>22</v>
      </c>
      <c r="G95" s="2" t="s">
        <v>36</v>
      </c>
      <c r="H95" s="2" t="s">
        <v>31</v>
      </c>
      <c r="I95" s="2" t="s">
        <v>58</v>
      </c>
      <c r="J95" s="2" t="s">
        <v>66</v>
      </c>
      <c r="K95" s="2" t="s">
        <v>27</v>
      </c>
      <c r="L95" s="2">
        <v>4</v>
      </c>
      <c r="M95" s="2">
        <v>1611.52</v>
      </c>
      <c r="N95" s="2">
        <v>10</v>
      </c>
      <c r="O95" s="2">
        <v>5801.47</v>
      </c>
      <c r="P95" s="2">
        <f t="shared" si="10"/>
        <v>6446.08</v>
      </c>
      <c r="Q95" s="2">
        <f t="shared" si="11"/>
        <v>644.60800000000006</v>
      </c>
      <c r="R95" s="2">
        <f t="shared" si="12"/>
        <v>5801.4719999999998</v>
      </c>
      <c r="S95" s="2" t="str">
        <f t="shared" si="13"/>
        <v>Low</v>
      </c>
      <c r="T95" s="2" t="str" cm="1">
        <f t="array" ref="T95">_xlfn.IFS(L95&gt;5,"High",L95=5,"Medium",L95&lt;5,"Low")</f>
        <v>Low</v>
      </c>
      <c r="U95" s="2" t="str">
        <f t="shared" si="14"/>
        <v>Low</v>
      </c>
      <c r="V95" s="14" t="str">
        <f t="shared" si="15"/>
        <v>Normal Discount</v>
      </c>
      <c r="W95" s="16" t="str">
        <f t="shared" si="16"/>
        <v>Good</v>
      </c>
      <c r="X95" s="18" t="str" cm="1">
        <f t="array" ref="X95">_xlfn.IFS(O95&gt;7000,"Excellent",O95&gt;4000,"Good",O95&lt;4000,"Average")</f>
        <v>Good</v>
      </c>
      <c r="AD95" s="23" t="str">
        <f t="shared" si="17"/>
        <v>Not Eligible</v>
      </c>
      <c r="AE95" s="24" t="str">
        <f t="shared" si="18"/>
        <v>Offline</v>
      </c>
      <c r="AF95" s="27" t="str">
        <f t="shared" si="19"/>
        <v>Normal Order</v>
      </c>
    </row>
    <row r="96" spans="1:32" x14ac:dyDescent="0.3">
      <c r="A96" s="2">
        <v>10095</v>
      </c>
      <c r="B96" s="2">
        <v>1771</v>
      </c>
      <c r="C96" s="3">
        <v>45135</v>
      </c>
      <c r="D96" s="3">
        <v>45137</v>
      </c>
      <c r="E96" s="2" t="s">
        <v>46</v>
      </c>
      <c r="F96" s="2" t="s">
        <v>60</v>
      </c>
      <c r="G96" s="2" t="s">
        <v>36</v>
      </c>
      <c r="H96" s="2" t="s">
        <v>48</v>
      </c>
      <c r="I96" s="2" t="s">
        <v>55</v>
      </c>
      <c r="J96" s="2" t="s">
        <v>56</v>
      </c>
      <c r="K96" s="2" t="s">
        <v>53</v>
      </c>
      <c r="L96" s="2">
        <v>3</v>
      </c>
      <c r="M96" s="2">
        <v>1368.86</v>
      </c>
      <c r="N96" s="2">
        <v>10</v>
      </c>
      <c r="O96" s="2">
        <v>3695.92</v>
      </c>
      <c r="P96" s="2">
        <f t="shared" si="10"/>
        <v>4106.58</v>
      </c>
      <c r="Q96" s="2">
        <f t="shared" si="11"/>
        <v>410.65800000000002</v>
      </c>
      <c r="R96" s="2">
        <f t="shared" si="12"/>
        <v>3695.922</v>
      </c>
      <c r="S96" s="2" t="str">
        <f t="shared" si="13"/>
        <v>Low</v>
      </c>
      <c r="T96" s="2" t="str" cm="1">
        <f t="array" ref="T96">_xlfn.IFS(L96&gt;5,"High",L96=5,"Medium",L96&lt;5,"Low")</f>
        <v>Low</v>
      </c>
      <c r="U96" s="2" t="str">
        <f t="shared" si="14"/>
        <v>Low</v>
      </c>
      <c r="V96" s="14" t="str">
        <f t="shared" si="15"/>
        <v>Normal Discount</v>
      </c>
      <c r="W96" s="16" t="str">
        <f t="shared" si="16"/>
        <v>Average</v>
      </c>
      <c r="X96" s="18" t="str" cm="1">
        <f t="array" ref="X96">_xlfn.IFS(O96&gt;7000,"Excellent",O96&gt;4000,"Good",O96&lt;4000,"Average")</f>
        <v>Average</v>
      </c>
      <c r="AD96" s="23" t="str">
        <f t="shared" si="17"/>
        <v>Not Eligible</v>
      </c>
      <c r="AE96" s="24" t="str">
        <f t="shared" si="18"/>
        <v>Offline</v>
      </c>
      <c r="AF96" s="27" t="str">
        <f t="shared" si="19"/>
        <v>Normal Order</v>
      </c>
    </row>
    <row r="97" spans="1:32" x14ac:dyDescent="0.3">
      <c r="A97" s="2">
        <v>10096</v>
      </c>
      <c r="B97" s="2">
        <v>1821</v>
      </c>
      <c r="C97" s="3">
        <v>44940</v>
      </c>
      <c r="D97" s="3">
        <v>44947</v>
      </c>
      <c r="E97" s="2" t="s">
        <v>46</v>
      </c>
      <c r="F97" s="2" t="s">
        <v>22</v>
      </c>
      <c r="G97" s="2" t="s">
        <v>23</v>
      </c>
      <c r="H97" s="2" t="s">
        <v>31</v>
      </c>
      <c r="I97" s="2" t="s">
        <v>58</v>
      </c>
      <c r="J97" s="2" t="s">
        <v>66</v>
      </c>
      <c r="K97" s="2" t="s">
        <v>39</v>
      </c>
      <c r="L97" s="2">
        <v>2</v>
      </c>
      <c r="M97" s="2">
        <v>1249.94</v>
      </c>
      <c r="N97" s="2">
        <v>10</v>
      </c>
      <c r="O97" s="2">
        <v>2249.89</v>
      </c>
      <c r="P97" s="2">
        <f t="shared" si="10"/>
        <v>2499.88</v>
      </c>
      <c r="Q97" s="2">
        <f t="shared" si="11"/>
        <v>249.98800000000003</v>
      </c>
      <c r="R97" s="2">
        <f t="shared" si="12"/>
        <v>2249.8920000000003</v>
      </c>
      <c r="S97" s="2" t="str">
        <f t="shared" si="13"/>
        <v>Low</v>
      </c>
      <c r="T97" s="2" t="str" cm="1">
        <f t="array" ref="T97">_xlfn.IFS(L97&gt;5,"High",L97=5,"Medium",L97&lt;5,"Low")</f>
        <v>Low</v>
      </c>
      <c r="U97" s="2" t="str">
        <f t="shared" si="14"/>
        <v>Low</v>
      </c>
      <c r="V97" s="14" t="str">
        <f t="shared" si="15"/>
        <v>Normal Discount</v>
      </c>
      <c r="W97" s="16" t="str">
        <f t="shared" si="16"/>
        <v>Average</v>
      </c>
      <c r="X97" s="18" t="str" cm="1">
        <f t="array" ref="X97">_xlfn.IFS(O97&gt;7000,"Excellent",O97&gt;4000,"Good",O97&lt;4000,"Average")</f>
        <v>Average</v>
      </c>
      <c r="AD97" s="23" t="str">
        <f t="shared" si="17"/>
        <v>Not Eligible</v>
      </c>
      <c r="AE97" s="24" t="str">
        <f t="shared" si="18"/>
        <v>Online</v>
      </c>
      <c r="AF97" s="27" t="str">
        <f t="shared" si="19"/>
        <v>Normal Order</v>
      </c>
    </row>
    <row r="98" spans="1:32" x14ac:dyDescent="0.3">
      <c r="A98" s="2">
        <v>10097</v>
      </c>
      <c r="B98" s="2">
        <v>1476</v>
      </c>
      <c r="C98" s="3">
        <v>45047</v>
      </c>
      <c r="D98" s="3">
        <v>45056</v>
      </c>
      <c r="E98" s="2" t="s">
        <v>43</v>
      </c>
      <c r="F98" s="2" t="s">
        <v>29</v>
      </c>
      <c r="G98" s="2" t="s">
        <v>30</v>
      </c>
      <c r="H98" s="2" t="s">
        <v>24</v>
      </c>
      <c r="I98" s="2" t="s">
        <v>58</v>
      </c>
      <c r="J98" s="2" t="s">
        <v>66</v>
      </c>
      <c r="K98" s="2" t="s">
        <v>34</v>
      </c>
      <c r="L98" s="2">
        <v>9</v>
      </c>
      <c r="M98" s="2">
        <v>501.79</v>
      </c>
      <c r="N98" s="2">
        <v>5</v>
      </c>
      <c r="O98" s="2">
        <v>4290.3</v>
      </c>
      <c r="P98" s="2">
        <f t="shared" si="10"/>
        <v>4516.1100000000006</v>
      </c>
      <c r="Q98" s="2">
        <f t="shared" si="11"/>
        <v>225.80550000000005</v>
      </c>
      <c r="R98" s="2">
        <f t="shared" si="12"/>
        <v>4290.3045000000002</v>
      </c>
      <c r="S98" s="2" t="str">
        <f t="shared" si="13"/>
        <v>High</v>
      </c>
      <c r="T98" s="2" t="str" cm="1">
        <f t="array" ref="T98">_xlfn.IFS(L98&gt;5,"High",L98=5,"Medium",L98&lt;5,"Low")</f>
        <v>High</v>
      </c>
      <c r="U98" s="2" t="str">
        <f t="shared" si="14"/>
        <v>High</v>
      </c>
      <c r="V98" s="14" t="str">
        <f t="shared" si="15"/>
        <v>Normal Discount</v>
      </c>
      <c r="W98" s="16" t="str">
        <f t="shared" si="16"/>
        <v>Good</v>
      </c>
      <c r="X98" s="18" t="str" cm="1">
        <f t="array" ref="X98">_xlfn.IFS(O98&gt;7000,"Excellent",O98&gt;4000,"Good",O98&lt;4000,"Average")</f>
        <v>Good</v>
      </c>
      <c r="AD98" s="23" t="str">
        <f t="shared" si="17"/>
        <v>Not Eligible</v>
      </c>
      <c r="AE98" s="24" t="str">
        <f t="shared" si="18"/>
        <v>Online</v>
      </c>
      <c r="AF98" s="27" t="str">
        <f t="shared" si="19"/>
        <v>Priority Order</v>
      </c>
    </row>
    <row r="99" spans="1:32" x14ac:dyDescent="0.3">
      <c r="A99" s="2">
        <v>10098</v>
      </c>
      <c r="B99" s="2">
        <v>1702</v>
      </c>
      <c r="C99" s="3">
        <v>44946</v>
      </c>
      <c r="D99" s="3">
        <v>44947</v>
      </c>
      <c r="E99" s="2" t="s">
        <v>43</v>
      </c>
      <c r="F99" s="2" t="s">
        <v>60</v>
      </c>
      <c r="G99" s="2" t="s">
        <v>30</v>
      </c>
      <c r="H99" s="2" t="s">
        <v>48</v>
      </c>
      <c r="I99" s="2" t="s">
        <v>32</v>
      </c>
      <c r="J99" s="2" t="s">
        <v>42</v>
      </c>
      <c r="K99" s="2" t="s">
        <v>51</v>
      </c>
      <c r="L99" s="2">
        <v>4</v>
      </c>
      <c r="M99" s="2">
        <v>1362.08</v>
      </c>
      <c r="N99" s="2">
        <v>15</v>
      </c>
      <c r="O99" s="2">
        <v>4631.07</v>
      </c>
      <c r="P99" s="2">
        <f t="shared" si="10"/>
        <v>5448.32</v>
      </c>
      <c r="Q99" s="2">
        <f t="shared" si="11"/>
        <v>817.24799999999993</v>
      </c>
      <c r="R99" s="2">
        <f t="shared" si="12"/>
        <v>4631.0720000000001</v>
      </c>
      <c r="S99" s="2" t="str">
        <f t="shared" si="13"/>
        <v>Low</v>
      </c>
      <c r="T99" s="2" t="str" cm="1">
        <f t="array" ref="T99">_xlfn.IFS(L99&gt;5,"High",L99=5,"Medium",L99&lt;5,"Low")</f>
        <v>Low</v>
      </c>
      <c r="U99" s="2" t="str">
        <f t="shared" si="14"/>
        <v>Low</v>
      </c>
      <c r="V99" s="14" t="str">
        <f t="shared" si="15"/>
        <v>Heavy Discount</v>
      </c>
      <c r="W99" s="16" t="str">
        <f t="shared" si="16"/>
        <v>Good</v>
      </c>
      <c r="X99" s="18" t="str" cm="1">
        <f t="array" ref="X99">_xlfn.IFS(O99&gt;7000,"Excellent",O99&gt;4000,"Good",O99&lt;4000,"Average")</f>
        <v>Good</v>
      </c>
      <c r="AD99" s="23" t="str">
        <f t="shared" si="17"/>
        <v>Not Eligible</v>
      </c>
      <c r="AE99" s="24" t="str">
        <f t="shared" si="18"/>
        <v>Online</v>
      </c>
      <c r="AF99" s="27" t="str">
        <f t="shared" si="19"/>
        <v>Normal Order</v>
      </c>
    </row>
    <row r="100" spans="1:32" x14ac:dyDescent="0.3">
      <c r="A100" s="2">
        <v>10099</v>
      </c>
      <c r="B100" s="2">
        <v>1401</v>
      </c>
      <c r="C100" s="3">
        <v>45001</v>
      </c>
      <c r="D100" s="3">
        <v>45009</v>
      </c>
      <c r="E100" s="2" t="s">
        <v>52</v>
      </c>
      <c r="F100" s="2" t="s">
        <v>44</v>
      </c>
      <c r="G100" s="2" t="s">
        <v>23</v>
      </c>
      <c r="H100" s="2" t="s">
        <v>48</v>
      </c>
      <c r="I100" s="2" t="s">
        <v>58</v>
      </c>
      <c r="J100" s="2" t="s">
        <v>59</v>
      </c>
      <c r="K100" s="2" t="s">
        <v>34</v>
      </c>
      <c r="L100" s="2">
        <v>3</v>
      </c>
      <c r="M100" s="2">
        <v>315.75</v>
      </c>
      <c r="N100" s="2">
        <v>20</v>
      </c>
      <c r="O100" s="2">
        <v>757.8</v>
      </c>
      <c r="P100" s="2">
        <f t="shared" si="10"/>
        <v>947.25</v>
      </c>
      <c r="Q100" s="2">
        <f t="shared" si="11"/>
        <v>189.45000000000002</v>
      </c>
      <c r="R100" s="2">
        <f t="shared" si="12"/>
        <v>757.8</v>
      </c>
      <c r="S100" s="2" t="str">
        <f t="shared" si="13"/>
        <v>Low</v>
      </c>
      <c r="T100" s="2" t="str" cm="1">
        <f t="array" ref="T100">_xlfn.IFS(L100&gt;5,"High",L100=5,"Medium",L100&lt;5,"Low")</f>
        <v>Low</v>
      </c>
      <c r="U100" s="2" t="str">
        <f t="shared" si="14"/>
        <v>Low</v>
      </c>
      <c r="V100" s="14" t="str">
        <f t="shared" si="15"/>
        <v>Heavy Discount</v>
      </c>
      <c r="W100" s="16" t="str">
        <f t="shared" si="16"/>
        <v>Average</v>
      </c>
      <c r="X100" s="18" t="str" cm="1">
        <f t="array" ref="X100">_xlfn.IFS(O100&gt;7000,"Excellent",O100&gt;4000,"Good",O100&lt;4000,"Average")</f>
        <v>Average</v>
      </c>
      <c r="AD100" s="23" t="str">
        <f t="shared" si="17"/>
        <v>Not Eligible</v>
      </c>
      <c r="AE100" s="24" t="str">
        <f t="shared" si="18"/>
        <v>Online</v>
      </c>
      <c r="AF100" s="27" t="str">
        <f t="shared" si="19"/>
        <v>Normal Order</v>
      </c>
    </row>
    <row r="101" spans="1:32" x14ac:dyDescent="0.3">
      <c r="A101" s="2">
        <v>10100</v>
      </c>
      <c r="B101" s="2">
        <v>1729</v>
      </c>
      <c r="C101" s="3">
        <v>45169</v>
      </c>
      <c r="D101" s="3">
        <v>45176</v>
      </c>
      <c r="E101" s="2" t="s">
        <v>22</v>
      </c>
      <c r="F101" s="2" t="s">
        <v>35</v>
      </c>
      <c r="G101" s="2" t="s">
        <v>30</v>
      </c>
      <c r="H101" s="2" t="s">
        <v>24</v>
      </c>
      <c r="I101" s="2" t="s">
        <v>25</v>
      </c>
      <c r="J101" s="2" t="s">
        <v>49</v>
      </c>
      <c r="K101" s="2" t="s">
        <v>53</v>
      </c>
      <c r="L101" s="2">
        <v>7</v>
      </c>
      <c r="M101" s="2">
        <v>3156.71</v>
      </c>
      <c r="N101" s="2">
        <v>10</v>
      </c>
      <c r="O101" s="2">
        <v>19887.27</v>
      </c>
      <c r="P101" s="2">
        <f t="shared" si="10"/>
        <v>22096.97</v>
      </c>
      <c r="Q101" s="2">
        <f t="shared" si="11"/>
        <v>2209.6970000000001</v>
      </c>
      <c r="R101" s="2">
        <f t="shared" si="12"/>
        <v>19887.273000000001</v>
      </c>
      <c r="S101" s="2" t="str">
        <f t="shared" si="13"/>
        <v>High</v>
      </c>
      <c r="T101" s="2" t="str" cm="1">
        <f t="array" ref="T101">_xlfn.IFS(L101&gt;5,"High",L101=5,"Medium",L101&lt;5,"Low")</f>
        <v>High</v>
      </c>
      <c r="U101" s="2" t="str">
        <f t="shared" si="14"/>
        <v>High</v>
      </c>
      <c r="V101" s="14" t="str">
        <f t="shared" si="15"/>
        <v>Normal Discount</v>
      </c>
      <c r="W101" s="16" t="str">
        <f t="shared" si="16"/>
        <v>Excellent</v>
      </c>
      <c r="X101" s="18" t="str" cm="1">
        <f t="array" ref="X101">_xlfn.IFS(O101&gt;7000,"Excellent",O101&gt;4000,"Good",O101&lt;4000,"Average")</f>
        <v>Excellent</v>
      </c>
      <c r="AD101" s="23" t="str">
        <f t="shared" si="17"/>
        <v>Not Eligible</v>
      </c>
      <c r="AE101" s="24" t="str">
        <f t="shared" si="18"/>
        <v>Online</v>
      </c>
      <c r="AF101" s="27" t="str">
        <f t="shared" si="19"/>
        <v>Priority Order</v>
      </c>
    </row>
    <row r="102" spans="1:32" x14ac:dyDescent="0.3">
      <c r="A102" s="2">
        <v>10101</v>
      </c>
      <c r="B102" s="2">
        <v>1555</v>
      </c>
      <c r="C102" s="3">
        <v>45149</v>
      </c>
      <c r="D102" s="3">
        <v>45155</v>
      </c>
      <c r="E102" s="2" t="s">
        <v>22</v>
      </c>
      <c r="F102" s="2" t="s">
        <v>22</v>
      </c>
      <c r="G102" s="2" t="s">
        <v>36</v>
      </c>
      <c r="H102" s="2" t="s">
        <v>48</v>
      </c>
      <c r="I102" s="2" t="s">
        <v>63</v>
      </c>
      <c r="J102" s="2" t="s">
        <v>65</v>
      </c>
      <c r="K102" s="2" t="s">
        <v>34</v>
      </c>
      <c r="L102" s="2">
        <v>8</v>
      </c>
      <c r="M102" s="2">
        <v>1683.18</v>
      </c>
      <c r="N102" s="2">
        <v>15</v>
      </c>
      <c r="O102" s="2">
        <v>11445.62</v>
      </c>
      <c r="P102" s="2">
        <f t="shared" si="10"/>
        <v>13465.44</v>
      </c>
      <c r="Q102" s="2">
        <f t="shared" si="11"/>
        <v>2019.816</v>
      </c>
      <c r="R102" s="2">
        <f t="shared" si="12"/>
        <v>11445.624</v>
      </c>
      <c r="S102" s="2" t="str">
        <f t="shared" si="13"/>
        <v>High</v>
      </c>
      <c r="T102" s="2" t="str" cm="1">
        <f t="array" ref="T102">_xlfn.IFS(L102&gt;5,"High",L102=5,"Medium",L102&lt;5,"Low")</f>
        <v>High</v>
      </c>
      <c r="U102" s="2" t="str">
        <f t="shared" si="14"/>
        <v>High</v>
      </c>
      <c r="V102" s="14" t="str">
        <f t="shared" si="15"/>
        <v>Heavy Discount</v>
      </c>
      <c r="W102" s="16" t="str">
        <f t="shared" si="16"/>
        <v>Excellent</v>
      </c>
      <c r="X102" s="18" t="str" cm="1">
        <f t="array" ref="X102">_xlfn.IFS(O102&gt;7000,"Excellent",O102&gt;4000,"Good",O102&lt;4000,"Average")</f>
        <v>Excellent</v>
      </c>
      <c r="AD102" s="23" t="str">
        <f t="shared" si="17"/>
        <v>Not Eligible</v>
      </c>
      <c r="AE102" s="24" t="str">
        <f t="shared" si="18"/>
        <v>Offline</v>
      </c>
      <c r="AF102" s="27" t="str">
        <f t="shared" si="19"/>
        <v>Priority Order</v>
      </c>
    </row>
    <row r="103" spans="1:32" x14ac:dyDescent="0.3">
      <c r="A103" s="2">
        <v>10102</v>
      </c>
      <c r="B103" s="2">
        <v>1161</v>
      </c>
      <c r="C103" s="3">
        <v>44996</v>
      </c>
      <c r="D103" s="3">
        <v>45002</v>
      </c>
      <c r="E103" s="2" t="s">
        <v>43</v>
      </c>
      <c r="F103" s="2" t="s">
        <v>60</v>
      </c>
      <c r="G103" s="2" t="s">
        <v>36</v>
      </c>
      <c r="H103" s="2" t="s">
        <v>31</v>
      </c>
      <c r="I103" s="2" t="s">
        <v>37</v>
      </c>
      <c r="J103" s="2" t="s">
        <v>45</v>
      </c>
      <c r="K103" s="2" t="s">
        <v>27</v>
      </c>
      <c r="L103" s="2">
        <v>2</v>
      </c>
      <c r="M103" s="2">
        <v>1859.03</v>
      </c>
      <c r="N103" s="2">
        <v>20</v>
      </c>
      <c r="O103" s="2">
        <v>2974.45</v>
      </c>
      <c r="P103" s="2">
        <f t="shared" si="10"/>
        <v>3718.06</v>
      </c>
      <c r="Q103" s="2">
        <f t="shared" si="11"/>
        <v>743.61200000000008</v>
      </c>
      <c r="R103" s="2">
        <f t="shared" si="12"/>
        <v>2974.4479999999999</v>
      </c>
      <c r="S103" s="2" t="str">
        <f t="shared" si="13"/>
        <v>Low</v>
      </c>
      <c r="T103" s="2" t="str" cm="1">
        <f t="array" ref="T103">_xlfn.IFS(L103&gt;5,"High",L103=5,"Medium",L103&lt;5,"Low")</f>
        <v>Low</v>
      </c>
      <c r="U103" s="2" t="str">
        <f t="shared" si="14"/>
        <v>Low</v>
      </c>
      <c r="V103" s="14" t="str">
        <f t="shared" si="15"/>
        <v>Heavy Discount</v>
      </c>
      <c r="W103" s="16" t="str">
        <f t="shared" si="16"/>
        <v>Average</v>
      </c>
      <c r="X103" s="18" t="str" cm="1">
        <f t="array" ref="X103">_xlfn.IFS(O103&gt;7000,"Excellent",O103&gt;4000,"Good",O103&lt;4000,"Average")</f>
        <v>Average</v>
      </c>
      <c r="AD103" s="23" t="str">
        <f t="shared" si="17"/>
        <v>Not Eligible</v>
      </c>
      <c r="AE103" s="24" t="str">
        <f t="shared" si="18"/>
        <v>Offline</v>
      </c>
      <c r="AF103" s="27" t="str">
        <f t="shared" si="19"/>
        <v>Normal Order</v>
      </c>
    </row>
    <row r="104" spans="1:32" x14ac:dyDescent="0.3">
      <c r="A104" s="2">
        <v>10103</v>
      </c>
      <c r="B104" s="2">
        <v>1201</v>
      </c>
      <c r="C104" s="3">
        <v>45238</v>
      </c>
      <c r="D104" s="3">
        <v>45244</v>
      </c>
      <c r="E104" s="2" t="s">
        <v>52</v>
      </c>
      <c r="F104" s="2" t="s">
        <v>29</v>
      </c>
      <c r="G104" s="2" t="s">
        <v>23</v>
      </c>
      <c r="H104" s="2" t="s">
        <v>48</v>
      </c>
      <c r="I104" s="2" t="s">
        <v>25</v>
      </c>
      <c r="J104" s="2" t="s">
        <v>26</v>
      </c>
      <c r="K104" s="2" t="s">
        <v>53</v>
      </c>
      <c r="L104" s="2">
        <v>7</v>
      </c>
      <c r="M104" s="2">
        <v>3590.34</v>
      </c>
      <c r="N104" s="2">
        <v>20</v>
      </c>
      <c r="O104" s="2">
        <v>20105.900000000001</v>
      </c>
      <c r="P104" s="2">
        <f t="shared" si="10"/>
        <v>25132.38</v>
      </c>
      <c r="Q104" s="2">
        <f t="shared" si="11"/>
        <v>5026.4760000000006</v>
      </c>
      <c r="R104" s="2">
        <f t="shared" si="12"/>
        <v>20105.904000000002</v>
      </c>
      <c r="S104" s="2" t="str">
        <f t="shared" si="13"/>
        <v>High</v>
      </c>
      <c r="T104" s="2" t="str" cm="1">
        <f t="array" ref="T104">_xlfn.IFS(L104&gt;5,"High",L104=5,"Medium",L104&lt;5,"Low")</f>
        <v>High</v>
      </c>
      <c r="U104" s="2" t="str">
        <f t="shared" si="14"/>
        <v>High</v>
      </c>
      <c r="V104" s="14" t="str">
        <f t="shared" si="15"/>
        <v>Heavy Discount</v>
      </c>
      <c r="W104" s="16" t="str">
        <f t="shared" si="16"/>
        <v>Excellent</v>
      </c>
      <c r="X104" s="18" t="str" cm="1">
        <f t="array" ref="X104">_xlfn.IFS(O104&gt;7000,"Excellent",O104&gt;4000,"Good",O104&lt;4000,"Average")</f>
        <v>Excellent</v>
      </c>
      <c r="AD104" s="23" t="str">
        <f t="shared" si="17"/>
        <v>Not Eligible</v>
      </c>
      <c r="AE104" s="24" t="str">
        <f t="shared" si="18"/>
        <v>Online</v>
      </c>
      <c r="AF104" s="27" t="str">
        <f t="shared" si="19"/>
        <v>Priority Order</v>
      </c>
    </row>
    <row r="105" spans="1:32" x14ac:dyDescent="0.3">
      <c r="A105" s="2">
        <v>10104</v>
      </c>
      <c r="B105" s="2">
        <v>1957</v>
      </c>
      <c r="C105" s="3">
        <v>45137</v>
      </c>
      <c r="D105" s="3">
        <v>45146</v>
      </c>
      <c r="E105" s="2" t="s">
        <v>22</v>
      </c>
      <c r="F105" s="2" t="s">
        <v>60</v>
      </c>
      <c r="G105" s="2" t="s">
        <v>30</v>
      </c>
      <c r="H105" s="2" t="s">
        <v>50</v>
      </c>
      <c r="I105" s="2" t="s">
        <v>58</v>
      </c>
      <c r="J105" s="2" t="s">
        <v>59</v>
      </c>
      <c r="K105" s="2" t="s">
        <v>51</v>
      </c>
      <c r="L105" s="2">
        <v>5</v>
      </c>
      <c r="M105" s="2">
        <v>2683.51</v>
      </c>
      <c r="N105" s="2">
        <v>10</v>
      </c>
      <c r="O105" s="2">
        <v>12075.79</v>
      </c>
      <c r="P105" s="2">
        <f t="shared" si="10"/>
        <v>13417.550000000001</v>
      </c>
      <c r="Q105" s="2">
        <f t="shared" si="11"/>
        <v>1341.7550000000001</v>
      </c>
      <c r="R105" s="2">
        <f t="shared" si="12"/>
        <v>12075.795000000002</v>
      </c>
      <c r="S105" s="2" t="str">
        <f t="shared" si="13"/>
        <v>High</v>
      </c>
      <c r="T105" s="2" t="str" cm="1">
        <f t="array" ref="T105">_xlfn.IFS(L105&gt;5,"High",L105=5,"Medium",L105&lt;5,"Low")</f>
        <v>Medium</v>
      </c>
      <c r="U105" s="2" t="str">
        <f t="shared" si="14"/>
        <v>Medium</v>
      </c>
      <c r="V105" s="14" t="str">
        <f t="shared" si="15"/>
        <v>Normal Discount</v>
      </c>
      <c r="W105" s="16" t="str">
        <f t="shared" si="16"/>
        <v>Excellent</v>
      </c>
      <c r="X105" s="18" t="str" cm="1">
        <f t="array" ref="X105">_xlfn.IFS(O105&gt;7000,"Excellent",O105&gt;4000,"Good",O105&lt;4000,"Average")</f>
        <v>Excellent</v>
      </c>
      <c r="AD105" s="23" t="str">
        <f t="shared" si="17"/>
        <v>Not Eligible</v>
      </c>
      <c r="AE105" s="24" t="str">
        <f t="shared" si="18"/>
        <v>Online</v>
      </c>
      <c r="AF105" s="27" t="str">
        <f t="shared" si="19"/>
        <v>Priority Order</v>
      </c>
    </row>
    <row r="106" spans="1:32" x14ac:dyDescent="0.3">
      <c r="A106" s="2">
        <v>10105</v>
      </c>
      <c r="B106" s="2">
        <v>1995</v>
      </c>
      <c r="C106" s="3">
        <v>45027</v>
      </c>
      <c r="D106" s="3">
        <v>45029</v>
      </c>
      <c r="E106" s="2" t="s">
        <v>52</v>
      </c>
      <c r="F106" s="2" t="s">
        <v>47</v>
      </c>
      <c r="G106" s="2" t="s">
        <v>30</v>
      </c>
      <c r="H106" s="2" t="s">
        <v>41</v>
      </c>
      <c r="I106" s="2" t="s">
        <v>32</v>
      </c>
      <c r="J106" s="2" t="s">
        <v>33</v>
      </c>
      <c r="K106" s="2" t="s">
        <v>27</v>
      </c>
      <c r="L106" s="2">
        <v>5</v>
      </c>
      <c r="M106" s="2">
        <v>181.03</v>
      </c>
      <c r="N106" s="2">
        <v>10</v>
      </c>
      <c r="O106" s="2">
        <v>814.63</v>
      </c>
      <c r="P106" s="2">
        <f t="shared" si="10"/>
        <v>905.15</v>
      </c>
      <c r="Q106" s="2">
        <f t="shared" si="11"/>
        <v>90.515000000000001</v>
      </c>
      <c r="R106" s="2">
        <f t="shared" si="12"/>
        <v>814.63499999999999</v>
      </c>
      <c r="S106" s="2" t="str">
        <f t="shared" si="13"/>
        <v>High</v>
      </c>
      <c r="T106" s="2" t="str" cm="1">
        <f t="array" ref="T106">_xlfn.IFS(L106&gt;5,"High",L106=5,"Medium",L106&lt;5,"Low")</f>
        <v>Medium</v>
      </c>
      <c r="U106" s="2" t="str">
        <f t="shared" si="14"/>
        <v>Medium</v>
      </c>
      <c r="V106" s="14" t="str">
        <f t="shared" si="15"/>
        <v>Normal Discount</v>
      </c>
      <c r="W106" s="16" t="str">
        <f t="shared" si="16"/>
        <v>Average</v>
      </c>
      <c r="X106" s="18" t="str" cm="1">
        <f t="array" ref="X106">_xlfn.IFS(O106&gt;7000,"Excellent",O106&gt;4000,"Good",O106&lt;4000,"Average")</f>
        <v>Average</v>
      </c>
      <c r="AD106" s="23" t="str">
        <f t="shared" si="17"/>
        <v>Not Eligible</v>
      </c>
      <c r="AE106" s="24" t="str">
        <f t="shared" si="18"/>
        <v>Online</v>
      </c>
      <c r="AF106" s="27" t="str">
        <f t="shared" si="19"/>
        <v>Normal Order</v>
      </c>
    </row>
    <row r="107" spans="1:32" x14ac:dyDescent="0.3">
      <c r="A107" s="2">
        <v>10106</v>
      </c>
      <c r="B107" s="2">
        <v>1269</v>
      </c>
      <c r="C107" s="3">
        <v>45112</v>
      </c>
      <c r="D107" s="3">
        <v>45113</v>
      </c>
      <c r="E107" s="2" t="s">
        <v>52</v>
      </c>
      <c r="F107" s="2" t="s">
        <v>29</v>
      </c>
      <c r="G107" s="2" t="s">
        <v>36</v>
      </c>
      <c r="H107" s="2" t="s">
        <v>31</v>
      </c>
      <c r="I107" s="2" t="s">
        <v>55</v>
      </c>
      <c r="J107" s="2" t="s">
        <v>69</v>
      </c>
      <c r="K107" s="2" t="s">
        <v>53</v>
      </c>
      <c r="L107" s="2">
        <v>3</v>
      </c>
      <c r="M107" s="2">
        <v>3781.22</v>
      </c>
      <c r="N107" s="2">
        <v>5</v>
      </c>
      <c r="O107" s="2">
        <v>10776.48</v>
      </c>
      <c r="P107" s="2">
        <f t="shared" si="10"/>
        <v>11343.66</v>
      </c>
      <c r="Q107" s="2">
        <f t="shared" si="11"/>
        <v>567.18299999999999</v>
      </c>
      <c r="R107" s="2">
        <f t="shared" si="12"/>
        <v>10776.476999999999</v>
      </c>
      <c r="S107" s="2" t="str">
        <f t="shared" si="13"/>
        <v>Low</v>
      </c>
      <c r="T107" s="2" t="str" cm="1">
        <f t="array" ref="T107">_xlfn.IFS(L107&gt;5,"High",L107=5,"Medium",L107&lt;5,"Low")</f>
        <v>Low</v>
      </c>
      <c r="U107" s="2" t="str">
        <f t="shared" si="14"/>
        <v>Low</v>
      </c>
      <c r="V107" s="14" t="str">
        <f t="shared" si="15"/>
        <v>Normal Discount</v>
      </c>
      <c r="W107" s="16" t="str">
        <f t="shared" si="16"/>
        <v>Excellent</v>
      </c>
      <c r="X107" s="18" t="str" cm="1">
        <f t="array" ref="X107">_xlfn.IFS(O107&gt;7000,"Excellent",O107&gt;4000,"Good",O107&lt;4000,"Average")</f>
        <v>Excellent</v>
      </c>
      <c r="AD107" s="23" t="str">
        <f t="shared" si="17"/>
        <v>Eligible</v>
      </c>
      <c r="AE107" s="24" t="str">
        <f t="shared" si="18"/>
        <v>Offline</v>
      </c>
      <c r="AF107" s="27" t="str">
        <f t="shared" si="19"/>
        <v>Priority Order</v>
      </c>
    </row>
    <row r="108" spans="1:32" x14ac:dyDescent="0.3">
      <c r="A108" s="2">
        <v>10107</v>
      </c>
      <c r="B108" s="2">
        <v>1862</v>
      </c>
      <c r="C108" s="3">
        <v>45058</v>
      </c>
      <c r="D108" s="3">
        <v>45064</v>
      </c>
      <c r="E108" s="2" t="s">
        <v>52</v>
      </c>
      <c r="F108" s="2" t="s">
        <v>44</v>
      </c>
      <c r="G108" s="2" t="s">
        <v>23</v>
      </c>
      <c r="H108" s="2" t="s">
        <v>50</v>
      </c>
      <c r="I108" s="2" t="s">
        <v>58</v>
      </c>
      <c r="J108" s="2" t="s">
        <v>66</v>
      </c>
      <c r="K108" s="2" t="s">
        <v>51</v>
      </c>
      <c r="L108" s="2">
        <v>5</v>
      </c>
      <c r="M108" s="2">
        <v>1063.01</v>
      </c>
      <c r="N108" s="2">
        <v>15</v>
      </c>
      <c r="O108" s="2">
        <v>4517.79</v>
      </c>
      <c r="P108" s="2">
        <f t="shared" si="10"/>
        <v>5315.05</v>
      </c>
      <c r="Q108" s="2">
        <f t="shared" si="11"/>
        <v>797.25750000000005</v>
      </c>
      <c r="R108" s="2">
        <f t="shared" si="12"/>
        <v>4517.7925000000005</v>
      </c>
      <c r="S108" s="2" t="str">
        <f t="shared" si="13"/>
        <v>High</v>
      </c>
      <c r="T108" s="2" t="str" cm="1">
        <f t="array" ref="T108">_xlfn.IFS(L108&gt;5,"High",L108=5,"Medium",L108&lt;5,"Low")</f>
        <v>Medium</v>
      </c>
      <c r="U108" s="2" t="str">
        <f t="shared" si="14"/>
        <v>Medium</v>
      </c>
      <c r="V108" s="14" t="str">
        <f t="shared" si="15"/>
        <v>Heavy Discount</v>
      </c>
      <c r="W108" s="16" t="str">
        <f t="shared" si="16"/>
        <v>Good</v>
      </c>
      <c r="X108" s="18" t="str" cm="1">
        <f t="array" ref="X108">_xlfn.IFS(O108&gt;7000,"Excellent",O108&gt;4000,"Good",O108&lt;4000,"Average")</f>
        <v>Good</v>
      </c>
      <c r="AD108" s="23" t="str">
        <f t="shared" si="17"/>
        <v>Not Eligible</v>
      </c>
      <c r="AE108" s="24" t="str">
        <f t="shared" si="18"/>
        <v>Online</v>
      </c>
      <c r="AF108" s="27" t="str">
        <f t="shared" si="19"/>
        <v>Normal Order</v>
      </c>
    </row>
    <row r="109" spans="1:32" x14ac:dyDescent="0.3">
      <c r="A109" s="2">
        <v>10108</v>
      </c>
      <c r="B109" s="2">
        <v>1815</v>
      </c>
      <c r="C109" s="3">
        <v>45037</v>
      </c>
      <c r="D109" s="3">
        <v>45045</v>
      </c>
      <c r="E109" s="2" t="s">
        <v>21</v>
      </c>
      <c r="F109" s="2" t="s">
        <v>35</v>
      </c>
      <c r="G109" s="2" t="s">
        <v>30</v>
      </c>
      <c r="H109" s="2" t="s">
        <v>24</v>
      </c>
      <c r="I109" s="2" t="s">
        <v>32</v>
      </c>
      <c r="J109" s="2" t="s">
        <v>42</v>
      </c>
      <c r="K109" s="2" t="s">
        <v>27</v>
      </c>
      <c r="L109" s="2">
        <v>2</v>
      </c>
      <c r="M109" s="2">
        <v>564.30999999999995</v>
      </c>
      <c r="N109" s="2">
        <v>15</v>
      </c>
      <c r="O109" s="2">
        <v>959.33</v>
      </c>
      <c r="P109" s="2">
        <f t="shared" si="10"/>
        <v>1128.6199999999999</v>
      </c>
      <c r="Q109" s="2">
        <f t="shared" si="11"/>
        <v>169.29299999999998</v>
      </c>
      <c r="R109" s="2">
        <f t="shared" si="12"/>
        <v>959.32699999999988</v>
      </c>
      <c r="S109" s="2" t="str">
        <f t="shared" si="13"/>
        <v>Low</v>
      </c>
      <c r="T109" s="2" t="str" cm="1">
        <f t="array" ref="T109">_xlfn.IFS(L109&gt;5,"High",L109=5,"Medium",L109&lt;5,"Low")</f>
        <v>Low</v>
      </c>
      <c r="U109" s="2" t="str">
        <f t="shared" si="14"/>
        <v>Low</v>
      </c>
      <c r="V109" s="14" t="str">
        <f t="shared" si="15"/>
        <v>Heavy Discount</v>
      </c>
      <c r="W109" s="16" t="str">
        <f t="shared" si="16"/>
        <v>Average</v>
      </c>
      <c r="X109" s="18" t="str" cm="1">
        <f t="array" ref="X109">_xlfn.IFS(O109&gt;7000,"Excellent",O109&gt;4000,"Good",O109&lt;4000,"Average")</f>
        <v>Average</v>
      </c>
      <c r="AD109" s="23" t="str">
        <f t="shared" si="17"/>
        <v>Not Eligible</v>
      </c>
      <c r="AE109" s="24" t="str">
        <f t="shared" si="18"/>
        <v>Online</v>
      </c>
      <c r="AF109" s="27" t="str">
        <f t="shared" si="19"/>
        <v>Normal Order</v>
      </c>
    </row>
    <row r="110" spans="1:32" x14ac:dyDescent="0.3">
      <c r="A110" s="2">
        <v>10109</v>
      </c>
      <c r="B110" s="2">
        <v>1270</v>
      </c>
      <c r="C110" s="3">
        <v>45058</v>
      </c>
      <c r="D110" s="3">
        <v>45061</v>
      </c>
      <c r="E110" s="2" t="s">
        <v>46</v>
      </c>
      <c r="F110" s="2" t="s">
        <v>44</v>
      </c>
      <c r="G110" s="2" t="s">
        <v>23</v>
      </c>
      <c r="H110" s="2" t="s">
        <v>31</v>
      </c>
      <c r="I110" s="2" t="s">
        <v>63</v>
      </c>
      <c r="J110" s="2" t="s">
        <v>65</v>
      </c>
      <c r="K110" s="2" t="s">
        <v>27</v>
      </c>
      <c r="L110" s="2">
        <v>4</v>
      </c>
      <c r="M110" s="2">
        <v>3107.29</v>
      </c>
      <c r="N110" s="2">
        <v>10</v>
      </c>
      <c r="O110" s="2">
        <v>11186.24</v>
      </c>
      <c r="P110" s="2">
        <f t="shared" si="10"/>
        <v>12429.16</v>
      </c>
      <c r="Q110" s="2">
        <f t="shared" si="11"/>
        <v>1242.9160000000002</v>
      </c>
      <c r="R110" s="2">
        <f t="shared" si="12"/>
        <v>11186.243999999999</v>
      </c>
      <c r="S110" s="2" t="str">
        <f t="shared" si="13"/>
        <v>Low</v>
      </c>
      <c r="T110" s="2" t="str" cm="1">
        <f t="array" ref="T110">_xlfn.IFS(L110&gt;5,"High",L110=5,"Medium",L110&lt;5,"Low")</f>
        <v>Low</v>
      </c>
      <c r="U110" s="2" t="str">
        <f t="shared" si="14"/>
        <v>Low</v>
      </c>
      <c r="V110" s="14" t="str">
        <f t="shared" si="15"/>
        <v>Normal Discount</v>
      </c>
      <c r="W110" s="16" t="str">
        <f t="shared" si="16"/>
        <v>Excellent</v>
      </c>
      <c r="X110" s="18" t="str" cm="1">
        <f t="array" ref="X110">_xlfn.IFS(O110&gt;7000,"Excellent",O110&gt;4000,"Good",O110&lt;4000,"Average")</f>
        <v>Excellent</v>
      </c>
      <c r="AD110" s="23" t="str">
        <f t="shared" si="17"/>
        <v>Not Eligible</v>
      </c>
      <c r="AE110" s="24" t="str">
        <f t="shared" si="18"/>
        <v>Online</v>
      </c>
      <c r="AF110" s="27" t="str">
        <f t="shared" si="19"/>
        <v>Priority Order</v>
      </c>
    </row>
    <row r="111" spans="1:32" x14ac:dyDescent="0.3">
      <c r="A111" s="2">
        <v>10110</v>
      </c>
      <c r="B111" s="2">
        <v>1455</v>
      </c>
      <c r="C111" s="3">
        <v>44946</v>
      </c>
      <c r="D111" s="3">
        <v>44947</v>
      </c>
      <c r="E111" s="2" t="s">
        <v>52</v>
      </c>
      <c r="F111" s="2" t="s">
        <v>22</v>
      </c>
      <c r="G111" s="2" t="s">
        <v>30</v>
      </c>
      <c r="H111" s="2" t="s">
        <v>41</v>
      </c>
      <c r="I111" s="2" t="s">
        <v>58</v>
      </c>
      <c r="J111" s="2" t="s">
        <v>62</v>
      </c>
      <c r="K111" s="2" t="s">
        <v>53</v>
      </c>
      <c r="L111" s="2">
        <v>6</v>
      </c>
      <c r="M111" s="2">
        <v>2076.84</v>
      </c>
      <c r="N111" s="2">
        <v>20</v>
      </c>
      <c r="O111" s="2">
        <v>9968.83</v>
      </c>
      <c r="P111" s="2">
        <f t="shared" si="10"/>
        <v>12461.04</v>
      </c>
      <c r="Q111" s="2">
        <f t="shared" si="11"/>
        <v>2492.2080000000005</v>
      </c>
      <c r="R111" s="2">
        <f t="shared" si="12"/>
        <v>9968.8320000000003</v>
      </c>
      <c r="S111" s="2" t="str">
        <f t="shared" si="13"/>
        <v>High</v>
      </c>
      <c r="T111" s="2" t="str" cm="1">
        <f t="array" ref="T111">_xlfn.IFS(L111&gt;5,"High",L111=5,"Medium",L111&lt;5,"Low")</f>
        <v>High</v>
      </c>
      <c r="U111" s="2" t="str">
        <f t="shared" si="14"/>
        <v>High</v>
      </c>
      <c r="V111" s="14" t="str">
        <f t="shared" si="15"/>
        <v>Heavy Discount</v>
      </c>
      <c r="W111" s="16" t="str">
        <f t="shared" si="16"/>
        <v>Excellent</v>
      </c>
      <c r="X111" s="18" t="str" cm="1">
        <f t="array" ref="X111">_xlfn.IFS(O111&gt;7000,"Excellent",O111&gt;4000,"Good",O111&lt;4000,"Average")</f>
        <v>Excellent</v>
      </c>
      <c r="AD111" s="23" t="str">
        <f t="shared" si="17"/>
        <v>Not Eligible</v>
      </c>
      <c r="AE111" s="24" t="str">
        <f t="shared" si="18"/>
        <v>Online</v>
      </c>
      <c r="AF111" s="27" t="str">
        <f t="shared" si="19"/>
        <v>Priority Order</v>
      </c>
    </row>
    <row r="112" spans="1:32" x14ac:dyDescent="0.3">
      <c r="A112" s="2">
        <v>10111</v>
      </c>
      <c r="B112" s="2">
        <v>1461</v>
      </c>
      <c r="C112" s="3">
        <v>44950</v>
      </c>
      <c r="D112" s="3">
        <v>44959</v>
      </c>
      <c r="E112" s="2" t="s">
        <v>21</v>
      </c>
      <c r="F112" s="2" t="s">
        <v>60</v>
      </c>
      <c r="G112" s="2" t="s">
        <v>36</v>
      </c>
      <c r="H112" s="2" t="s">
        <v>41</v>
      </c>
      <c r="I112" s="2" t="s">
        <v>55</v>
      </c>
      <c r="J112" s="2" t="s">
        <v>74</v>
      </c>
      <c r="K112" s="2" t="s">
        <v>39</v>
      </c>
      <c r="L112" s="2">
        <v>1</v>
      </c>
      <c r="M112" s="2">
        <v>1820.02</v>
      </c>
      <c r="N112" s="2">
        <v>10</v>
      </c>
      <c r="O112" s="2">
        <v>1638.02</v>
      </c>
      <c r="P112" s="2">
        <f t="shared" si="10"/>
        <v>1820.02</v>
      </c>
      <c r="Q112" s="2">
        <f t="shared" si="11"/>
        <v>182.00200000000001</v>
      </c>
      <c r="R112" s="2">
        <f t="shared" si="12"/>
        <v>1638.018</v>
      </c>
      <c r="S112" s="2" t="str">
        <f t="shared" si="13"/>
        <v>Low</v>
      </c>
      <c r="T112" s="2" t="str" cm="1">
        <f t="array" ref="T112">_xlfn.IFS(L112&gt;5,"High",L112=5,"Medium",L112&lt;5,"Low")</f>
        <v>Low</v>
      </c>
      <c r="U112" s="2" t="str">
        <f t="shared" si="14"/>
        <v>Low</v>
      </c>
      <c r="V112" s="14" t="str">
        <f t="shared" si="15"/>
        <v>Normal Discount</v>
      </c>
      <c r="W112" s="16" t="str">
        <f t="shared" si="16"/>
        <v>Average</v>
      </c>
      <c r="X112" s="18" t="str" cm="1">
        <f t="array" ref="X112">_xlfn.IFS(O112&gt;7000,"Excellent",O112&gt;4000,"Good",O112&lt;4000,"Average")</f>
        <v>Average</v>
      </c>
      <c r="AD112" s="23" t="str">
        <f t="shared" si="17"/>
        <v>Not Eligible</v>
      </c>
      <c r="AE112" s="24" t="str">
        <f t="shared" si="18"/>
        <v>Offline</v>
      </c>
      <c r="AF112" s="27" t="str">
        <f t="shared" si="19"/>
        <v>Normal Order</v>
      </c>
    </row>
    <row r="113" spans="1:32" x14ac:dyDescent="0.3">
      <c r="A113" s="2">
        <v>10112</v>
      </c>
      <c r="B113" s="2">
        <v>1726</v>
      </c>
      <c r="C113" s="3">
        <v>45153</v>
      </c>
      <c r="D113" s="3">
        <v>45154</v>
      </c>
      <c r="E113" s="2" t="s">
        <v>43</v>
      </c>
      <c r="F113" s="2" t="s">
        <v>47</v>
      </c>
      <c r="G113" s="2" t="s">
        <v>36</v>
      </c>
      <c r="H113" s="2" t="s">
        <v>24</v>
      </c>
      <c r="I113" s="2" t="s">
        <v>32</v>
      </c>
      <c r="J113" s="2" t="s">
        <v>42</v>
      </c>
      <c r="K113" s="2" t="s">
        <v>27</v>
      </c>
      <c r="L113" s="2">
        <v>4</v>
      </c>
      <c r="M113" s="2">
        <v>1110.5899999999999</v>
      </c>
      <c r="N113" s="2">
        <v>20</v>
      </c>
      <c r="O113" s="2">
        <v>3553.89</v>
      </c>
      <c r="P113" s="2">
        <f t="shared" si="10"/>
        <v>4442.3599999999997</v>
      </c>
      <c r="Q113" s="2">
        <f t="shared" si="11"/>
        <v>888.47199999999998</v>
      </c>
      <c r="R113" s="2">
        <f t="shared" si="12"/>
        <v>3553.8879999999999</v>
      </c>
      <c r="S113" s="2" t="str">
        <f t="shared" si="13"/>
        <v>Low</v>
      </c>
      <c r="T113" s="2" t="str" cm="1">
        <f t="array" ref="T113">_xlfn.IFS(L113&gt;5,"High",L113=5,"Medium",L113&lt;5,"Low")</f>
        <v>Low</v>
      </c>
      <c r="U113" s="2" t="str">
        <f t="shared" si="14"/>
        <v>Low</v>
      </c>
      <c r="V113" s="14" t="str">
        <f t="shared" si="15"/>
        <v>Heavy Discount</v>
      </c>
      <c r="W113" s="16" t="str">
        <f t="shared" si="16"/>
        <v>Average</v>
      </c>
      <c r="X113" s="18" t="str" cm="1">
        <f t="array" ref="X113">_xlfn.IFS(O113&gt;7000,"Excellent",O113&gt;4000,"Good",O113&lt;4000,"Average")</f>
        <v>Average</v>
      </c>
      <c r="AD113" s="23" t="str">
        <f t="shared" si="17"/>
        <v>Not Eligible</v>
      </c>
      <c r="AE113" s="24" t="str">
        <f t="shared" si="18"/>
        <v>Offline</v>
      </c>
      <c r="AF113" s="27" t="str">
        <f t="shared" si="19"/>
        <v>Normal Order</v>
      </c>
    </row>
    <row r="114" spans="1:32" x14ac:dyDescent="0.3">
      <c r="A114" s="2">
        <v>10113</v>
      </c>
      <c r="B114" s="2">
        <v>1251</v>
      </c>
      <c r="C114" s="3">
        <v>45080</v>
      </c>
      <c r="D114" s="3">
        <v>45083</v>
      </c>
      <c r="E114" s="2" t="s">
        <v>22</v>
      </c>
      <c r="F114" s="2" t="s">
        <v>29</v>
      </c>
      <c r="G114" s="2" t="s">
        <v>23</v>
      </c>
      <c r="H114" s="2" t="s">
        <v>24</v>
      </c>
      <c r="I114" s="2" t="s">
        <v>32</v>
      </c>
      <c r="J114" s="2" t="s">
        <v>67</v>
      </c>
      <c r="K114" s="2" t="s">
        <v>27</v>
      </c>
      <c r="L114" s="2">
        <v>6</v>
      </c>
      <c r="M114" s="2">
        <v>2257.77</v>
      </c>
      <c r="N114" s="2">
        <v>20</v>
      </c>
      <c r="O114" s="2">
        <v>10837.3</v>
      </c>
      <c r="P114" s="2">
        <f t="shared" si="10"/>
        <v>13546.619999999999</v>
      </c>
      <c r="Q114" s="2">
        <f t="shared" si="11"/>
        <v>2709.3240000000001</v>
      </c>
      <c r="R114" s="2">
        <f t="shared" si="12"/>
        <v>10837.295999999998</v>
      </c>
      <c r="S114" s="2" t="str">
        <f t="shared" si="13"/>
        <v>High</v>
      </c>
      <c r="T114" s="2" t="str" cm="1">
        <f t="array" ref="T114">_xlfn.IFS(L114&gt;5,"High",L114=5,"Medium",L114&lt;5,"Low")</f>
        <v>High</v>
      </c>
      <c r="U114" s="2" t="str">
        <f t="shared" si="14"/>
        <v>High</v>
      </c>
      <c r="V114" s="14" t="str">
        <f t="shared" si="15"/>
        <v>Heavy Discount</v>
      </c>
      <c r="W114" s="16" t="str">
        <f t="shared" si="16"/>
        <v>Excellent</v>
      </c>
      <c r="X114" s="18" t="str" cm="1">
        <f t="array" ref="X114">_xlfn.IFS(O114&gt;7000,"Excellent",O114&gt;4000,"Good",O114&lt;4000,"Average")</f>
        <v>Excellent</v>
      </c>
      <c r="AD114" s="23" t="str">
        <f t="shared" si="17"/>
        <v>Not Eligible</v>
      </c>
      <c r="AE114" s="24" t="str">
        <f t="shared" si="18"/>
        <v>Online</v>
      </c>
      <c r="AF114" s="27" t="str">
        <f t="shared" si="19"/>
        <v>Priority Order</v>
      </c>
    </row>
    <row r="115" spans="1:32" x14ac:dyDescent="0.3">
      <c r="A115" s="2">
        <v>10114</v>
      </c>
      <c r="B115" s="2">
        <v>1701</v>
      </c>
      <c r="C115" s="3">
        <v>45219</v>
      </c>
      <c r="D115" s="3">
        <v>45227</v>
      </c>
      <c r="E115" s="2" t="s">
        <v>46</v>
      </c>
      <c r="F115" s="2" t="s">
        <v>29</v>
      </c>
      <c r="G115" s="2" t="s">
        <v>36</v>
      </c>
      <c r="H115" s="2" t="s">
        <v>31</v>
      </c>
      <c r="I115" s="2" t="s">
        <v>32</v>
      </c>
      <c r="J115" s="2" t="s">
        <v>75</v>
      </c>
      <c r="K115" s="2" t="s">
        <v>51</v>
      </c>
      <c r="L115" s="2">
        <v>9</v>
      </c>
      <c r="M115" s="2">
        <v>1206.3800000000001</v>
      </c>
      <c r="N115" s="2">
        <v>10</v>
      </c>
      <c r="O115" s="2">
        <v>9771.68</v>
      </c>
      <c r="P115" s="2">
        <f t="shared" si="10"/>
        <v>10857.420000000002</v>
      </c>
      <c r="Q115" s="2">
        <f t="shared" si="11"/>
        <v>1085.7420000000002</v>
      </c>
      <c r="R115" s="2">
        <f t="shared" si="12"/>
        <v>9771.6780000000017</v>
      </c>
      <c r="S115" s="2" t="str">
        <f t="shared" si="13"/>
        <v>High</v>
      </c>
      <c r="T115" s="2" t="str" cm="1">
        <f t="array" ref="T115">_xlfn.IFS(L115&gt;5,"High",L115=5,"Medium",L115&lt;5,"Low")</f>
        <v>High</v>
      </c>
      <c r="U115" s="2" t="str">
        <f t="shared" si="14"/>
        <v>High</v>
      </c>
      <c r="V115" s="14" t="str">
        <f t="shared" si="15"/>
        <v>Normal Discount</v>
      </c>
      <c r="W115" s="16" t="str">
        <f t="shared" si="16"/>
        <v>Excellent</v>
      </c>
      <c r="X115" s="18" t="str" cm="1">
        <f t="array" ref="X115">_xlfn.IFS(O115&gt;7000,"Excellent",O115&gt;4000,"Good",O115&lt;4000,"Average")</f>
        <v>Excellent</v>
      </c>
      <c r="AD115" s="23" t="str">
        <f t="shared" si="17"/>
        <v>Not Eligible</v>
      </c>
      <c r="AE115" s="24" t="str">
        <f t="shared" si="18"/>
        <v>Offline</v>
      </c>
      <c r="AF115" s="27" t="str">
        <f t="shared" si="19"/>
        <v>Priority Order</v>
      </c>
    </row>
    <row r="116" spans="1:32" x14ac:dyDescent="0.3">
      <c r="A116" s="2">
        <v>10115</v>
      </c>
      <c r="B116" s="2">
        <v>1295</v>
      </c>
      <c r="C116" s="3">
        <v>45156</v>
      </c>
      <c r="D116" s="3">
        <v>45159</v>
      </c>
      <c r="E116" s="2" t="s">
        <v>28</v>
      </c>
      <c r="F116" s="2" t="s">
        <v>60</v>
      </c>
      <c r="G116" s="2" t="s">
        <v>30</v>
      </c>
      <c r="H116" s="2" t="s">
        <v>48</v>
      </c>
      <c r="I116" s="2" t="s">
        <v>63</v>
      </c>
      <c r="J116" s="2" t="s">
        <v>68</v>
      </c>
      <c r="K116" s="2" t="s">
        <v>34</v>
      </c>
      <c r="L116" s="2">
        <v>2</v>
      </c>
      <c r="M116" s="2">
        <v>3621.09</v>
      </c>
      <c r="N116" s="2">
        <v>0</v>
      </c>
      <c r="O116" s="2">
        <v>7242.18</v>
      </c>
      <c r="P116" s="2">
        <f t="shared" si="10"/>
        <v>7242.18</v>
      </c>
      <c r="Q116" s="2">
        <f t="shared" si="11"/>
        <v>0</v>
      </c>
      <c r="R116" s="2">
        <f t="shared" si="12"/>
        <v>7242.18</v>
      </c>
      <c r="S116" s="2" t="str">
        <f t="shared" si="13"/>
        <v>Low</v>
      </c>
      <c r="T116" s="2" t="str" cm="1">
        <f t="array" ref="T116">_xlfn.IFS(L116&gt;5,"High",L116=5,"Medium",L116&lt;5,"Low")</f>
        <v>Low</v>
      </c>
      <c r="U116" s="2" t="str">
        <f t="shared" si="14"/>
        <v>Low</v>
      </c>
      <c r="V116" s="14" t="str">
        <f t="shared" si="15"/>
        <v>Normal Discount</v>
      </c>
      <c r="W116" s="16" t="str">
        <f t="shared" si="16"/>
        <v>Excellent</v>
      </c>
      <c r="X116" s="18" t="str" cm="1">
        <f t="array" ref="X116">_xlfn.IFS(O116&gt;7000,"Excellent",O116&gt;4000,"Good",O116&lt;4000,"Average")</f>
        <v>Excellent</v>
      </c>
      <c r="AD116" s="23" t="str">
        <f t="shared" si="17"/>
        <v>Eligible</v>
      </c>
      <c r="AE116" s="24" t="str">
        <f t="shared" si="18"/>
        <v>Online</v>
      </c>
      <c r="AF116" s="27" t="str">
        <f t="shared" si="19"/>
        <v>Priority Order</v>
      </c>
    </row>
    <row r="117" spans="1:32" x14ac:dyDescent="0.3">
      <c r="A117" s="2">
        <v>10116</v>
      </c>
      <c r="B117" s="2">
        <v>1724</v>
      </c>
      <c r="C117" s="3">
        <v>45236</v>
      </c>
      <c r="D117" s="3">
        <v>45240</v>
      </c>
      <c r="E117" s="2" t="s">
        <v>22</v>
      </c>
      <c r="F117" s="2" t="s">
        <v>47</v>
      </c>
      <c r="G117" s="2" t="s">
        <v>36</v>
      </c>
      <c r="H117" s="2" t="s">
        <v>24</v>
      </c>
      <c r="I117" s="2" t="s">
        <v>58</v>
      </c>
      <c r="J117" s="2" t="s">
        <v>66</v>
      </c>
      <c r="K117" s="2" t="s">
        <v>53</v>
      </c>
      <c r="L117" s="2">
        <v>7</v>
      </c>
      <c r="M117" s="2">
        <v>978.54</v>
      </c>
      <c r="N117" s="2">
        <v>15</v>
      </c>
      <c r="O117" s="2">
        <v>5822.31</v>
      </c>
      <c r="P117" s="2">
        <f t="shared" si="10"/>
        <v>6849.78</v>
      </c>
      <c r="Q117" s="2">
        <f t="shared" si="11"/>
        <v>1027.4669999999999</v>
      </c>
      <c r="R117" s="2">
        <f t="shared" si="12"/>
        <v>5822.3130000000001</v>
      </c>
      <c r="S117" s="2" t="str">
        <f t="shared" si="13"/>
        <v>High</v>
      </c>
      <c r="T117" s="2" t="str" cm="1">
        <f t="array" ref="T117">_xlfn.IFS(L117&gt;5,"High",L117=5,"Medium",L117&lt;5,"Low")</f>
        <v>High</v>
      </c>
      <c r="U117" s="2" t="str">
        <f t="shared" si="14"/>
        <v>High</v>
      </c>
      <c r="V117" s="14" t="str">
        <f t="shared" si="15"/>
        <v>Heavy Discount</v>
      </c>
      <c r="W117" s="16" t="str">
        <f t="shared" si="16"/>
        <v>Good</v>
      </c>
      <c r="X117" s="18" t="str" cm="1">
        <f t="array" ref="X117">_xlfn.IFS(O117&gt;7000,"Excellent",O117&gt;4000,"Good",O117&lt;4000,"Average")</f>
        <v>Good</v>
      </c>
      <c r="AD117" s="23" t="str">
        <f t="shared" si="17"/>
        <v>Not Eligible</v>
      </c>
      <c r="AE117" s="24" t="str">
        <f t="shared" si="18"/>
        <v>Offline</v>
      </c>
      <c r="AF117" s="27" t="str">
        <f t="shared" si="19"/>
        <v>Priority Order</v>
      </c>
    </row>
    <row r="118" spans="1:32" x14ac:dyDescent="0.3">
      <c r="A118" s="2">
        <v>10117</v>
      </c>
      <c r="B118" s="2">
        <v>1719</v>
      </c>
      <c r="C118" s="3">
        <v>45285</v>
      </c>
      <c r="D118" s="3">
        <v>45293</v>
      </c>
      <c r="E118" s="2" t="s">
        <v>46</v>
      </c>
      <c r="F118" s="2" t="s">
        <v>60</v>
      </c>
      <c r="G118" s="2" t="s">
        <v>23</v>
      </c>
      <c r="H118" s="2" t="s">
        <v>48</v>
      </c>
      <c r="I118" s="2" t="s">
        <v>63</v>
      </c>
      <c r="J118" s="2" t="s">
        <v>64</v>
      </c>
      <c r="K118" s="2" t="s">
        <v>53</v>
      </c>
      <c r="L118" s="2">
        <v>6</v>
      </c>
      <c r="M118" s="2">
        <v>3554.77</v>
      </c>
      <c r="N118" s="2">
        <v>20</v>
      </c>
      <c r="O118" s="2">
        <v>17062.900000000001</v>
      </c>
      <c r="P118" s="2">
        <f t="shared" si="10"/>
        <v>21328.62</v>
      </c>
      <c r="Q118" s="2">
        <f t="shared" si="11"/>
        <v>4265.7240000000002</v>
      </c>
      <c r="R118" s="2">
        <f t="shared" si="12"/>
        <v>17062.896000000001</v>
      </c>
      <c r="S118" s="2" t="str">
        <f t="shared" si="13"/>
        <v>High</v>
      </c>
      <c r="T118" s="2" t="str" cm="1">
        <f t="array" ref="T118">_xlfn.IFS(L118&gt;5,"High",L118=5,"Medium",L118&lt;5,"Low")</f>
        <v>High</v>
      </c>
      <c r="U118" s="2" t="str">
        <f t="shared" si="14"/>
        <v>High</v>
      </c>
      <c r="V118" s="14" t="str">
        <f t="shared" si="15"/>
        <v>Heavy Discount</v>
      </c>
      <c r="W118" s="16" t="str">
        <f t="shared" si="16"/>
        <v>Excellent</v>
      </c>
      <c r="X118" s="18" t="str" cm="1">
        <f t="array" ref="X118">_xlfn.IFS(O118&gt;7000,"Excellent",O118&gt;4000,"Good",O118&lt;4000,"Average")</f>
        <v>Excellent</v>
      </c>
      <c r="AD118" s="23" t="str">
        <f t="shared" si="17"/>
        <v>Not Eligible</v>
      </c>
      <c r="AE118" s="24" t="str">
        <f t="shared" si="18"/>
        <v>Online</v>
      </c>
      <c r="AF118" s="27" t="str">
        <f t="shared" si="19"/>
        <v>Priority Order</v>
      </c>
    </row>
    <row r="119" spans="1:32" x14ac:dyDescent="0.3">
      <c r="A119" s="2">
        <v>10118</v>
      </c>
      <c r="B119" s="2">
        <v>1748</v>
      </c>
      <c r="C119" s="3">
        <v>45128</v>
      </c>
      <c r="D119" s="3">
        <v>45129</v>
      </c>
      <c r="E119" s="2" t="s">
        <v>28</v>
      </c>
      <c r="F119" s="2" t="s">
        <v>22</v>
      </c>
      <c r="G119" s="2" t="s">
        <v>23</v>
      </c>
      <c r="H119" s="2" t="s">
        <v>50</v>
      </c>
      <c r="I119" s="2" t="s">
        <v>37</v>
      </c>
      <c r="J119" s="2" t="s">
        <v>54</v>
      </c>
      <c r="K119" s="2" t="s">
        <v>39</v>
      </c>
      <c r="L119" s="2">
        <v>2</v>
      </c>
      <c r="M119" s="2">
        <v>2303.71</v>
      </c>
      <c r="N119" s="2">
        <v>20</v>
      </c>
      <c r="O119" s="2">
        <v>3685.94</v>
      </c>
      <c r="P119" s="2">
        <f t="shared" si="10"/>
        <v>4607.42</v>
      </c>
      <c r="Q119" s="2">
        <f t="shared" si="11"/>
        <v>921.48400000000004</v>
      </c>
      <c r="R119" s="2">
        <f t="shared" si="12"/>
        <v>3685.9360000000001</v>
      </c>
      <c r="S119" s="2" t="str">
        <f t="shared" si="13"/>
        <v>Low</v>
      </c>
      <c r="T119" s="2" t="str" cm="1">
        <f t="array" ref="T119">_xlfn.IFS(L119&gt;5,"High",L119=5,"Medium",L119&lt;5,"Low")</f>
        <v>Low</v>
      </c>
      <c r="U119" s="2" t="str">
        <f t="shared" si="14"/>
        <v>Low</v>
      </c>
      <c r="V119" s="14" t="str">
        <f t="shared" si="15"/>
        <v>Heavy Discount</v>
      </c>
      <c r="W119" s="16" t="str">
        <f t="shared" si="16"/>
        <v>Average</v>
      </c>
      <c r="X119" s="18" t="str" cm="1">
        <f t="array" ref="X119">_xlfn.IFS(O119&gt;7000,"Excellent",O119&gt;4000,"Good",O119&lt;4000,"Average")</f>
        <v>Average</v>
      </c>
      <c r="AD119" s="23" t="str">
        <f t="shared" si="17"/>
        <v>Not Eligible</v>
      </c>
      <c r="AE119" s="24" t="str">
        <f t="shared" si="18"/>
        <v>Online</v>
      </c>
      <c r="AF119" s="27" t="str">
        <f t="shared" si="19"/>
        <v>Normal Order</v>
      </c>
    </row>
    <row r="120" spans="1:32" x14ac:dyDescent="0.3">
      <c r="A120" s="2">
        <v>10119</v>
      </c>
      <c r="B120" s="2">
        <v>1337</v>
      </c>
      <c r="C120" s="3">
        <v>44964</v>
      </c>
      <c r="D120" s="3">
        <v>44970</v>
      </c>
      <c r="E120" s="2" t="s">
        <v>22</v>
      </c>
      <c r="F120" s="2" t="s">
        <v>44</v>
      </c>
      <c r="G120" s="2" t="s">
        <v>23</v>
      </c>
      <c r="H120" s="2" t="s">
        <v>41</v>
      </c>
      <c r="I120" s="2" t="s">
        <v>37</v>
      </c>
      <c r="J120" s="2" t="s">
        <v>38</v>
      </c>
      <c r="K120" s="2" t="s">
        <v>39</v>
      </c>
      <c r="L120" s="2">
        <v>8</v>
      </c>
      <c r="M120" s="2">
        <v>3339.68</v>
      </c>
      <c r="N120" s="2">
        <v>0</v>
      </c>
      <c r="O120" s="2">
        <v>26717.439999999999</v>
      </c>
      <c r="P120" s="2">
        <f t="shared" si="10"/>
        <v>26717.439999999999</v>
      </c>
      <c r="Q120" s="2">
        <f t="shared" si="11"/>
        <v>0</v>
      </c>
      <c r="R120" s="2">
        <f t="shared" si="12"/>
        <v>26717.439999999999</v>
      </c>
      <c r="S120" s="2" t="str">
        <f t="shared" si="13"/>
        <v>High</v>
      </c>
      <c r="T120" s="2" t="str" cm="1">
        <f t="array" ref="T120">_xlfn.IFS(L120&gt;5,"High",L120=5,"Medium",L120&lt;5,"Low")</f>
        <v>High</v>
      </c>
      <c r="U120" s="2" t="str">
        <f t="shared" si="14"/>
        <v>High</v>
      </c>
      <c r="V120" s="14" t="str">
        <f t="shared" si="15"/>
        <v>Normal Discount</v>
      </c>
      <c r="W120" s="16" t="str">
        <f t="shared" si="16"/>
        <v>Excellent</v>
      </c>
      <c r="X120" s="18" t="str" cm="1">
        <f t="array" ref="X120">_xlfn.IFS(O120&gt;7000,"Excellent",O120&gt;4000,"Good",O120&lt;4000,"Average")</f>
        <v>Excellent</v>
      </c>
      <c r="AD120" s="23" t="str">
        <f t="shared" si="17"/>
        <v>Eligible</v>
      </c>
      <c r="AE120" s="24" t="str">
        <f t="shared" si="18"/>
        <v>Online</v>
      </c>
      <c r="AF120" s="27" t="str">
        <f t="shared" si="19"/>
        <v>Priority Order</v>
      </c>
    </row>
    <row r="121" spans="1:32" x14ac:dyDescent="0.3">
      <c r="A121" s="2">
        <v>10120</v>
      </c>
      <c r="B121" s="2">
        <v>1878</v>
      </c>
      <c r="C121" s="3">
        <v>45186</v>
      </c>
      <c r="D121" s="3">
        <v>45187</v>
      </c>
      <c r="E121" s="2" t="s">
        <v>46</v>
      </c>
      <c r="F121" s="2" t="s">
        <v>29</v>
      </c>
      <c r="G121" s="2" t="s">
        <v>30</v>
      </c>
      <c r="H121" s="2" t="s">
        <v>48</v>
      </c>
      <c r="I121" s="2" t="s">
        <v>58</v>
      </c>
      <c r="J121" s="2" t="s">
        <v>59</v>
      </c>
      <c r="K121" s="2" t="s">
        <v>53</v>
      </c>
      <c r="L121" s="2">
        <v>7</v>
      </c>
      <c r="M121" s="2">
        <v>2894.46</v>
      </c>
      <c r="N121" s="2">
        <v>5</v>
      </c>
      <c r="O121" s="2">
        <v>19248.16</v>
      </c>
      <c r="P121" s="2">
        <f t="shared" si="10"/>
        <v>20261.22</v>
      </c>
      <c r="Q121" s="2">
        <f t="shared" si="11"/>
        <v>1013.0610000000001</v>
      </c>
      <c r="R121" s="2">
        <f t="shared" si="12"/>
        <v>19248.159</v>
      </c>
      <c r="S121" s="2" t="str">
        <f t="shared" si="13"/>
        <v>High</v>
      </c>
      <c r="T121" s="2" t="str" cm="1">
        <f t="array" ref="T121">_xlfn.IFS(L121&gt;5,"High",L121=5,"Medium",L121&lt;5,"Low")</f>
        <v>High</v>
      </c>
      <c r="U121" s="2" t="str">
        <f t="shared" si="14"/>
        <v>High</v>
      </c>
      <c r="V121" s="14" t="str">
        <f t="shared" si="15"/>
        <v>Normal Discount</v>
      </c>
      <c r="W121" s="16" t="str">
        <f t="shared" si="16"/>
        <v>Excellent</v>
      </c>
      <c r="X121" s="18" t="str" cm="1">
        <f t="array" ref="X121">_xlfn.IFS(O121&gt;7000,"Excellent",O121&gt;4000,"Good",O121&lt;4000,"Average")</f>
        <v>Excellent</v>
      </c>
      <c r="AD121" s="23" t="str">
        <f t="shared" si="17"/>
        <v>Eligible</v>
      </c>
      <c r="AE121" s="24" t="str">
        <f t="shared" si="18"/>
        <v>Online</v>
      </c>
      <c r="AF121" s="27" t="str">
        <f t="shared" si="19"/>
        <v>Priority Order</v>
      </c>
    </row>
    <row r="122" spans="1:32" x14ac:dyDescent="0.3">
      <c r="A122" s="2">
        <v>10121</v>
      </c>
      <c r="B122" s="2">
        <v>1052</v>
      </c>
      <c r="C122" s="3">
        <v>45114</v>
      </c>
      <c r="D122" s="3">
        <v>45115</v>
      </c>
      <c r="E122" s="2" t="s">
        <v>22</v>
      </c>
      <c r="F122" s="2" t="s">
        <v>22</v>
      </c>
      <c r="G122" s="2" t="s">
        <v>30</v>
      </c>
      <c r="H122" s="2" t="s">
        <v>41</v>
      </c>
      <c r="I122" s="2" t="s">
        <v>63</v>
      </c>
      <c r="J122" s="2" t="s">
        <v>68</v>
      </c>
      <c r="K122" s="2" t="s">
        <v>39</v>
      </c>
      <c r="L122" s="2">
        <v>5</v>
      </c>
      <c r="M122" s="2">
        <v>2832.28</v>
      </c>
      <c r="N122" s="2">
        <v>0</v>
      </c>
      <c r="O122" s="2">
        <v>14161.4</v>
      </c>
      <c r="P122" s="2">
        <f t="shared" si="10"/>
        <v>14161.400000000001</v>
      </c>
      <c r="Q122" s="2">
        <f t="shared" si="11"/>
        <v>0</v>
      </c>
      <c r="R122" s="2">
        <f t="shared" si="12"/>
        <v>14161.400000000001</v>
      </c>
      <c r="S122" s="2" t="str">
        <f t="shared" si="13"/>
        <v>High</v>
      </c>
      <c r="T122" s="2" t="str" cm="1">
        <f t="array" ref="T122">_xlfn.IFS(L122&gt;5,"High",L122=5,"Medium",L122&lt;5,"Low")</f>
        <v>Medium</v>
      </c>
      <c r="U122" s="2" t="str">
        <f t="shared" si="14"/>
        <v>Medium</v>
      </c>
      <c r="V122" s="14" t="str">
        <f t="shared" si="15"/>
        <v>Normal Discount</v>
      </c>
      <c r="W122" s="16" t="str">
        <f t="shared" si="16"/>
        <v>Excellent</v>
      </c>
      <c r="X122" s="18" t="str" cm="1">
        <f t="array" ref="X122">_xlfn.IFS(O122&gt;7000,"Excellent",O122&gt;4000,"Good",O122&lt;4000,"Average")</f>
        <v>Excellent</v>
      </c>
      <c r="AD122" s="23" t="str">
        <f t="shared" si="17"/>
        <v>Eligible</v>
      </c>
      <c r="AE122" s="24" t="str">
        <f t="shared" si="18"/>
        <v>Online</v>
      </c>
      <c r="AF122" s="27" t="str">
        <f t="shared" si="19"/>
        <v>Priority Order</v>
      </c>
    </row>
    <row r="123" spans="1:32" x14ac:dyDescent="0.3">
      <c r="A123" s="2">
        <v>10122</v>
      </c>
      <c r="B123" s="2">
        <v>1791</v>
      </c>
      <c r="C123" s="3">
        <v>44983</v>
      </c>
      <c r="D123" s="3">
        <v>44991</v>
      </c>
      <c r="E123" s="2" t="s">
        <v>22</v>
      </c>
      <c r="F123" s="2" t="s">
        <v>44</v>
      </c>
      <c r="G123" s="2" t="s">
        <v>30</v>
      </c>
      <c r="H123" s="2" t="s">
        <v>48</v>
      </c>
      <c r="I123" s="2" t="s">
        <v>55</v>
      </c>
      <c r="J123" s="2" t="s">
        <v>69</v>
      </c>
      <c r="K123" s="2" t="s">
        <v>51</v>
      </c>
      <c r="L123" s="2">
        <v>5</v>
      </c>
      <c r="M123" s="2">
        <v>1398.73</v>
      </c>
      <c r="N123" s="2">
        <v>0</v>
      </c>
      <c r="O123" s="2">
        <v>6993.65</v>
      </c>
      <c r="P123" s="2">
        <f t="shared" si="10"/>
        <v>6993.65</v>
      </c>
      <c r="Q123" s="2">
        <f t="shared" si="11"/>
        <v>0</v>
      </c>
      <c r="R123" s="2">
        <f t="shared" si="12"/>
        <v>6993.65</v>
      </c>
      <c r="S123" s="2" t="str">
        <f t="shared" si="13"/>
        <v>High</v>
      </c>
      <c r="T123" s="2" t="str" cm="1">
        <f t="array" ref="T123">_xlfn.IFS(L123&gt;5,"High",L123=5,"Medium",L123&lt;5,"Low")</f>
        <v>Medium</v>
      </c>
      <c r="U123" s="2" t="str">
        <f t="shared" si="14"/>
        <v>Medium</v>
      </c>
      <c r="V123" s="14" t="str">
        <f t="shared" si="15"/>
        <v>Normal Discount</v>
      </c>
      <c r="W123" s="16" t="str">
        <f t="shared" si="16"/>
        <v>Good</v>
      </c>
      <c r="X123" s="18" t="str" cm="1">
        <f t="array" ref="X123">_xlfn.IFS(O123&gt;7000,"Excellent",O123&gt;4000,"Good",O123&lt;4000,"Average")</f>
        <v>Good</v>
      </c>
      <c r="AD123" s="23" t="str">
        <f t="shared" si="17"/>
        <v>Eligible</v>
      </c>
      <c r="AE123" s="24" t="str">
        <f t="shared" si="18"/>
        <v>Online</v>
      </c>
      <c r="AF123" s="27" t="str">
        <f t="shared" si="19"/>
        <v>Normal Order</v>
      </c>
    </row>
    <row r="124" spans="1:32" x14ac:dyDescent="0.3">
      <c r="A124" s="2">
        <v>10123</v>
      </c>
      <c r="B124" s="2">
        <v>1921</v>
      </c>
      <c r="C124" s="3">
        <v>44946</v>
      </c>
      <c r="D124" s="3">
        <v>44950</v>
      </c>
      <c r="E124" s="2" t="s">
        <v>28</v>
      </c>
      <c r="F124" s="2" t="s">
        <v>22</v>
      </c>
      <c r="G124" s="2" t="s">
        <v>30</v>
      </c>
      <c r="H124" s="2" t="s">
        <v>50</v>
      </c>
      <c r="I124" s="2" t="s">
        <v>32</v>
      </c>
      <c r="J124" s="2" t="s">
        <v>75</v>
      </c>
      <c r="K124" s="2" t="s">
        <v>53</v>
      </c>
      <c r="L124" s="2">
        <v>7</v>
      </c>
      <c r="M124" s="2">
        <v>1050.5</v>
      </c>
      <c r="N124" s="2">
        <v>20</v>
      </c>
      <c r="O124" s="2">
        <v>5882.8</v>
      </c>
      <c r="P124" s="2">
        <f t="shared" si="10"/>
        <v>7353.5</v>
      </c>
      <c r="Q124" s="2">
        <f t="shared" si="11"/>
        <v>1470.7</v>
      </c>
      <c r="R124" s="2">
        <f t="shared" si="12"/>
        <v>5882.8</v>
      </c>
      <c r="S124" s="2" t="str">
        <f t="shared" si="13"/>
        <v>High</v>
      </c>
      <c r="T124" s="2" t="str" cm="1">
        <f t="array" ref="T124">_xlfn.IFS(L124&gt;5,"High",L124=5,"Medium",L124&lt;5,"Low")</f>
        <v>High</v>
      </c>
      <c r="U124" s="2" t="str">
        <f t="shared" si="14"/>
        <v>High</v>
      </c>
      <c r="V124" s="14" t="str">
        <f t="shared" si="15"/>
        <v>Heavy Discount</v>
      </c>
      <c r="W124" s="16" t="str">
        <f t="shared" si="16"/>
        <v>Good</v>
      </c>
      <c r="X124" s="18" t="str" cm="1">
        <f t="array" ref="X124">_xlfn.IFS(O124&gt;7000,"Excellent",O124&gt;4000,"Good",O124&lt;4000,"Average")</f>
        <v>Good</v>
      </c>
      <c r="AD124" s="23" t="str">
        <f t="shared" si="17"/>
        <v>Not Eligible</v>
      </c>
      <c r="AE124" s="24" t="str">
        <f t="shared" si="18"/>
        <v>Online</v>
      </c>
      <c r="AF124" s="27" t="str">
        <f t="shared" si="19"/>
        <v>Priority Order</v>
      </c>
    </row>
    <row r="125" spans="1:32" x14ac:dyDescent="0.3">
      <c r="A125" s="2">
        <v>10124</v>
      </c>
      <c r="B125" s="2">
        <v>1216</v>
      </c>
      <c r="C125" s="3">
        <v>45199</v>
      </c>
      <c r="D125" s="3">
        <v>45200</v>
      </c>
      <c r="E125" s="2" t="s">
        <v>22</v>
      </c>
      <c r="F125" s="2" t="s">
        <v>47</v>
      </c>
      <c r="G125" s="2" t="s">
        <v>30</v>
      </c>
      <c r="H125" s="2" t="s">
        <v>24</v>
      </c>
      <c r="I125" s="2" t="s">
        <v>32</v>
      </c>
      <c r="J125" s="2" t="s">
        <v>67</v>
      </c>
      <c r="K125" s="2" t="s">
        <v>39</v>
      </c>
      <c r="L125" s="2">
        <v>9</v>
      </c>
      <c r="M125" s="2">
        <v>961.91</v>
      </c>
      <c r="N125" s="2">
        <v>15</v>
      </c>
      <c r="O125" s="2">
        <v>7358.61</v>
      </c>
      <c r="P125" s="2">
        <f t="shared" si="10"/>
        <v>8657.19</v>
      </c>
      <c r="Q125" s="2">
        <f t="shared" si="11"/>
        <v>1298.5785000000001</v>
      </c>
      <c r="R125" s="2">
        <f t="shared" si="12"/>
        <v>7358.6115000000009</v>
      </c>
      <c r="S125" s="2" t="str">
        <f t="shared" si="13"/>
        <v>High</v>
      </c>
      <c r="T125" s="2" t="str" cm="1">
        <f t="array" ref="T125">_xlfn.IFS(L125&gt;5,"High",L125=5,"Medium",L125&lt;5,"Low")</f>
        <v>High</v>
      </c>
      <c r="U125" s="2" t="str">
        <f t="shared" si="14"/>
        <v>High</v>
      </c>
      <c r="V125" s="14" t="str">
        <f t="shared" si="15"/>
        <v>Heavy Discount</v>
      </c>
      <c r="W125" s="16" t="str">
        <f t="shared" si="16"/>
        <v>Excellent</v>
      </c>
      <c r="X125" s="18" t="str" cm="1">
        <f t="array" ref="X125">_xlfn.IFS(O125&gt;7000,"Excellent",O125&gt;4000,"Good",O125&lt;4000,"Average")</f>
        <v>Excellent</v>
      </c>
      <c r="AD125" s="23" t="str">
        <f t="shared" si="17"/>
        <v>Not Eligible</v>
      </c>
      <c r="AE125" s="24" t="str">
        <f t="shared" si="18"/>
        <v>Online</v>
      </c>
      <c r="AF125" s="27" t="str">
        <f t="shared" si="19"/>
        <v>Priority Order</v>
      </c>
    </row>
    <row r="126" spans="1:32" x14ac:dyDescent="0.3">
      <c r="A126" s="2">
        <v>10125</v>
      </c>
      <c r="B126" s="2">
        <v>1763</v>
      </c>
      <c r="C126" s="3">
        <v>45045</v>
      </c>
      <c r="D126" s="3">
        <v>45052</v>
      </c>
      <c r="E126" s="2" t="s">
        <v>22</v>
      </c>
      <c r="F126" s="2" t="s">
        <v>29</v>
      </c>
      <c r="G126" s="2" t="s">
        <v>36</v>
      </c>
      <c r="H126" s="2" t="s">
        <v>50</v>
      </c>
      <c r="I126" s="2" t="s">
        <v>58</v>
      </c>
      <c r="J126" s="2" t="s">
        <v>70</v>
      </c>
      <c r="K126" s="2" t="s">
        <v>53</v>
      </c>
      <c r="L126" s="2">
        <v>9</v>
      </c>
      <c r="M126" s="2">
        <v>3450.19</v>
      </c>
      <c r="N126" s="2">
        <v>0</v>
      </c>
      <c r="O126" s="2">
        <v>31051.71</v>
      </c>
      <c r="P126" s="2">
        <f t="shared" si="10"/>
        <v>31051.71</v>
      </c>
      <c r="Q126" s="2">
        <f t="shared" si="11"/>
        <v>0</v>
      </c>
      <c r="R126" s="2">
        <f t="shared" si="12"/>
        <v>31051.71</v>
      </c>
      <c r="S126" s="2" t="str">
        <f t="shared" si="13"/>
        <v>High</v>
      </c>
      <c r="T126" s="2" t="str" cm="1">
        <f t="array" ref="T126">_xlfn.IFS(L126&gt;5,"High",L126=5,"Medium",L126&lt;5,"Low")</f>
        <v>High</v>
      </c>
      <c r="U126" s="2" t="str">
        <f t="shared" si="14"/>
        <v>High</v>
      </c>
      <c r="V126" s="14" t="str">
        <f t="shared" si="15"/>
        <v>Normal Discount</v>
      </c>
      <c r="W126" s="16" t="str">
        <f t="shared" si="16"/>
        <v>Excellent</v>
      </c>
      <c r="X126" s="18" t="str" cm="1">
        <f t="array" ref="X126">_xlfn.IFS(O126&gt;7000,"Excellent",O126&gt;4000,"Good",O126&lt;4000,"Average")</f>
        <v>Excellent</v>
      </c>
      <c r="AD126" s="23" t="str">
        <f t="shared" si="17"/>
        <v>Eligible</v>
      </c>
      <c r="AE126" s="24" t="str">
        <f t="shared" si="18"/>
        <v>Offline</v>
      </c>
      <c r="AF126" s="27" t="str">
        <f t="shared" si="19"/>
        <v>Priority Order</v>
      </c>
    </row>
    <row r="127" spans="1:32" x14ac:dyDescent="0.3">
      <c r="A127" s="2">
        <v>10126</v>
      </c>
      <c r="B127" s="2">
        <v>1187</v>
      </c>
      <c r="C127" s="3">
        <v>44997</v>
      </c>
      <c r="D127" s="3">
        <v>45002</v>
      </c>
      <c r="E127" s="2" t="s">
        <v>28</v>
      </c>
      <c r="F127" s="2" t="s">
        <v>60</v>
      </c>
      <c r="G127" s="2" t="s">
        <v>30</v>
      </c>
      <c r="H127" s="2" t="s">
        <v>24</v>
      </c>
      <c r="I127" s="2" t="s">
        <v>37</v>
      </c>
      <c r="J127" s="2" t="s">
        <v>54</v>
      </c>
      <c r="K127" s="2" t="s">
        <v>34</v>
      </c>
      <c r="L127" s="2">
        <v>9</v>
      </c>
      <c r="M127" s="2">
        <v>3308.64</v>
      </c>
      <c r="N127" s="2">
        <v>5</v>
      </c>
      <c r="O127" s="2">
        <v>28288.87</v>
      </c>
      <c r="P127" s="2">
        <f t="shared" si="10"/>
        <v>29777.759999999998</v>
      </c>
      <c r="Q127" s="2">
        <f t="shared" si="11"/>
        <v>1488.8879999999999</v>
      </c>
      <c r="R127" s="2">
        <f t="shared" si="12"/>
        <v>28288.871999999999</v>
      </c>
      <c r="S127" s="2" t="str">
        <f t="shared" si="13"/>
        <v>High</v>
      </c>
      <c r="T127" s="2" t="str" cm="1">
        <f t="array" ref="T127">_xlfn.IFS(L127&gt;5,"High",L127=5,"Medium",L127&lt;5,"Low")</f>
        <v>High</v>
      </c>
      <c r="U127" s="2" t="str">
        <f t="shared" si="14"/>
        <v>High</v>
      </c>
      <c r="V127" s="14" t="str">
        <f t="shared" si="15"/>
        <v>Normal Discount</v>
      </c>
      <c r="W127" s="16" t="str">
        <f t="shared" si="16"/>
        <v>Excellent</v>
      </c>
      <c r="X127" s="18" t="str" cm="1">
        <f t="array" ref="X127">_xlfn.IFS(O127&gt;7000,"Excellent",O127&gt;4000,"Good",O127&lt;4000,"Average")</f>
        <v>Excellent</v>
      </c>
      <c r="AD127" s="23" t="str">
        <f t="shared" si="17"/>
        <v>Eligible</v>
      </c>
      <c r="AE127" s="24" t="str">
        <f t="shared" si="18"/>
        <v>Online</v>
      </c>
      <c r="AF127" s="27" t="str">
        <f t="shared" si="19"/>
        <v>Priority Order</v>
      </c>
    </row>
    <row r="128" spans="1:32" x14ac:dyDescent="0.3">
      <c r="A128" s="2">
        <v>10127</v>
      </c>
      <c r="B128" s="2">
        <v>1379</v>
      </c>
      <c r="C128" s="3">
        <v>44930</v>
      </c>
      <c r="D128" s="3">
        <v>44935</v>
      </c>
      <c r="E128" s="2" t="s">
        <v>43</v>
      </c>
      <c r="F128" s="2" t="s">
        <v>60</v>
      </c>
      <c r="G128" s="2" t="s">
        <v>30</v>
      </c>
      <c r="H128" s="2" t="s">
        <v>24</v>
      </c>
      <c r="I128" s="2" t="s">
        <v>37</v>
      </c>
      <c r="J128" s="2" t="s">
        <v>45</v>
      </c>
      <c r="K128" s="2" t="s">
        <v>27</v>
      </c>
      <c r="L128" s="2">
        <v>6</v>
      </c>
      <c r="M128" s="2">
        <v>1846.21</v>
      </c>
      <c r="N128" s="2">
        <v>10</v>
      </c>
      <c r="O128" s="2">
        <v>9969.5300000000007</v>
      </c>
      <c r="P128" s="2">
        <f t="shared" si="10"/>
        <v>11077.26</v>
      </c>
      <c r="Q128" s="2">
        <f t="shared" si="11"/>
        <v>1107.7260000000001</v>
      </c>
      <c r="R128" s="2">
        <f t="shared" si="12"/>
        <v>9969.5339999999997</v>
      </c>
      <c r="S128" s="2" t="str">
        <f t="shared" si="13"/>
        <v>High</v>
      </c>
      <c r="T128" s="2" t="str" cm="1">
        <f t="array" ref="T128">_xlfn.IFS(L128&gt;5,"High",L128=5,"Medium",L128&lt;5,"Low")</f>
        <v>High</v>
      </c>
      <c r="U128" s="2" t="str">
        <f t="shared" si="14"/>
        <v>High</v>
      </c>
      <c r="V128" s="14" t="str">
        <f t="shared" si="15"/>
        <v>Normal Discount</v>
      </c>
      <c r="W128" s="16" t="str">
        <f t="shared" si="16"/>
        <v>Excellent</v>
      </c>
      <c r="X128" s="18" t="str" cm="1">
        <f t="array" ref="X128">_xlfn.IFS(O128&gt;7000,"Excellent",O128&gt;4000,"Good",O128&lt;4000,"Average")</f>
        <v>Excellent</v>
      </c>
      <c r="AD128" s="23" t="str">
        <f t="shared" si="17"/>
        <v>Not Eligible</v>
      </c>
      <c r="AE128" s="24" t="str">
        <f t="shared" si="18"/>
        <v>Online</v>
      </c>
      <c r="AF128" s="27" t="str">
        <f t="shared" si="19"/>
        <v>Priority Order</v>
      </c>
    </row>
    <row r="129" spans="1:32" x14ac:dyDescent="0.3">
      <c r="A129" s="2">
        <v>10128</v>
      </c>
      <c r="B129" s="2">
        <v>1492</v>
      </c>
      <c r="C129" s="3">
        <v>45147</v>
      </c>
      <c r="D129" s="3">
        <v>45148</v>
      </c>
      <c r="E129" s="2" t="s">
        <v>52</v>
      </c>
      <c r="F129" s="2" t="s">
        <v>44</v>
      </c>
      <c r="G129" s="2" t="s">
        <v>36</v>
      </c>
      <c r="H129" s="2" t="s">
        <v>41</v>
      </c>
      <c r="I129" s="2" t="s">
        <v>32</v>
      </c>
      <c r="J129" s="2" t="s">
        <v>67</v>
      </c>
      <c r="K129" s="2" t="s">
        <v>53</v>
      </c>
      <c r="L129" s="2">
        <v>6</v>
      </c>
      <c r="M129" s="2">
        <v>659.76</v>
      </c>
      <c r="N129" s="2">
        <v>0</v>
      </c>
      <c r="O129" s="2">
        <v>3958.56</v>
      </c>
      <c r="P129" s="2">
        <f t="shared" si="10"/>
        <v>3958.56</v>
      </c>
      <c r="Q129" s="2">
        <f t="shared" si="11"/>
        <v>0</v>
      </c>
      <c r="R129" s="2">
        <f t="shared" si="12"/>
        <v>3958.56</v>
      </c>
      <c r="S129" s="2" t="str">
        <f t="shared" si="13"/>
        <v>High</v>
      </c>
      <c r="T129" s="2" t="str" cm="1">
        <f t="array" ref="T129">_xlfn.IFS(L129&gt;5,"High",L129=5,"Medium",L129&lt;5,"Low")</f>
        <v>High</v>
      </c>
      <c r="U129" s="2" t="str">
        <f t="shared" si="14"/>
        <v>High</v>
      </c>
      <c r="V129" s="14" t="str">
        <f t="shared" si="15"/>
        <v>Normal Discount</v>
      </c>
      <c r="W129" s="16" t="str">
        <f t="shared" si="16"/>
        <v>Average</v>
      </c>
      <c r="X129" s="18" t="str" cm="1">
        <f t="array" ref="X129">_xlfn.IFS(O129&gt;7000,"Excellent",O129&gt;4000,"Good",O129&lt;4000,"Average")</f>
        <v>Average</v>
      </c>
      <c r="AD129" s="23" t="str">
        <f t="shared" si="17"/>
        <v>Not Eligible</v>
      </c>
      <c r="AE129" s="24" t="str">
        <f t="shared" si="18"/>
        <v>Offline</v>
      </c>
      <c r="AF129" s="27" t="str">
        <f t="shared" si="19"/>
        <v>Priority Order</v>
      </c>
    </row>
    <row r="130" spans="1:32" x14ac:dyDescent="0.3">
      <c r="A130" s="2">
        <v>10129</v>
      </c>
      <c r="B130" s="2">
        <v>1040</v>
      </c>
      <c r="C130" s="3">
        <v>44940</v>
      </c>
      <c r="D130" s="3">
        <v>44946</v>
      </c>
      <c r="E130" s="2" t="s">
        <v>40</v>
      </c>
      <c r="F130" s="2" t="s">
        <v>35</v>
      </c>
      <c r="G130" s="2" t="s">
        <v>30</v>
      </c>
      <c r="H130" s="2" t="s">
        <v>50</v>
      </c>
      <c r="I130" s="2" t="s">
        <v>58</v>
      </c>
      <c r="J130" s="2" t="s">
        <v>62</v>
      </c>
      <c r="K130" s="2" t="s">
        <v>27</v>
      </c>
      <c r="L130" s="2">
        <v>3</v>
      </c>
      <c r="M130" s="2">
        <v>1621.67</v>
      </c>
      <c r="N130" s="2">
        <v>0</v>
      </c>
      <c r="O130" s="2">
        <v>4865.01</v>
      </c>
      <c r="P130" s="2">
        <f t="shared" si="10"/>
        <v>4865.01</v>
      </c>
      <c r="Q130" s="2">
        <f t="shared" si="11"/>
        <v>0</v>
      </c>
      <c r="R130" s="2">
        <f t="shared" si="12"/>
        <v>4865.01</v>
      </c>
      <c r="S130" s="2" t="str">
        <f t="shared" si="13"/>
        <v>Low</v>
      </c>
      <c r="T130" s="2" t="str" cm="1">
        <f t="array" ref="T130">_xlfn.IFS(L130&gt;5,"High",L130=5,"Medium",L130&lt;5,"Low")</f>
        <v>Low</v>
      </c>
      <c r="U130" s="2" t="str">
        <f t="shared" si="14"/>
        <v>Low</v>
      </c>
      <c r="V130" s="14" t="str">
        <f t="shared" si="15"/>
        <v>Normal Discount</v>
      </c>
      <c r="W130" s="16" t="str">
        <f t="shared" si="16"/>
        <v>Good</v>
      </c>
      <c r="X130" s="18" t="str" cm="1">
        <f t="array" ref="X130">_xlfn.IFS(O130&gt;7000,"Excellent",O130&gt;4000,"Good",O130&lt;4000,"Average")</f>
        <v>Good</v>
      </c>
      <c r="AD130" s="23" t="str">
        <f t="shared" si="17"/>
        <v>Not Eligible</v>
      </c>
      <c r="AE130" s="24" t="str">
        <f t="shared" si="18"/>
        <v>Online</v>
      </c>
      <c r="AF130" s="27" t="str">
        <f t="shared" si="19"/>
        <v>Normal Order</v>
      </c>
    </row>
    <row r="131" spans="1:32" x14ac:dyDescent="0.3">
      <c r="A131" s="2">
        <v>10130</v>
      </c>
      <c r="B131" s="2">
        <v>1156</v>
      </c>
      <c r="C131" s="3">
        <v>44929</v>
      </c>
      <c r="D131" s="3">
        <v>44938</v>
      </c>
      <c r="E131" s="2" t="s">
        <v>21</v>
      </c>
      <c r="F131" s="2" t="s">
        <v>47</v>
      </c>
      <c r="G131" s="2" t="s">
        <v>23</v>
      </c>
      <c r="H131" s="2" t="s">
        <v>48</v>
      </c>
      <c r="I131" s="2" t="s">
        <v>63</v>
      </c>
      <c r="J131" s="2" t="s">
        <v>68</v>
      </c>
      <c r="K131" s="2" t="s">
        <v>39</v>
      </c>
      <c r="L131" s="2">
        <v>1</v>
      </c>
      <c r="M131" s="2">
        <v>2534.4699999999998</v>
      </c>
      <c r="N131" s="2">
        <v>5</v>
      </c>
      <c r="O131" s="2">
        <v>2407.75</v>
      </c>
      <c r="P131" s="2">
        <f t="shared" ref="P131:P194" si="20">M131*L131</f>
        <v>2534.4699999999998</v>
      </c>
      <c r="Q131" s="2">
        <f t="shared" ref="Q131:Q194" si="21">P131*N131%</f>
        <v>126.7235</v>
      </c>
      <c r="R131" s="2">
        <f t="shared" ref="R131:R194" si="22">P131-Q131</f>
        <v>2407.7464999999997</v>
      </c>
      <c r="S131" s="2" t="str">
        <f t="shared" ref="S131:S194" si="23">IF(L131&gt;=5,"High","Low")</f>
        <v>Low</v>
      </c>
      <c r="T131" s="2" t="str" cm="1">
        <f t="array" ref="T131">_xlfn.IFS(L131&gt;5,"High",L131=5,"Medium",L131&lt;5,"Low")</f>
        <v>Low</v>
      </c>
      <c r="U131" s="2" t="str">
        <f t="shared" ref="U131:U194" si="24">IF(L131&gt;5,"High",IF(L131=5,"Medium","Low"))</f>
        <v>Low</v>
      </c>
      <c r="V131" s="14" t="str">
        <f t="shared" ref="V131:V194" si="25">IF(N131&gt;10,"Heavy Discount","Normal Discount")</f>
        <v>Normal Discount</v>
      </c>
      <c r="W131" s="16" t="str">
        <f t="shared" ref="W131:W194" si="26">IF(O131&gt;7000,"Excellent",IF(O131&gt;4000,"Good","Average"))</f>
        <v>Average</v>
      </c>
      <c r="X131" s="18" t="str" cm="1">
        <f t="array" ref="X131">_xlfn.IFS(O131&gt;7000,"Excellent",O131&gt;4000,"Good",O131&lt;4000,"Average")</f>
        <v>Average</v>
      </c>
      <c r="AD131" s="23" t="str">
        <f t="shared" ref="AD131:AD194" si="27">IF(AND(O131&gt;5000,N131&lt;10),"Eligible","Not Eligible")</f>
        <v>Not Eligible</v>
      </c>
      <c r="AE131" s="24" t="str">
        <f t="shared" ref="AE131:AE194" si="28">IF(G131&lt;&gt;"Marketplace","Online","Offline")</f>
        <v>Online</v>
      </c>
      <c r="AF131" s="27" t="str">
        <f t="shared" ref="AF131:AF194" si="29">IF(OR(O131&gt;7000,L131&gt;5),"Priority Order","Normal Order")</f>
        <v>Normal Order</v>
      </c>
    </row>
    <row r="132" spans="1:32" x14ac:dyDescent="0.3">
      <c r="A132" s="2">
        <v>10131</v>
      </c>
      <c r="B132" s="2">
        <v>1014</v>
      </c>
      <c r="C132" s="3">
        <v>45142</v>
      </c>
      <c r="D132" s="3">
        <v>45151</v>
      </c>
      <c r="E132" s="2" t="s">
        <v>40</v>
      </c>
      <c r="F132" s="2" t="s">
        <v>44</v>
      </c>
      <c r="G132" s="2" t="s">
        <v>30</v>
      </c>
      <c r="H132" s="2" t="s">
        <v>50</v>
      </c>
      <c r="I132" s="2" t="s">
        <v>37</v>
      </c>
      <c r="J132" s="2" t="s">
        <v>38</v>
      </c>
      <c r="K132" s="2" t="s">
        <v>27</v>
      </c>
      <c r="L132" s="2">
        <v>7</v>
      </c>
      <c r="M132" s="2">
        <v>1899.45</v>
      </c>
      <c r="N132" s="2">
        <v>15</v>
      </c>
      <c r="O132" s="2">
        <v>11301.73</v>
      </c>
      <c r="P132" s="2">
        <f t="shared" si="20"/>
        <v>13296.15</v>
      </c>
      <c r="Q132" s="2">
        <f t="shared" si="21"/>
        <v>1994.4224999999999</v>
      </c>
      <c r="R132" s="2">
        <f t="shared" si="22"/>
        <v>11301.727499999999</v>
      </c>
      <c r="S132" s="2" t="str">
        <f t="shared" si="23"/>
        <v>High</v>
      </c>
      <c r="T132" s="2" t="str" cm="1">
        <f t="array" ref="T132">_xlfn.IFS(L132&gt;5,"High",L132=5,"Medium",L132&lt;5,"Low")</f>
        <v>High</v>
      </c>
      <c r="U132" s="2" t="str">
        <f t="shared" si="24"/>
        <v>High</v>
      </c>
      <c r="V132" s="14" t="str">
        <f t="shared" si="25"/>
        <v>Heavy Discount</v>
      </c>
      <c r="W132" s="16" t="str">
        <f t="shared" si="26"/>
        <v>Excellent</v>
      </c>
      <c r="X132" s="18" t="str" cm="1">
        <f t="array" ref="X132">_xlfn.IFS(O132&gt;7000,"Excellent",O132&gt;4000,"Good",O132&lt;4000,"Average")</f>
        <v>Excellent</v>
      </c>
      <c r="AD132" s="23" t="str">
        <f t="shared" si="27"/>
        <v>Not Eligible</v>
      </c>
      <c r="AE132" s="24" t="str">
        <f t="shared" si="28"/>
        <v>Online</v>
      </c>
      <c r="AF132" s="27" t="str">
        <f t="shared" si="29"/>
        <v>Priority Order</v>
      </c>
    </row>
    <row r="133" spans="1:32" x14ac:dyDescent="0.3">
      <c r="A133" s="2">
        <v>10132</v>
      </c>
      <c r="B133" s="2">
        <v>1812</v>
      </c>
      <c r="C133" s="3">
        <v>45155</v>
      </c>
      <c r="D133" s="3">
        <v>45163</v>
      </c>
      <c r="E133" s="2" t="s">
        <v>40</v>
      </c>
      <c r="F133" s="2" t="s">
        <v>35</v>
      </c>
      <c r="G133" s="2" t="s">
        <v>30</v>
      </c>
      <c r="H133" s="2" t="s">
        <v>41</v>
      </c>
      <c r="I133" s="2" t="s">
        <v>63</v>
      </c>
      <c r="J133" s="2" t="s">
        <v>64</v>
      </c>
      <c r="K133" s="2" t="s">
        <v>53</v>
      </c>
      <c r="L133" s="2">
        <v>4</v>
      </c>
      <c r="M133" s="2">
        <v>3153.73</v>
      </c>
      <c r="N133" s="2">
        <v>0</v>
      </c>
      <c r="O133" s="2">
        <v>12614.92</v>
      </c>
      <c r="P133" s="2">
        <f t="shared" si="20"/>
        <v>12614.92</v>
      </c>
      <c r="Q133" s="2">
        <f t="shared" si="21"/>
        <v>0</v>
      </c>
      <c r="R133" s="2">
        <f t="shared" si="22"/>
        <v>12614.92</v>
      </c>
      <c r="S133" s="2" t="str">
        <f t="shared" si="23"/>
        <v>Low</v>
      </c>
      <c r="T133" s="2" t="str" cm="1">
        <f t="array" ref="T133">_xlfn.IFS(L133&gt;5,"High",L133=5,"Medium",L133&lt;5,"Low")</f>
        <v>Low</v>
      </c>
      <c r="U133" s="2" t="str">
        <f t="shared" si="24"/>
        <v>Low</v>
      </c>
      <c r="V133" s="14" t="str">
        <f t="shared" si="25"/>
        <v>Normal Discount</v>
      </c>
      <c r="W133" s="16" t="str">
        <f t="shared" si="26"/>
        <v>Excellent</v>
      </c>
      <c r="X133" s="18" t="str" cm="1">
        <f t="array" ref="X133">_xlfn.IFS(O133&gt;7000,"Excellent",O133&gt;4000,"Good",O133&lt;4000,"Average")</f>
        <v>Excellent</v>
      </c>
      <c r="AD133" s="23" t="str">
        <f t="shared" si="27"/>
        <v>Eligible</v>
      </c>
      <c r="AE133" s="24" t="str">
        <f t="shared" si="28"/>
        <v>Online</v>
      </c>
      <c r="AF133" s="27" t="str">
        <f t="shared" si="29"/>
        <v>Priority Order</v>
      </c>
    </row>
    <row r="134" spans="1:32" x14ac:dyDescent="0.3">
      <c r="A134" s="2">
        <v>10133</v>
      </c>
      <c r="B134" s="2">
        <v>1064</v>
      </c>
      <c r="C134" s="3">
        <v>45262</v>
      </c>
      <c r="D134" s="3">
        <v>45267</v>
      </c>
      <c r="E134" s="2" t="s">
        <v>46</v>
      </c>
      <c r="F134" s="2" t="s">
        <v>22</v>
      </c>
      <c r="G134" s="2" t="s">
        <v>23</v>
      </c>
      <c r="H134" s="2" t="s">
        <v>24</v>
      </c>
      <c r="I134" s="2" t="s">
        <v>37</v>
      </c>
      <c r="J134" s="2" t="s">
        <v>54</v>
      </c>
      <c r="K134" s="2" t="s">
        <v>34</v>
      </c>
      <c r="L134" s="2">
        <v>1</v>
      </c>
      <c r="M134" s="2">
        <v>3990.85</v>
      </c>
      <c r="N134" s="2">
        <v>0</v>
      </c>
      <c r="O134" s="2">
        <v>3990.85</v>
      </c>
      <c r="P134" s="2">
        <f t="shared" si="20"/>
        <v>3990.85</v>
      </c>
      <c r="Q134" s="2">
        <f t="shared" si="21"/>
        <v>0</v>
      </c>
      <c r="R134" s="2">
        <f t="shared" si="22"/>
        <v>3990.85</v>
      </c>
      <c r="S134" s="2" t="str">
        <f t="shared" si="23"/>
        <v>Low</v>
      </c>
      <c r="T134" s="2" t="str" cm="1">
        <f t="array" ref="T134">_xlfn.IFS(L134&gt;5,"High",L134=5,"Medium",L134&lt;5,"Low")</f>
        <v>Low</v>
      </c>
      <c r="U134" s="2" t="str">
        <f t="shared" si="24"/>
        <v>Low</v>
      </c>
      <c r="V134" s="14" t="str">
        <f t="shared" si="25"/>
        <v>Normal Discount</v>
      </c>
      <c r="W134" s="16" t="str">
        <f t="shared" si="26"/>
        <v>Average</v>
      </c>
      <c r="X134" s="18" t="str" cm="1">
        <f t="array" ref="X134">_xlfn.IFS(O134&gt;7000,"Excellent",O134&gt;4000,"Good",O134&lt;4000,"Average")</f>
        <v>Average</v>
      </c>
      <c r="AD134" s="23" t="str">
        <f t="shared" si="27"/>
        <v>Not Eligible</v>
      </c>
      <c r="AE134" s="24" t="str">
        <f t="shared" si="28"/>
        <v>Online</v>
      </c>
      <c r="AF134" s="27" t="str">
        <f t="shared" si="29"/>
        <v>Normal Order</v>
      </c>
    </row>
    <row r="135" spans="1:32" x14ac:dyDescent="0.3">
      <c r="A135" s="2">
        <v>10134</v>
      </c>
      <c r="B135" s="2">
        <v>1856</v>
      </c>
      <c r="C135" s="3">
        <v>45112</v>
      </c>
      <c r="D135" s="3">
        <v>45113</v>
      </c>
      <c r="E135" s="2" t="s">
        <v>52</v>
      </c>
      <c r="F135" s="2" t="s">
        <v>47</v>
      </c>
      <c r="G135" s="2" t="s">
        <v>23</v>
      </c>
      <c r="H135" s="2" t="s">
        <v>41</v>
      </c>
      <c r="I135" s="2" t="s">
        <v>37</v>
      </c>
      <c r="J135" s="2" t="s">
        <v>71</v>
      </c>
      <c r="K135" s="2" t="s">
        <v>39</v>
      </c>
      <c r="L135" s="2">
        <v>8</v>
      </c>
      <c r="M135" s="2">
        <v>885.86</v>
      </c>
      <c r="N135" s="2">
        <v>15</v>
      </c>
      <c r="O135" s="2">
        <v>6023.85</v>
      </c>
      <c r="P135" s="2">
        <f t="shared" si="20"/>
        <v>7086.88</v>
      </c>
      <c r="Q135" s="2">
        <f t="shared" si="21"/>
        <v>1063.0319999999999</v>
      </c>
      <c r="R135" s="2">
        <f t="shared" si="22"/>
        <v>6023.848</v>
      </c>
      <c r="S135" s="2" t="str">
        <f t="shared" si="23"/>
        <v>High</v>
      </c>
      <c r="T135" s="2" t="str" cm="1">
        <f t="array" ref="T135">_xlfn.IFS(L135&gt;5,"High",L135=5,"Medium",L135&lt;5,"Low")</f>
        <v>High</v>
      </c>
      <c r="U135" s="2" t="str">
        <f t="shared" si="24"/>
        <v>High</v>
      </c>
      <c r="V135" s="14" t="str">
        <f t="shared" si="25"/>
        <v>Heavy Discount</v>
      </c>
      <c r="W135" s="16" t="str">
        <f t="shared" si="26"/>
        <v>Good</v>
      </c>
      <c r="X135" s="18" t="str" cm="1">
        <f t="array" ref="X135">_xlfn.IFS(O135&gt;7000,"Excellent",O135&gt;4000,"Good",O135&lt;4000,"Average")</f>
        <v>Good</v>
      </c>
      <c r="AD135" s="23" t="str">
        <f t="shared" si="27"/>
        <v>Not Eligible</v>
      </c>
      <c r="AE135" s="24" t="str">
        <f t="shared" si="28"/>
        <v>Online</v>
      </c>
      <c r="AF135" s="27" t="str">
        <f t="shared" si="29"/>
        <v>Priority Order</v>
      </c>
    </row>
    <row r="136" spans="1:32" x14ac:dyDescent="0.3">
      <c r="A136" s="2">
        <v>10135</v>
      </c>
      <c r="B136" s="2">
        <v>1838</v>
      </c>
      <c r="C136" s="3">
        <v>44981</v>
      </c>
      <c r="D136" s="3">
        <v>44990</v>
      </c>
      <c r="E136" s="2" t="s">
        <v>46</v>
      </c>
      <c r="F136" s="2" t="s">
        <v>22</v>
      </c>
      <c r="G136" s="2" t="s">
        <v>23</v>
      </c>
      <c r="H136" s="2" t="s">
        <v>31</v>
      </c>
      <c r="I136" s="2" t="s">
        <v>25</v>
      </c>
      <c r="J136" s="2" t="s">
        <v>49</v>
      </c>
      <c r="K136" s="2" t="s">
        <v>53</v>
      </c>
      <c r="L136" s="2">
        <v>6</v>
      </c>
      <c r="M136" s="2">
        <v>1919.66</v>
      </c>
      <c r="N136" s="2">
        <v>5</v>
      </c>
      <c r="O136" s="2">
        <v>10942.06</v>
      </c>
      <c r="P136" s="2">
        <f t="shared" si="20"/>
        <v>11517.960000000001</v>
      </c>
      <c r="Q136" s="2">
        <f t="shared" si="21"/>
        <v>575.89800000000002</v>
      </c>
      <c r="R136" s="2">
        <f t="shared" si="22"/>
        <v>10942.062000000002</v>
      </c>
      <c r="S136" s="2" t="str">
        <f t="shared" si="23"/>
        <v>High</v>
      </c>
      <c r="T136" s="2" t="str" cm="1">
        <f t="array" ref="T136">_xlfn.IFS(L136&gt;5,"High",L136=5,"Medium",L136&lt;5,"Low")</f>
        <v>High</v>
      </c>
      <c r="U136" s="2" t="str">
        <f t="shared" si="24"/>
        <v>High</v>
      </c>
      <c r="V136" s="14" t="str">
        <f t="shared" si="25"/>
        <v>Normal Discount</v>
      </c>
      <c r="W136" s="16" t="str">
        <f t="shared" si="26"/>
        <v>Excellent</v>
      </c>
      <c r="X136" s="18" t="str" cm="1">
        <f t="array" ref="X136">_xlfn.IFS(O136&gt;7000,"Excellent",O136&gt;4000,"Good",O136&lt;4000,"Average")</f>
        <v>Excellent</v>
      </c>
      <c r="AD136" s="23" t="str">
        <f t="shared" si="27"/>
        <v>Eligible</v>
      </c>
      <c r="AE136" s="24" t="str">
        <f t="shared" si="28"/>
        <v>Online</v>
      </c>
      <c r="AF136" s="27" t="str">
        <f t="shared" si="29"/>
        <v>Priority Order</v>
      </c>
    </row>
    <row r="137" spans="1:32" x14ac:dyDescent="0.3">
      <c r="A137" s="2">
        <v>10136</v>
      </c>
      <c r="B137" s="2">
        <v>1520</v>
      </c>
      <c r="C137" s="3">
        <v>45180</v>
      </c>
      <c r="D137" s="3">
        <v>45181</v>
      </c>
      <c r="E137" s="2" t="s">
        <v>52</v>
      </c>
      <c r="F137" s="2" t="s">
        <v>29</v>
      </c>
      <c r="G137" s="2" t="s">
        <v>23</v>
      </c>
      <c r="H137" s="2" t="s">
        <v>31</v>
      </c>
      <c r="I137" s="2" t="s">
        <v>37</v>
      </c>
      <c r="J137" s="2" t="s">
        <v>45</v>
      </c>
      <c r="K137" s="2" t="s">
        <v>39</v>
      </c>
      <c r="L137" s="2">
        <v>6</v>
      </c>
      <c r="M137" s="2">
        <v>1809.29</v>
      </c>
      <c r="N137" s="2">
        <v>0</v>
      </c>
      <c r="O137" s="2">
        <v>10855.74</v>
      </c>
      <c r="P137" s="2">
        <f t="shared" si="20"/>
        <v>10855.74</v>
      </c>
      <c r="Q137" s="2">
        <f t="shared" si="21"/>
        <v>0</v>
      </c>
      <c r="R137" s="2">
        <f t="shared" si="22"/>
        <v>10855.74</v>
      </c>
      <c r="S137" s="2" t="str">
        <f t="shared" si="23"/>
        <v>High</v>
      </c>
      <c r="T137" s="2" t="str" cm="1">
        <f t="array" ref="T137">_xlfn.IFS(L137&gt;5,"High",L137=5,"Medium",L137&lt;5,"Low")</f>
        <v>High</v>
      </c>
      <c r="U137" s="2" t="str">
        <f t="shared" si="24"/>
        <v>High</v>
      </c>
      <c r="V137" s="14" t="str">
        <f t="shared" si="25"/>
        <v>Normal Discount</v>
      </c>
      <c r="W137" s="16" t="str">
        <f t="shared" si="26"/>
        <v>Excellent</v>
      </c>
      <c r="X137" s="18" t="str" cm="1">
        <f t="array" ref="X137">_xlfn.IFS(O137&gt;7000,"Excellent",O137&gt;4000,"Good",O137&lt;4000,"Average")</f>
        <v>Excellent</v>
      </c>
      <c r="AD137" s="23" t="str">
        <f t="shared" si="27"/>
        <v>Eligible</v>
      </c>
      <c r="AE137" s="24" t="str">
        <f t="shared" si="28"/>
        <v>Online</v>
      </c>
      <c r="AF137" s="27" t="str">
        <f t="shared" si="29"/>
        <v>Priority Order</v>
      </c>
    </row>
    <row r="138" spans="1:32" x14ac:dyDescent="0.3">
      <c r="A138" s="2">
        <v>10137</v>
      </c>
      <c r="B138" s="2">
        <v>1343</v>
      </c>
      <c r="C138" s="3">
        <v>44950</v>
      </c>
      <c r="D138" s="3">
        <v>44958</v>
      </c>
      <c r="E138" s="2" t="s">
        <v>28</v>
      </c>
      <c r="F138" s="2" t="s">
        <v>47</v>
      </c>
      <c r="G138" s="2" t="s">
        <v>30</v>
      </c>
      <c r="H138" s="2" t="s">
        <v>48</v>
      </c>
      <c r="I138" s="2" t="s">
        <v>55</v>
      </c>
      <c r="J138" s="2" t="s">
        <v>56</v>
      </c>
      <c r="K138" s="2" t="s">
        <v>51</v>
      </c>
      <c r="L138" s="2">
        <v>2</v>
      </c>
      <c r="M138" s="2">
        <v>1322.3</v>
      </c>
      <c r="N138" s="2">
        <v>15</v>
      </c>
      <c r="O138" s="2">
        <v>2247.91</v>
      </c>
      <c r="P138" s="2">
        <f t="shared" si="20"/>
        <v>2644.6</v>
      </c>
      <c r="Q138" s="2">
        <f t="shared" si="21"/>
        <v>396.69</v>
      </c>
      <c r="R138" s="2">
        <f t="shared" si="22"/>
        <v>2247.91</v>
      </c>
      <c r="S138" s="2" t="str">
        <f t="shared" si="23"/>
        <v>Low</v>
      </c>
      <c r="T138" s="2" t="str" cm="1">
        <f t="array" ref="T138">_xlfn.IFS(L138&gt;5,"High",L138=5,"Medium",L138&lt;5,"Low")</f>
        <v>Low</v>
      </c>
      <c r="U138" s="2" t="str">
        <f t="shared" si="24"/>
        <v>Low</v>
      </c>
      <c r="V138" s="14" t="str">
        <f t="shared" si="25"/>
        <v>Heavy Discount</v>
      </c>
      <c r="W138" s="16" t="str">
        <f t="shared" si="26"/>
        <v>Average</v>
      </c>
      <c r="X138" s="18" t="str" cm="1">
        <f t="array" ref="X138">_xlfn.IFS(O138&gt;7000,"Excellent",O138&gt;4000,"Good",O138&lt;4000,"Average")</f>
        <v>Average</v>
      </c>
      <c r="AD138" s="23" t="str">
        <f t="shared" si="27"/>
        <v>Not Eligible</v>
      </c>
      <c r="AE138" s="24" t="str">
        <f t="shared" si="28"/>
        <v>Online</v>
      </c>
      <c r="AF138" s="27" t="str">
        <f t="shared" si="29"/>
        <v>Normal Order</v>
      </c>
    </row>
    <row r="139" spans="1:32" x14ac:dyDescent="0.3">
      <c r="A139" s="2">
        <v>10138</v>
      </c>
      <c r="B139" s="2">
        <v>1128</v>
      </c>
      <c r="C139" s="3">
        <v>45088</v>
      </c>
      <c r="D139" s="3">
        <v>45093</v>
      </c>
      <c r="E139" s="2" t="s">
        <v>28</v>
      </c>
      <c r="F139" s="2" t="s">
        <v>35</v>
      </c>
      <c r="G139" s="2" t="s">
        <v>23</v>
      </c>
      <c r="H139" s="2" t="s">
        <v>41</v>
      </c>
      <c r="I139" s="2" t="s">
        <v>58</v>
      </c>
      <c r="J139" s="2" t="s">
        <v>59</v>
      </c>
      <c r="K139" s="2" t="s">
        <v>27</v>
      </c>
      <c r="L139" s="2">
        <v>1</v>
      </c>
      <c r="M139" s="2">
        <v>912.67</v>
      </c>
      <c r="N139" s="2">
        <v>0</v>
      </c>
      <c r="O139" s="2">
        <v>912.67</v>
      </c>
      <c r="P139" s="2">
        <f t="shared" si="20"/>
        <v>912.67</v>
      </c>
      <c r="Q139" s="2">
        <f t="shared" si="21"/>
        <v>0</v>
      </c>
      <c r="R139" s="2">
        <f t="shared" si="22"/>
        <v>912.67</v>
      </c>
      <c r="S139" s="2" t="str">
        <f t="shared" si="23"/>
        <v>Low</v>
      </c>
      <c r="T139" s="2" t="str" cm="1">
        <f t="array" ref="T139">_xlfn.IFS(L139&gt;5,"High",L139=5,"Medium",L139&lt;5,"Low")</f>
        <v>Low</v>
      </c>
      <c r="U139" s="2" t="str">
        <f t="shared" si="24"/>
        <v>Low</v>
      </c>
      <c r="V139" s="14" t="str">
        <f t="shared" si="25"/>
        <v>Normal Discount</v>
      </c>
      <c r="W139" s="16" t="str">
        <f t="shared" si="26"/>
        <v>Average</v>
      </c>
      <c r="X139" s="18" t="str" cm="1">
        <f t="array" ref="X139">_xlfn.IFS(O139&gt;7000,"Excellent",O139&gt;4000,"Good",O139&lt;4000,"Average")</f>
        <v>Average</v>
      </c>
      <c r="AD139" s="23" t="str">
        <f t="shared" si="27"/>
        <v>Not Eligible</v>
      </c>
      <c r="AE139" s="24" t="str">
        <f t="shared" si="28"/>
        <v>Online</v>
      </c>
      <c r="AF139" s="27" t="str">
        <f t="shared" si="29"/>
        <v>Normal Order</v>
      </c>
    </row>
    <row r="140" spans="1:32" x14ac:dyDescent="0.3">
      <c r="A140" s="2">
        <v>10139</v>
      </c>
      <c r="B140" s="2">
        <v>1647</v>
      </c>
      <c r="C140" s="3">
        <v>45084</v>
      </c>
      <c r="D140" s="3">
        <v>45087</v>
      </c>
      <c r="E140" s="2" t="s">
        <v>52</v>
      </c>
      <c r="F140" s="2" t="s">
        <v>29</v>
      </c>
      <c r="G140" s="2" t="s">
        <v>23</v>
      </c>
      <c r="H140" s="2" t="s">
        <v>48</v>
      </c>
      <c r="I140" s="2" t="s">
        <v>58</v>
      </c>
      <c r="J140" s="2" t="s">
        <v>59</v>
      </c>
      <c r="K140" s="2" t="s">
        <v>51</v>
      </c>
      <c r="L140" s="2">
        <v>2</v>
      </c>
      <c r="M140" s="2">
        <v>402.91</v>
      </c>
      <c r="N140" s="2">
        <v>10</v>
      </c>
      <c r="O140" s="2">
        <v>725.24</v>
      </c>
      <c r="P140" s="2">
        <f t="shared" si="20"/>
        <v>805.82</v>
      </c>
      <c r="Q140" s="2">
        <f t="shared" si="21"/>
        <v>80.582000000000008</v>
      </c>
      <c r="R140" s="2">
        <f t="shared" si="22"/>
        <v>725.23800000000006</v>
      </c>
      <c r="S140" s="2" t="str">
        <f t="shared" si="23"/>
        <v>Low</v>
      </c>
      <c r="T140" s="2" t="str" cm="1">
        <f t="array" ref="T140">_xlfn.IFS(L140&gt;5,"High",L140=5,"Medium",L140&lt;5,"Low")</f>
        <v>Low</v>
      </c>
      <c r="U140" s="2" t="str">
        <f t="shared" si="24"/>
        <v>Low</v>
      </c>
      <c r="V140" s="14" t="str">
        <f t="shared" si="25"/>
        <v>Normal Discount</v>
      </c>
      <c r="W140" s="16" t="str">
        <f t="shared" si="26"/>
        <v>Average</v>
      </c>
      <c r="X140" s="18" t="str" cm="1">
        <f t="array" ref="X140">_xlfn.IFS(O140&gt;7000,"Excellent",O140&gt;4000,"Good",O140&lt;4000,"Average")</f>
        <v>Average</v>
      </c>
      <c r="AD140" s="23" t="str">
        <f t="shared" si="27"/>
        <v>Not Eligible</v>
      </c>
      <c r="AE140" s="24" t="str">
        <f t="shared" si="28"/>
        <v>Online</v>
      </c>
      <c r="AF140" s="27" t="str">
        <f t="shared" si="29"/>
        <v>Normal Order</v>
      </c>
    </row>
    <row r="141" spans="1:32" x14ac:dyDescent="0.3">
      <c r="A141" s="2">
        <v>10140</v>
      </c>
      <c r="B141" s="2">
        <v>1471</v>
      </c>
      <c r="C141" s="3">
        <v>45008</v>
      </c>
      <c r="D141" s="3">
        <v>45015</v>
      </c>
      <c r="E141" s="2" t="s">
        <v>22</v>
      </c>
      <c r="F141" s="2" t="s">
        <v>60</v>
      </c>
      <c r="G141" s="2" t="s">
        <v>36</v>
      </c>
      <c r="H141" s="2" t="s">
        <v>48</v>
      </c>
      <c r="I141" s="2" t="s">
        <v>63</v>
      </c>
      <c r="J141" s="2" t="s">
        <v>65</v>
      </c>
      <c r="K141" s="2" t="s">
        <v>53</v>
      </c>
      <c r="L141" s="2">
        <v>4</v>
      </c>
      <c r="M141" s="2">
        <v>3565.41</v>
      </c>
      <c r="N141" s="2">
        <v>20</v>
      </c>
      <c r="O141" s="2">
        <v>11409.31</v>
      </c>
      <c r="P141" s="2">
        <f t="shared" si="20"/>
        <v>14261.64</v>
      </c>
      <c r="Q141" s="2">
        <f t="shared" si="21"/>
        <v>2852.328</v>
      </c>
      <c r="R141" s="2">
        <f t="shared" si="22"/>
        <v>11409.312</v>
      </c>
      <c r="S141" s="2" t="str">
        <f t="shared" si="23"/>
        <v>Low</v>
      </c>
      <c r="T141" s="2" t="str" cm="1">
        <f t="array" ref="T141">_xlfn.IFS(L141&gt;5,"High",L141=5,"Medium",L141&lt;5,"Low")</f>
        <v>Low</v>
      </c>
      <c r="U141" s="2" t="str">
        <f t="shared" si="24"/>
        <v>Low</v>
      </c>
      <c r="V141" s="14" t="str">
        <f t="shared" si="25"/>
        <v>Heavy Discount</v>
      </c>
      <c r="W141" s="16" t="str">
        <f t="shared" si="26"/>
        <v>Excellent</v>
      </c>
      <c r="X141" s="18" t="str" cm="1">
        <f t="array" ref="X141">_xlfn.IFS(O141&gt;7000,"Excellent",O141&gt;4000,"Good",O141&lt;4000,"Average")</f>
        <v>Excellent</v>
      </c>
      <c r="AD141" s="23" t="str">
        <f t="shared" si="27"/>
        <v>Not Eligible</v>
      </c>
      <c r="AE141" s="24" t="str">
        <f t="shared" si="28"/>
        <v>Offline</v>
      </c>
      <c r="AF141" s="27" t="str">
        <f t="shared" si="29"/>
        <v>Priority Order</v>
      </c>
    </row>
    <row r="142" spans="1:32" x14ac:dyDescent="0.3">
      <c r="A142" s="2">
        <v>10141</v>
      </c>
      <c r="B142" s="2">
        <v>1062</v>
      </c>
      <c r="C142" s="3">
        <v>45085</v>
      </c>
      <c r="D142" s="3">
        <v>45092</v>
      </c>
      <c r="E142" s="2" t="s">
        <v>43</v>
      </c>
      <c r="F142" s="2" t="s">
        <v>35</v>
      </c>
      <c r="G142" s="2" t="s">
        <v>23</v>
      </c>
      <c r="H142" s="2" t="s">
        <v>31</v>
      </c>
      <c r="I142" s="2" t="s">
        <v>37</v>
      </c>
      <c r="J142" s="2" t="s">
        <v>45</v>
      </c>
      <c r="K142" s="2" t="s">
        <v>34</v>
      </c>
      <c r="L142" s="2">
        <v>2</v>
      </c>
      <c r="M142" s="2">
        <v>1766.42</v>
      </c>
      <c r="N142" s="2">
        <v>10</v>
      </c>
      <c r="O142" s="2">
        <v>3179.56</v>
      </c>
      <c r="P142" s="2">
        <f t="shared" si="20"/>
        <v>3532.84</v>
      </c>
      <c r="Q142" s="2">
        <f t="shared" si="21"/>
        <v>353.28400000000005</v>
      </c>
      <c r="R142" s="2">
        <f t="shared" si="22"/>
        <v>3179.556</v>
      </c>
      <c r="S142" s="2" t="str">
        <f t="shared" si="23"/>
        <v>Low</v>
      </c>
      <c r="T142" s="2" t="str" cm="1">
        <f t="array" ref="T142">_xlfn.IFS(L142&gt;5,"High",L142=5,"Medium",L142&lt;5,"Low")</f>
        <v>Low</v>
      </c>
      <c r="U142" s="2" t="str">
        <f t="shared" si="24"/>
        <v>Low</v>
      </c>
      <c r="V142" s="14" t="str">
        <f t="shared" si="25"/>
        <v>Normal Discount</v>
      </c>
      <c r="W142" s="16" t="str">
        <f t="shared" si="26"/>
        <v>Average</v>
      </c>
      <c r="X142" s="18" t="str" cm="1">
        <f t="array" ref="X142">_xlfn.IFS(O142&gt;7000,"Excellent",O142&gt;4000,"Good",O142&lt;4000,"Average")</f>
        <v>Average</v>
      </c>
      <c r="AD142" s="23" t="str">
        <f t="shared" si="27"/>
        <v>Not Eligible</v>
      </c>
      <c r="AE142" s="24" t="str">
        <f t="shared" si="28"/>
        <v>Online</v>
      </c>
      <c r="AF142" s="27" t="str">
        <f t="shared" si="29"/>
        <v>Normal Order</v>
      </c>
    </row>
    <row r="143" spans="1:32" x14ac:dyDescent="0.3">
      <c r="A143" s="2">
        <v>10142</v>
      </c>
      <c r="B143" s="2">
        <v>1138</v>
      </c>
      <c r="C143" s="3">
        <v>45114</v>
      </c>
      <c r="D143" s="3">
        <v>45123</v>
      </c>
      <c r="E143" s="2" t="s">
        <v>22</v>
      </c>
      <c r="F143" s="2" t="s">
        <v>44</v>
      </c>
      <c r="G143" s="2" t="s">
        <v>23</v>
      </c>
      <c r="H143" s="2" t="s">
        <v>48</v>
      </c>
      <c r="I143" s="2" t="s">
        <v>55</v>
      </c>
      <c r="J143" s="2" t="s">
        <v>57</v>
      </c>
      <c r="K143" s="2" t="s">
        <v>39</v>
      </c>
      <c r="L143" s="2">
        <v>1</v>
      </c>
      <c r="M143" s="2">
        <v>2063.0500000000002</v>
      </c>
      <c r="N143" s="2">
        <v>0</v>
      </c>
      <c r="O143" s="2">
        <v>2063.0500000000002</v>
      </c>
      <c r="P143" s="2">
        <f t="shared" si="20"/>
        <v>2063.0500000000002</v>
      </c>
      <c r="Q143" s="2">
        <f t="shared" si="21"/>
        <v>0</v>
      </c>
      <c r="R143" s="2">
        <f t="shared" si="22"/>
        <v>2063.0500000000002</v>
      </c>
      <c r="S143" s="2" t="str">
        <f t="shared" si="23"/>
        <v>Low</v>
      </c>
      <c r="T143" s="2" t="str" cm="1">
        <f t="array" ref="T143">_xlfn.IFS(L143&gt;5,"High",L143=5,"Medium",L143&lt;5,"Low")</f>
        <v>Low</v>
      </c>
      <c r="U143" s="2" t="str">
        <f t="shared" si="24"/>
        <v>Low</v>
      </c>
      <c r="V143" s="14" t="str">
        <f t="shared" si="25"/>
        <v>Normal Discount</v>
      </c>
      <c r="W143" s="16" t="str">
        <f t="shared" si="26"/>
        <v>Average</v>
      </c>
      <c r="X143" s="18" t="str" cm="1">
        <f t="array" ref="X143">_xlfn.IFS(O143&gt;7000,"Excellent",O143&gt;4000,"Good",O143&lt;4000,"Average")</f>
        <v>Average</v>
      </c>
      <c r="AD143" s="23" t="str">
        <f t="shared" si="27"/>
        <v>Not Eligible</v>
      </c>
      <c r="AE143" s="24" t="str">
        <f t="shared" si="28"/>
        <v>Online</v>
      </c>
      <c r="AF143" s="27" t="str">
        <f t="shared" si="29"/>
        <v>Normal Order</v>
      </c>
    </row>
    <row r="144" spans="1:32" x14ac:dyDescent="0.3">
      <c r="A144" s="2">
        <v>10143</v>
      </c>
      <c r="B144" s="2">
        <v>1498</v>
      </c>
      <c r="C144" s="3">
        <v>44986</v>
      </c>
      <c r="D144" s="3">
        <v>44993</v>
      </c>
      <c r="E144" s="2" t="s">
        <v>43</v>
      </c>
      <c r="F144" s="2" t="s">
        <v>60</v>
      </c>
      <c r="G144" s="2" t="s">
        <v>36</v>
      </c>
      <c r="H144" s="2" t="s">
        <v>31</v>
      </c>
      <c r="I144" s="2" t="s">
        <v>63</v>
      </c>
      <c r="J144" s="2" t="s">
        <v>64</v>
      </c>
      <c r="K144" s="2" t="s">
        <v>27</v>
      </c>
      <c r="L144" s="2">
        <v>7</v>
      </c>
      <c r="M144" s="2">
        <v>3680.23</v>
      </c>
      <c r="N144" s="2">
        <v>5</v>
      </c>
      <c r="O144" s="2">
        <v>24473.53</v>
      </c>
      <c r="P144" s="2">
        <f t="shared" si="20"/>
        <v>25761.61</v>
      </c>
      <c r="Q144" s="2">
        <f t="shared" si="21"/>
        <v>1288.0805</v>
      </c>
      <c r="R144" s="2">
        <f t="shared" si="22"/>
        <v>24473.529500000001</v>
      </c>
      <c r="S144" s="2" t="str">
        <f t="shared" si="23"/>
        <v>High</v>
      </c>
      <c r="T144" s="2" t="str" cm="1">
        <f t="array" ref="T144">_xlfn.IFS(L144&gt;5,"High",L144=5,"Medium",L144&lt;5,"Low")</f>
        <v>High</v>
      </c>
      <c r="U144" s="2" t="str">
        <f t="shared" si="24"/>
        <v>High</v>
      </c>
      <c r="V144" s="14" t="str">
        <f t="shared" si="25"/>
        <v>Normal Discount</v>
      </c>
      <c r="W144" s="16" t="str">
        <f t="shared" si="26"/>
        <v>Excellent</v>
      </c>
      <c r="X144" s="18" t="str" cm="1">
        <f t="array" ref="X144">_xlfn.IFS(O144&gt;7000,"Excellent",O144&gt;4000,"Good",O144&lt;4000,"Average")</f>
        <v>Excellent</v>
      </c>
      <c r="AD144" s="23" t="str">
        <f t="shared" si="27"/>
        <v>Eligible</v>
      </c>
      <c r="AE144" s="24" t="str">
        <f t="shared" si="28"/>
        <v>Offline</v>
      </c>
      <c r="AF144" s="27" t="str">
        <f t="shared" si="29"/>
        <v>Priority Order</v>
      </c>
    </row>
    <row r="145" spans="1:32" x14ac:dyDescent="0.3">
      <c r="A145" s="2">
        <v>10144</v>
      </c>
      <c r="B145" s="2">
        <v>1592</v>
      </c>
      <c r="C145" s="3">
        <v>45231</v>
      </c>
      <c r="D145" s="3">
        <v>45234</v>
      </c>
      <c r="E145" s="2" t="s">
        <v>46</v>
      </c>
      <c r="F145" s="2" t="s">
        <v>60</v>
      </c>
      <c r="G145" s="2" t="s">
        <v>36</v>
      </c>
      <c r="H145" s="2" t="s">
        <v>24</v>
      </c>
      <c r="I145" s="2" t="s">
        <v>25</v>
      </c>
      <c r="J145" s="2" t="s">
        <v>61</v>
      </c>
      <c r="K145" s="2" t="s">
        <v>39</v>
      </c>
      <c r="L145" s="2">
        <v>8</v>
      </c>
      <c r="M145" s="2">
        <v>3138.72</v>
      </c>
      <c r="N145" s="2">
        <v>20</v>
      </c>
      <c r="O145" s="2">
        <v>20087.810000000001</v>
      </c>
      <c r="P145" s="2">
        <f t="shared" si="20"/>
        <v>25109.759999999998</v>
      </c>
      <c r="Q145" s="2">
        <f t="shared" si="21"/>
        <v>5021.9520000000002</v>
      </c>
      <c r="R145" s="2">
        <f t="shared" si="22"/>
        <v>20087.807999999997</v>
      </c>
      <c r="S145" s="2" t="str">
        <f t="shared" si="23"/>
        <v>High</v>
      </c>
      <c r="T145" s="2" t="str" cm="1">
        <f t="array" ref="T145">_xlfn.IFS(L145&gt;5,"High",L145=5,"Medium",L145&lt;5,"Low")</f>
        <v>High</v>
      </c>
      <c r="U145" s="2" t="str">
        <f t="shared" si="24"/>
        <v>High</v>
      </c>
      <c r="V145" s="14" t="str">
        <f t="shared" si="25"/>
        <v>Heavy Discount</v>
      </c>
      <c r="W145" s="16" t="str">
        <f t="shared" si="26"/>
        <v>Excellent</v>
      </c>
      <c r="X145" s="18" t="str" cm="1">
        <f t="array" ref="X145">_xlfn.IFS(O145&gt;7000,"Excellent",O145&gt;4000,"Good",O145&lt;4000,"Average")</f>
        <v>Excellent</v>
      </c>
      <c r="AD145" s="23" t="str">
        <f t="shared" si="27"/>
        <v>Not Eligible</v>
      </c>
      <c r="AE145" s="24" t="str">
        <f t="shared" si="28"/>
        <v>Offline</v>
      </c>
      <c r="AF145" s="27" t="str">
        <f t="shared" si="29"/>
        <v>Priority Order</v>
      </c>
    </row>
    <row r="146" spans="1:32" x14ac:dyDescent="0.3">
      <c r="A146" s="2">
        <v>10145</v>
      </c>
      <c r="B146" s="2">
        <v>1391</v>
      </c>
      <c r="C146" s="3">
        <v>45245</v>
      </c>
      <c r="D146" s="3">
        <v>45246</v>
      </c>
      <c r="E146" s="2" t="s">
        <v>43</v>
      </c>
      <c r="F146" s="2" t="s">
        <v>44</v>
      </c>
      <c r="G146" s="2" t="s">
        <v>30</v>
      </c>
      <c r="H146" s="2" t="s">
        <v>41</v>
      </c>
      <c r="I146" s="2" t="s">
        <v>63</v>
      </c>
      <c r="J146" s="2" t="s">
        <v>65</v>
      </c>
      <c r="K146" s="2" t="s">
        <v>53</v>
      </c>
      <c r="L146" s="2">
        <v>6</v>
      </c>
      <c r="M146" s="2">
        <v>652.42999999999995</v>
      </c>
      <c r="N146" s="2">
        <v>10</v>
      </c>
      <c r="O146" s="2">
        <v>3523.12</v>
      </c>
      <c r="P146" s="2">
        <f t="shared" si="20"/>
        <v>3914.58</v>
      </c>
      <c r="Q146" s="2">
        <f t="shared" si="21"/>
        <v>391.45800000000003</v>
      </c>
      <c r="R146" s="2">
        <f t="shared" si="22"/>
        <v>3523.1219999999998</v>
      </c>
      <c r="S146" s="2" t="str">
        <f t="shared" si="23"/>
        <v>High</v>
      </c>
      <c r="T146" s="2" t="str" cm="1">
        <f t="array" ref="T146">_xlfn.IFS(L146&gt;5,"High",L146=5,"Medium",L146&lt;5,"Low")</f>
        <v>High</v>
      </c>
      <c r="U146" s="2" t="str">
        <f t="shared" si="24"/>
        <v>High</v>
      </c>
      <c r="V146" s="14" t="str">
        <f t="shared" si="25"/>
        <v>Normal Discount</v>
      </c>
      <c r="W146" s="16" t="str">
        <f t="shared" si="26"/>
        <v>Average</v>
      </c>
      <c r="X146" s="18" t="str" cm="1">
        <f t="array" ref="X146">_xlfn.IFS(O146&gt;7000,"Excellent",O146&gt;4000,"Good",O146&lt;4000,"Average")</f>
        <v>Average</v>
      </c>
      <c r="AD146" s="23" t="str">
        <f t="shared" si="27"/>
        <v>Not Eligible</v>
      </c>
      <c r="AE146" s="24" t="str">
        <f t="shared" si="28"/>
        <v>Online</v>
      </c>
      <c r="AF146" s="27" t="str">
        <f t="shared" si="29"/>
        <v>Priority Order</v>
      </c>
    </row>
    <row r="147" spans="1:32" x14ac:dyDescent="0.3">
      <c r="A147" s="2">
        <v>10146</v>
      </c>
      <c r="B147" s="2">
        <v>1674</v>
      </c>
      <c r="C147" s="3">
        <v>45137</v>
      </c>
      <c r="D147" s="3">
        <v>45145</v>
      </c>
      <c r="E147" s="2" t="s">
        <v>46</v>
      </c>
      <c r="F147" s="2" t="s">
        <v>47</v>
      </c>
      <c r="G147" s="2" t="s">
        <v>36</v>
      </c>
      <c r="H147" s="2" t="s">
        <v>48</v>
      </c>
      <c r="I147" s="2" t="s">
        <v>63</v>
      </c>
      <c r="J147" s="2" t="s">
        <v>68</v>
      </c>
      <c r="K147" s="2" t="s">
        <v>39</v>
      </c>
      <c r="L147" s="2">
        <v>4</v>
      </c>
      <c r="M147" s="2">
        <v>2326.87</v>
      </c>
      <c r="N147" s="2">
        <v>15</v>
      </c>
      <c r="O147" s="2">
        <v>7911.36</v>
      </c>
      <c r="P147" s="2">
        <f t="shared" si="20"/>
        <v>9307.48</v>
      </c>
      <c r="Q147" s="2">
        <f t="shared" si="21"/>
        <v>1396.1219999999998</v>
      </c>
      <c r="R147" s="2">
        <f t="shared" si="22"/>
        <v>7911.3580000000002</v>
      </c>
      <c r="S147" s="2" t="str">
        <f t="shared" si="23"/>
        <v>Low</v>
      </c>
      <c r="T147" s="2" t="str" cm="1">
        <f t="array" ref="T147">_xlfn.IFS(L147&gt;5,"High",L147=5,"Medium",L147&lt;5,"Low")</f>
        <v>Low</v>
      </c>
      <c r="U147" s="2" t="str">
        <f t="shared" si="24"/>
        <v>Low</v>
      </c>
      <c r="V147" s="14" t="str">
        <f t="shared" si="25"/>
        <v>Heavy Discount</v>
      </c>
      <c r="W147" s="16" t="str">
        <f t="shared" si="26"/>
        <v>Excellent</v>
      </c>
      <c r="X147" s="18" t="str" cm="1">
        <f t="array" ref="X147">_xlfn.IFS(O147&gt;7000,"Excellent",O147&gt;4000,"Good",O147&lt;4000,"Average")</f>
        <v>Excellent</v>
      </c>
      <c r="AD147" s="23" t="str">
        <f t="shared" si="27"/>
        <v>Not Eligible</v>
      </c>
      <c r="AE147" s="24" t="str">
        <f t="shared" si="28"/>
        <v>Offline</v>
      </c>
      <c r="AF147" s="27" t="str">
        <f t="shared" si="29"/>
        <v>Priority Order</v>
      </c>
    </row>
    <row r="148" spans="1:32" x14ac:dyDescent="0.3">
      <c r="A148" s="2">
        <v>10147</v>
      </c>
      <c r="B148" s="2">
        <v>1418</v>
      </c>
      <c r="C148" s="3">
        <v>45078</v>
      </c>
      <c r="D148" s="3">
        <v>45081</v>
      </c>
      <c r="E148" s="2" t="s">
        <v>28</v>
      </c>
      <c r="F148" s="2" t="s">
        <v>60</v>
      </c>
      <c r="G148" s="2" t="s">
        <v>30</v>
      </c>
      <c r="H148" s="2" t="s">
        <v>31</v>
      </c>
      <c r="I148" s="2" t="s">
        <v>37</v>
      </c>
      <c r="J148" s="2" t="s">
        <v>54</v>
      </c>
      <c r="K148" s="2" t="s">
        <v>27</v>
      </c>
      <c r="L148" s="2">
        <v>6</v>
      </c>
      <c r="M148" s="2">
        <v>1852.67</v>
      </c>
      <c r="N148" s="2">
        <v>5</v>
      </c>
      <c r="O148" s="2">
        <v>10560.22</v>
      </c>
      <c r="P148" s="2">
        <f t="shared" si="20"/>
        <v>11116.02</v>
      </c>
      <c r="Q148" s="2">
        <f t="shared" si="21"/>
        <v>555.80100000000004</v>
      </c>
      <c r="R148" s="2">
        <f t="shared" si="22"/>
        <v>10560.219000000001</v>
      </c>
      <c r="S148" s="2" t="str">
        <f t="shared" si="23"/>
        <v>High</v>
      </c>
      <c r="T148" s="2" t="str" cm="1">
        <f t="array" ref="T148">_xlfn.IFS(L148&gt;5,"High",L148=5,"Medium",L148&lt;5,"Low")</f>
        <v>High</v>
      </c>
      <c r="U148" s="2" t="str">
        <f t="shared" si="24"/>
        <v>High</v>
      </c>
      <c r="V148" s="14" t="str">
        <f t="shared" si="25"/>
        <v>Normal Discount</v>
      </c>
      <c r="W148" s="16" t="str">
        <f t="shared" si="26"/>
        <v>Excellent</v>
      </c>
      <c r="X148" s="18" t="str" cm="1">
        <f t="array" ref="X148">_xlfn.IFS(O148&gt;7000,"Excellent",O148&gt;4000,"Good",O148&lt;4000,"Average")</f>
        <v>Excellent</v>
      </c>
      <c r="AD148" s="23" t="str">
        <f t="shared" si="27"/>
        <v>Eligible</v>
      </c>
      <c r="AE148" s="24" t="str">
        <f t="shared" si="28"/>
        <v>Online</v>
      </c>
      <c r="AF148" s="27" t="str">
        <f t="shared" si="29"/>
        <v>Priority Order</v>
      </c>
    </row>
    <row r="149" spans="1:32" x14ac:dyDescent="0.3">
      <c r="A149" s="2">
        <v>10148</v>
      </c>
      <c r="B149" s="2">
        <v>1288</v>
      </c>
      <c r="C149" s="3">
        <v>45035</v>
      </c>
      <c r="D149" s="3">
        <v>45043</v>
      </c>
      <c r="E149" s="2" t="s">
        <v>40</v>
      </c>
      <c r="F149" s="2" t="s">
        <v>35</v>
      </c>
      <c r="G149" s="2" t="s">
        <v>36</v>
      </c>
      <c r="H149" s="2" t="s">
        <v>50</v>
      </c>
      <c r="I149" s="2" t="s">
        <v>25</v>
      </c>
      <c r="J149" s="2" t="s">
        <v>26</v>
      </c>
      <c r="K149" s="2" t="s">
        <v>53</v>
      </c>
      <c r="L149" s="2">
        <v>3</v>
      </c>
      <c r="M149" s="2">
        <v>3219.26</v>
      </c>
      <c r="N149" s="2">
        <v>10</v>
      </c>
      <c r="O149" s="2">
        <v>8692</v>
      </c>
      <c r="P149" s="2">
        <f t="shared" si="20"/>
        <v>9657.7800000000007</v>
      </c>
      <c r="Q149" s="2">
        <f t="shared" si="21"/>
        <v>965.77800000000013</v>
      </c>
      <c r="R149" s="2">
        <f t="shared" si="22"/>
        <v>8692.0020000000004</v>
      </c>
      <c r="S149" s="2" t="str">
        <f t="shared" si="23"/>
        <v>Low</v>
      </c>
      <c r="T149" s="2" t="str" cm="1">
        <f t="array" ref="T149">_xlfn.IFS(L149&gt;5,"High",L149=5,"Medium",L149&lt;5,"Low")</f>
        <v>Low</v>
      </c>
      <c r="U149" s="2" t="str">
        <f t="shared" si="24"/>
        <v>Low</v>
      </c>
      <c r="V149" s="14" t="str">
        <f t="shared" si="25"/>
        <v>Normal Discount</v>
      </c>
      <c r="W149" s="16" t="str">
        <f t="shared" si="26"/>
        <v>Excellent</v>
      </c>
      <c r="X149" s="18" t="str" cm="1">
        <f t="array" ref="X149">_xlfn.IFS(O149&gt;7000,"Excellent",O149&gt;4000,"Good",O149&lt;4000,"Average")</f>
        <v>Excellent</v>
      </c>
      <c r="AD149" s="23" t="str">
        <f t="shared" si="27"/>
        <v>Not Eligible</v>
      </c>
      <c r="AE149" s="24" t="str">
        <f t="shared" si="28"/>
        <v>Offline</v>
      </c>
      <c r="AF149" s="27" t="str">
        <f t="shared" si="29"/>
        <v>Priority Order</v>
      </c>
    </row>
    <row r="150" spans="1:32" x14ac:dyDescent="0.3">
      <c r="A150" s="2">
        <v>10149</v>
      </c>
      <c r="B150" s="2">
        <v>1378</v>
      </c>
      <c r="C150" s="3">
        <v>45002</v>
      </c>
      <c r="D150" s="3">
        <v>45010</v>
      </c>
      <c r="E150" s="2" t="s">
        <v>28</v>
      </c>
      <c r="F150" s="2" t="s">
        <v>29</v>
      </c>
      <c r="G150" s="2" t="s">
        <v>36</v>
      </c>
      <c r="H150" s="2" t="s">
        <v>48</v>
      </c>
      <c r="I150" s="2" t="s">
        <v>63</v>
      </c>
      <c r="J150" s="2" t="s">
        <v>68</v>
      </c>
      <c r="K150" s="2" t="s">
        <v>39</v>
      </c>
      <c r="L150" s="2">
        <v>8</v>
      </c>
      <c r="M150" s="2">
        <v>2938.3</v>
      </c>
      <c r="N150" s="2">
        <v>15</v>
      </c>
      <c r="O150" s="2">
        <v>19980.439999999999</v>
      </c>
      <c r="P150" s="2">
        <f t="shared" si="20"/>
        <v>23506.400000000001</v>
      </c>
      <c r="Q150" s="2">
        <f t="shared" si="21"/>
        <v>3525.96</v>
      </c>
      <c r="R150" s="2">
        <f t="shared" si="22"/>
        <v>19980.440000000002</v>
      </c>
      <c r="S150" s="2" t="str">
        <f t="shared" si="23"/>
        <v>High</v>
      </c>
      <c r="T150" s="2" t="str" cm="1">
        <f t="array" ref="T150">_xlfn.IFS(L150&gt;5,"High",L150=5,"Medium",L150&lt;5,"Low")</f>
        <v>High</v>
      </c>
      <c r="U150" s="2" t="str">
        <f t="shared" si="24"/>
        <v>High</v>
      </c>
      <c r="V150" s="14" t="str">
        <f t="shared" si="25"/>
        <v>Heavy Discount</v>
      </c>
      <c r="W150" s="16" t="str">
        <f t="shared" si="26"/>
        <v>Excellent</v>
      </c>
      <c r="X150" s="18" t="str" cm="1">
        <f t="array" ref="X150">_xlfn.IFS(O150&gt;7000,"Excellent",O150&gt;4000,"Good",O150&lt;4000,"Average")</f>
        <v>Excellent</v>
      </c>
      <c r="AD150" s="23" t="str">
        <f t="shared" si="27"/>
        <v>Not Eligible</v>
      </c>
      <c r="AE150" s="24" t="str">
        <f t="shared" si="28"/>
        <v>Offline</v>
      </c>
      <c r="AF150" s="27" t="str">
        <f t="shared" si="29"/>
        <v>Priority Order</v>
      </c>
    </row>
    <row r="151" spans="1:32" x14ac:dyDescent="0.3">
      <c r="A151" s="2">
        <v>10150</v>
      </c>
      <c r="B151" s="2">
        <v>1772</v>
      </c>
      <c r="C151" s="3">
        <v>44956</v>
      </c>
      <c r="D151" s="3">
        <v>44961</v>
      </c>
      <c r="E151" s="2" t="s">
        <v>28</v>
      </c>
      <c r="F151" s="2" t="s">
        <v>60</v>
      </c>
      <c r="G151" s="2" t="s">
        <v>30</v>
      </c>
      <c r="H151" s="2" t="s">
        <v>24</v>
      </c>
      <c r="I151" s="2" t="s">
        <v>55</v>
      </c>
      <c r="J151" s="2" t="s">
        <v>57</v>
      </c>
      <c r="K151" s="2" t="s">
        <v>34</v>
      </c>
      <c r="L151" s="2">
        <v>2</v>
      </c>
      <c r="M151" s="2">
        <v>2808.06</v>
      </c>
      <c r="N151" s="2">
        <v>0</v>
      </c>
      <c r="O151" s="2">
        <v>5616.12</v>
      </c>
      <c r="P151" s="2">
        <f t="shared" si="20"/>
        <v>5616.12</v>
      </c>
      <c r="Q151" s="2">
        <f t="shared" si="21"/>
        <v>0</v>
      </c>
      <c r="R151" s="2">
        <f t="shared" si="22"/>
        <v>5616.12</v>
      </c>
      <c r="S151" s="2" t="str">
        <f t="shared" si="23"/>
        <v>Low</v>
      </c>
      <c r="T151" s="2" t="str" cm="1">
        <f t="array" ref="T151">_xlfn.IFS(L151&gt;5,"High",L151=5,"Medium",L151&lt;5,"Low")</f>
        <v>Low</v>
      </c>
      <c r="U151" s="2" t="str">
        <f t="shared" si="24"/>
        <v>Low</v>
      </c>
      <c r="V151" s="14" t="str">
        <f t="shared" si="25"/>
        <v>Normal Discount</v>
      </c>
      <c r="W151" s="16" t="str">
        <f t="shared" si="26"/>
        <v>Good</v>
      </c>
      <c r="X151" s="18" t="str" cm="1">
        <f t="array" ref="X151">_xlfn.IFS(O151&gt;7000,"Excellent",O151&gt;4000,"Good",O151&lt;4000,"Average")</f>
        <v>Good</v>
      </c>
      <c r="AD151" s="23" t="str">
        <f t="shared" si="27"/>
        <v>Eligible</v>
      </c>
      <c r="AE151" s="24" t="str">
        <f t="shared" si="28"/>
        <v>Online</v>
      </c>
      <c r="AF151" s="27" t="str">
        <f t="shared" si="29"/>
        <v>Normal Order</v>
      </c>
    </row>
    <row r="152" spans="1:32" x14ac:dyDescent="0.3">
      <c r="A152" s="2">
        <v>10151</v>
      </c>
      <c r="B152" s="2">
        <v>1489</v>
      </c>
      <c r="C152" s="3">
        <v>45240</v>
      </c>
      <c r="D152" s="3">
        <v>45241</v>
      </c>
      <c r="E152" s="2" t="s">
        <v>40</v>
      </c>
      <c r="F152" s="2" t="s">
        <v>35</v>
      </c>
      <c r="G152" s="2" t="s">
        <v>36</v>
      </c>
      <c r="H152" s="2" t="s">
        <v>24</v>
      </c>
      <c r="I152" s="2" t="s">
        <v>55</v>
      </c>
      <c r="J152" s="2" t="s">
        <v>69</v>
      </c>
      <c r="K152" s="2" t="s">
        <v>53</v>
      </c>
      <c r="L152" s="2">
        <v>5</v>
      </c>
      <c r="M152" s="2">
        <v>1461.1</v>
      </c>
      <c r="N152" s="2">
        <v>15</v>
      </c>
      <c r="O152" s="2">
        <v>6209.68</v>
      </c>
      <c r="P152" s="2">
        <f t="shared" si="20"/>
        <v>7305.5</v>
      </c>
      <c r="Q152" s="2">
        <f t="shared" si="21"/>
        <v>1095.825</v>
      </c>
      <c r="R152" s="2">
        <f t="shared" si="22"/>
        <v>6209.6750000000002</v>
      </c>
      <c r="S152" s="2" t="str">
        <f t="shared" si="23"/>
        <v>High</v>
      </c>
      <c r="T152" s="2" t="str" cm="1">
        <f t="array" ref="T152">_xlfn.IFS(L152&gt;5,"High",L152=5,"Medium",L152&lt;5,"Low")</f>
        <v>Medium</v>
      </c>
      <c r="U152" s="2" t="str">
        <f t="shared" si="24"/>
        <v>Medium</v>
      </c>
      <c r="V152" s="14" t="str">
        <f t="shared" si="25"/>
        <v>Heavy Discount</v>
      </c>
      <c r="W152" s="16" t="str">
        <f t="shared" si="26"/>
        <v>Good</v>
      </c>
      <c r="X152" s="18" t="str" cm="1">
        <f t="array" ref="X152">_xlfn.IFS(O152&gt;7000,"Excellent",O152&gt;4000,"Good",O152&lt;4000,"Average")</f>
        <v>Good</v>
      </c>
      <c r="AD152" s="23" t="str">
        <f t="shared" si="27"/>
        <v>Not Eligible</v>
      </c>
      <c r="AE152" s="24" t="str">
        <f t="shared" si="28"/>
        <v>Offline</v>
      </c>
      <c r="AF152" s="27" t="str">
        <f t="shared" si="29"/>
        <v>Normal Order</v>
      </c>
    </row>
    <row r="153" spans="1:32" x14ac:dyDescent="0.3">
      <c r="A153" s="2">
        <v>10152</v>
      </c>
      <c r="B153" s="2">
        <v>1230</v>
      </c>
      <c r="C153" s="3">
        <v>45043</v>
      </c>
      <c r="D153" s="3">
        <v>45050</v>
      </c>
      <c r="E153" s="2" t="s">
        <v>43</v>
      </c>
      <c r="F153" s="2" t="s">
        <v>22</v>
      </c>
      <c r="G153" s="2" t="s">
        <v>30</v>
      </c>
      <c r="H153" s="2" t="s">
        <v>50</v>
      </c>
      <c r="I153" s="2" t="s">
        <v>58</v>
      </c>
      <c r="J153" s="2" t="s">
        <v>62</v>
      </c>
      <c r="K153" s="2" t="s">
        <v>53</v>
      </c>
      <c r="L153" s="2">
        <v>1</v>
      </c>
      <c r="M153" s="2">
        <v>3249.11</v>
      </c>
      <c r="N153" s="2">
        <v>10</v>
      </c>
      <c r="O153" s="2">
        <v>2924.2</v>
      </c>
      <c r="P153" s="2">
        <f t="shared" si="20"/>
        <v>3249.11</v>
      </c>
      <c r="Q153" s="2">
        <f t="shared" si="21"/>
        <v>324.91100000000006</v>
      </c>
      <c r="R153" s="2">
        <f t="shared" si="22"/>
        <v>2924.1990000000001</v>
      </c>
      <c r="S153" s="2" t="str">
        <f t="shared" si="23"/>
        <v>Low</v>
      </c>
      <c r="T153" s="2" t="str" cm="1">
        <f t="array" ref="T153">_xlfn.IFS(L153&gt;5,"High",L153=5,"Medium",L153&lt;5,"Low")</f>
        <v>Low</v>
      </c>
      <c r="U153" s="2" t="str">
        <f t="shared" si="24"/>
        <v>Low</v>
      </c>
      <c r="V153" s="14" t="str">
        <f t="shared" si="25"/>
        <v>Normal Discount</v>
      </c>
      <c r="W153" s="16" t="str">
        <f t="shared" si="26"/>
        <v>Average</v>
      </c>
      <c r="X153" s="18" t="str" cm="1">
        <f t="array" ref="X153">_xlfn.IFS(O153&gt;7000,"Excellent",O153&gt;4000,"Good",O153&lt;4000,"Average")</f>
        <v>Average</v>
      </c>
      <c r="AD153" s="23" t="str">
        <f t="shared" si="27"/>
        <v>Not Eligible</v>
      </c>
      <c r="AE153" s="24" t="str">
        <f t="shared" si="28"/>
        <v>Online</v>
      </c>
      <c r="AF153" s="27" t="str">
        <f t="shared" si="29"/>
        <v>Normal Order</v>
      </c>
    </row>
    <row r="154" spans="1:32" x14ac:dyDescent="0.3">
      <c r="A154" s="2">
        <v>10153</v>
      </c>
      <c r="B154" s="2">
        <v>1040</v>
      </c>
      <c r="C154" s="3">
        <v>45282</v>
      </c>
      <c r="D154" s="3">
        <v>45287</v>
      </c>
      <c r="E154" s="2" t="s">
        <v>43</v>
      </c>
      <c r="F154" s="2" t="s">
        <v>35</v>
      </c>
      <c r="G154" s="2" t="s">
        <v>36</v>
      </c>
      <c r="H154" s="2" t="s">
        <v>31</v>
      </c>
      <c r="I154" s="2" t="s">
        <v>25</v>
      </c>
      <c r="J154" s="2" t="s">
        <v>72</v>
      </c>
      <c r="K154" s="2" t="s">
        <v>34</v>
      </c>
      <c r="L154" s="2">
        <v>6</v>
      </c>
      <c r="M154" s="2">
        <v>351.71</v>
      </c>
      <c r="N154" s="2">
        <v>10</v>
      </c>
      <c r="O154" s="2">
        <v>1899.23</v>
      </c>
      <c r="P154" s="2">
        <f t="shared" si="20"/>
        <v>2110.2599999999998</v>
      </c>
      <c r="Q154" s="2">
        <f t="shared" si="21"/>
        <v>211.02599999999998</v>
      </c>
      <c r="R154" s="2">
        <f t="shared" si="22"/>
        <v>1899.2339999999997</v>
      </c>
      <c r="S154" s="2" t="str">
        <f t="shared" si="23"/>
        <v>High</v>
      </c>
      <c r="T154" s="2" t="str" cm="1">
        <f t="array" ref="T154">_xlfn.IFS(L154&gt;5,"High",L154=5,"Medium",L154&lt;5,"Low")</f>
        <v>High</v>
      </c>
      <c r="U154" s="2" t="str">
        <f t="shared" si="24"/>
        <v>High</v>
      </c>
      <c r="V154" s="14" t="str">
        <f t="shared" si="25"/>
        <v>Normal Discount</v>
      </c>
      <c r="W154" s="16" t="str">
        <f t="shared" si="26"/>
        <v>Average</v>
      </c>
      <c r="X154" s="18" t="str" cm="1">
        <f t="array" ref="X154">_xlfn.IFS(O154&gt;7000,"Excellent",O154&gt;4000,"Good",O154&lt;4000,"Average")</f>
        <v>Average</v>
      </c>
      <c r="AD154" s="23" t="str">
        <f t="shared" si="27"/>
        <v>Not Eligible</v>
      </c>
      <c r="AE154" s="24" t="str">
        <f t="shared" si="28"/>
        <v>Offline</v>
      </c>
      <c r="AF154" s="27" t="str">
        <f t="shared" si="29"/>
        <v>Priority Order</v>
      </c>
    </row>
    <row r="155" spans="1:32" x14ac:dyDescent="0.3">
      <c r="A155" s="2">
        <v>10154</v>
      </c>
      <c r="B155" s="2">
        <v>1027</v>
      </c>
      <c r="C155" s="3">
        <v>45118</v>
      </c>
      <c r="D155" s="3">
        <v>45126</v>
      </c>
      <c r="E155" s="2" t="s">
        <v>46</v>
      </c>
      <c r="F155" s="2" t="s">
        <v>29</v>
      </c>
      <c r="G155" s="2" t="s">
        <v>23</v>
      </c>
      <c r="H155" s="2" t="s">
        <v>48</v>
      </c>
      <c r="I155" s="2" t="s">
        <v>25</v>
      </c>
      <c r="J155" s="2" t="s">
        <v>49</v>
      </c>
      <c r="K155" s="2" t="s">
        <v>51</v>
      </c>
      <c r="L155" s="2">
        <v>2</v>
      </c>
      <c r="M155" s="2">
        <v>764.56</v>
      </c>
      <c r="N155" s="2">
        <v>0</v>
      </c>
      <c r="O155" s="2">
        <v>1529.12</v>
      </c>
      <c r="P155" s="2">
        <f t="shared" si="20"/>
        <v>1529.12</v>
      </c>
      <c r="Q155" s="2">
        <f t="shared" si="21"/>
        <v>0</v>
      </c>
      <c r="R155" s="2">
        <f t="shared" si="22"/>
        <v>1529.12</v>
      </c>
      <c r="S155" s="2" t="str">
        <f t="shared" si="23"/>
        <v>Low</v>
      </c>
      <c r="T155" s="2" t="str" cm="1">
        <f t="array" ref="T155">_xlfn.IFS(L155&gt;5,"High",L155=5,"Medium",L155&lt;5,"Low")</f>
        <v>Low</v>
      </c>
      <c r="U155" s="2" t="str">
        <f t="shared" si="24"/>
        <v>Low</v>
      </c>
      <c r="V155" s="14" t="str">
        <f t="shared" si="25"/>
        <v>Normal Discount</v>
      </c>
      <c r="W155" s="16" t="str">
        <f t="shared" si="26"/>
        <v>Average</v>
      </c>
      <c r="X155" s="18" t="str" cm="1">
        <f t="array" ref="X155">_xlfn.IFS(O155&gt;7000,"Excellent",O155&gt;4000,"Good",O155&lt;4000,"Average")</f>
        <v>Average</v>
      </c>
      <c r="AD155" s="23" t="str">
        <f t="shared" si="27"/>
        <v>Not Eligible</v>
      </c>
      <c r="AE155" s="24" t="str">
        <f t="shared" si="28"/>
        <v>Online</v>
      </c>
      <c r="AF155" s="27" t="str">
        <f t="shared" si="29"/>
        <v>Normal Order</v>
      </c>
    </row>
    <row r="156" spans="1:32" x14ac:dyDescent="0.3">
      <c r="A156" s="2">
        <v>10155</v>
      </c>
      <c r="B156" s="2">
        <v>1134</v>
      </c>
      <c r="C156" s="3">
        <v>44945</v>
      </c>
      <c r="D156" s="3">
        <v>44954</v>
      </c>
      <c r="E156" s="2" t="s">
        <v>22</v>
      </c>
      <c r="F156" s="2" t="s">
        <v>35</v>
      </c>
      <c r="G156" s="2" t="s">
        <v>36</v>
      </c>
      <c r="H156" s="2" t="s">
        <v>31</v>
      </c>
      <c r="I156" s="2" t="s">
        <v>58</v>
      </c>
      <c r="J156" s="2" t="s">
        <v>62</v>
      </c>
      <c r="K156" s="2" t="s">
        <v>27</v>
      </c>
      <c r="L156" s="2">
        <v>4</v>
      </c>
      <c r="M156" s="2">
        <v>1442.15</v>
      </c>
      <c r="N156" s="2">
        <v>15</v>
      </c>
      <c r="O156" s="2">
        <v>4903.3100000000004</v>
      </c>
      <c r="P156" s="2">
        <f t="shared" si="20"/>
        <v>5768.6</v>
      </c>
      <c r="Q156" s="2">
        <f t="shared" si="21"/>
        <v>865.29000000000008</v>
      </c>
      <c r="R156" s="2">
        <f t="shared" si="22"/>
        <v>4903.3100000000004</v>
      </c>
      <c r="S156" s="2" t="str">
        <f t="shared" si="23"/>
        <v>Low</v>
      </c>
      <c r="T156" s="2" t="str" cm="1">
        <f t="array" ref="T156">_xlfn.IFS(L156&gt;5,"High",L156=5,"Medium",L156&lt;5,"Low")</f>
        <v>Low</v>
      </c>
      <c r="U156" s="2" t="str">
        <f t="shared" si="24"/>
        <v>Low</v>
      </c>
      <c r="V156" s="14" t="str">
        <f t="shared" si="25"/>
        <v>Heavy Discount</v>
      </c>
      <c r="W156" s="16" t="str">
        <f t="shared" si="26"/>
        <v>Good</v>
      </c>
      <c r="X156" s="18" t="str" cm="1">
        <f t="array" ref="X156">_xlfn.IFS(O156&gt;7000,"Excellent",O156&gt;4000,"Good",O156&lt;4000,"Average")</f>
        <v>Good</v>
      </c>
      <c r="AD156" s="23" t="str">
        <f t="shared" si="27"/>
        <v>Not Eligible</v>
      </c>
      <c r="AE156" s="24" t="str">
        <f t="shared" si="28"/>
        <v>Offline</v>
      </c>
      <c r="AF156" s="27" t="str">
        <f t="shared" si="29"/>
        <v>Normal Order</v>
      </c>
    </row>
    <row r="157" spans="1:32" x14ac:dyDescent="0.3">
      <c r="A157" s="2">
        <v>10156</v>
      </c>
      <c r="B157" s="2">
        <v>1200</v>
      </c>
      <c r="C157" s="3">
        <v>45099</v>
      </c>
      <c r="D157" s="3">
        <v>45106</v>
      </c>
      <c r="E157" s="2" t="s">
        <v>46</v>
      </c>
      <c r="F157" s="2" t="s">
        <v>44</v>
      </c>
      <c r="G157" s="2" t="s">
        <v>30</v>
      </c>
      <c r="H157" s="2" t="s">
        <v>24</v>
      </c>
      <c r="I157" s="2" t="s">
        <v>63</v>
      </c>
      <c r="J157" s="2" t="s">
        <v>65</v>
      </c>
      <c r="K157" s="2" t="s">
        <v>51</v>
      </c>
      <c r="L157" s="2">
        <v>6</v>
      </c>
      <c r="M157" s="2">
        <v>445.71</v>
      </c>
      <c r="N157" s="2">
        <v>15</v>
      </c>
      <c r="O157" s="2">
        <v>2273.12</v>
      </c>
      <c r="P157" s="2">
        <f t="shared" si="20"/>
        <v>2674.2599999999998</v>
      </c>
      <c r="Q157" s="2">
        <f t="shared" si="21"/>
        <v>401.13899999999995</v>
      </c>
      <c r="R157" s="2">
        <f t="shared" si="22"/>
        <v>2273.1209999999996</v>
      </c>
      <c r="S157" s="2" t="str">
        <f t="shared" si="23"/>
        <v>High</v>
      </c>
      <c r="T157" s="2" t="str" cm="1">
        <f t="array" ref="T157">_xlfn.IFS(L157&gt;5,"High",L157=5,"Medium",L157&lt;5,"Low")</f>
        <v>High</v>
      </c>
      <c r="U157" s="2" t="str">
        <f t="shared" si="24"/>
        <v>High</v>
      </c>
      <c r="V157" s="14" t="str">
        <f t="shared" si="25"/>
        <v>Heavy Discount</v>
      </c>
      <c r="W157" s="16" t="str">
        <f t="shared" si="26"/>
        <v>Average</v>
      </c>
      <c r="X157" s="18" t="str" cm="1">
        <f t="array" ref="X157">_xlfn.IFS(O157&gt;7000,"Excellent",O157&gt;4000,"Good",O157&lt;4000,"Average")</f>
        <v>Average</v>
      </c>
      <c r="AD157" s="23" t="str">
        <f t="shared" si="27"/>
        <v>Not Eligible</v>
      </c>
      <c r="AE157" s="24" t="str">
        <f t="shared" si="28"/>
        <v>Online</v>
      </c>
      <c r="AF157" s="27" t="str">
        <f t="shared" si="29"/>
        <v>Priority Order</v>
      </c>
    </row>
    <row r="158" spans="1:32" x14ac:dyDescent="0.3">
      <c r="A158" s="2">
        <v>10157</v>
      </c>
      <c r="B158" s="2">
        <v>1839</v>
      </c>
      <c r="C158" s="3">
        <v>45154</v>
      </c>
      <c r="D158" s="3">
        <v>45161</v>
      </c>
      <c r="E158" s="2" t="s">
        <v>22</v>
      </c>
      <c r="F158" s="2" t="s">
        <v>29</v>
      </c>
      <c r="G158" s="2" t="s">
        <v>36</v>
      </c>
      <c r="H158" s="2" t="s">
        <v>31</v>
      </c>
      <c r="I158" s="2" t="s">
        <v>25</v>
      </c>
      <c r="J158" s="2" t="s">
        <v>26</v>
      </c>
      <c r="K158" s="2" t="s">
        <v>39</v>
      </c>
      <c r="L158" s="2">
        <v>8</v>
      </c>
      <c r="M158" s="2">
        <v>1054.73</v>
      </c>
      <c r="N158" s="2">
        <v>0</v>
      </c>
      <c r="O158" s="2">
        <v>8437.84</v>
      </c>
      <c r="P158" s="2">
        <f t="shared" si="20"/>
        <v>8437.84</v>
      </c>
      <c r="Q158" s="2">
        <f t="shared" si="21"/>
        <v>0</v>
      </c>
      <c r="R158" s="2">
        <f t="shared" si="22"/>
        <v>8437.84</v>
      </c>
      <c r="S158" s="2" t="str">
        <f t="shared" si="23"/>
        <v>High</v>
      </c>
      <c r="T158" s="2" t="str" cm="1">
        <f t="array" ref="T158">_xlfn.IFS(L158&gt;5,"High",L158=5,"Medium",L158&lt;5,"Low")</f>
        <v>High</v>
      </c>
      <c r="U158" s="2" t="str">
        <f t="shared" si="24"/>
        <v>High</v>
      </c>
      <c r="V158" s="14" t="str">
        <f t="shared" si="25"/>
        <v>Normal Discount</v>
      </c>
      <c r="W158" s="16" t="str">
        <f t="shared" si="26"/>
        <v>Excellent</v>
      </c>
      <c r="X158" s="18" t="str" cm="1">
        <f t="array" ref="X158">_xlfn.IFS(O158&gt;7000,"Excellent",O158&gt;4000,"Good",O158&lt;4000,"Average")</f>
        <v>Excellent</v>
      </c>
      <c r="AD158" s="23" t="str">
        <f t="shared" si="27"/>
        <v>Eligible</v>
      </c>
      <c r="AE158" s="24" t="str">
        <f t="shared" si="28"/>
        <v>Offline</v>
      </c>
      <c r="AF158" s="27" t="str">
        <f t="shared" si="29"/>
        <v>Priority Order</v>
      </c>
    </row>
    <row r="159" spans="1:32" x14ac:dyDescent="0.3">
      <c r="A159" s="2">
        <v>10158</v>
      </c>
      <c r="B159" s="2">
        <v>1779</v>
      </c>
      <c r="C159" s="3">
        <v>45276</v>
      </c>
      <c r="D159" s="3">
        <v>45277</v>
      </c>
      <c r="E159" s="2" t="s">
        <v>28</v>
      </c>
      <c r="F159" s="2" t="s">
        <v>47</v>
      </c>
      <c r="G159" s="2" t="s">
        <v>30</v>
      </c>
      <c r="H159" s="2" t="s">
        <v>24</v>
      </c>
      <c r="I159" s="2" t="s">
        <v>55</v>
      </c>
      <c r="J159" s="2" t="s">
        <v>69</v>
      </c>
      <c r="K159" s="2" t="s">
        <v>34</v>
      </c>
      <c r="L159" s="2">
        <v>8</v>
      </c>
      <c r="M159" s="2">
        <v>3346.08</v>
      </c>
      <c r="N159" s="2">
        <v>15</v>
      </c>
      <c r="O159" s="2">
        <v>22753.34</v>
      </c>
      <c r="P159" s="2">
        <f t="shared" si="20"/>
        <v>26768.639999999999</v>
      </c>
      <c r="Q159" s="2">
        <f t="shared" si="21"/>
        <v>4015.2959999999998</v>
      </c>
      <c r="R159" s="2">
        <f t="shared" si="22"/>
        <v>22753.344000000001</v>
      </c>
      <c r="S159" s="2" t="str">
        <f t="shared" si="23"/>
        <v>High</v>
      </c>
      <c r="T159" s="2" t="str" cm="1">
        <f t="array" ref="T159">_xlfn.IFS(L159&gt;5,"High",L159=5,"Medium",L159&lt;5,"Low")</f>
        <v>High</v>
      </c>
      <c r="U159" s="2" t="str">
        <f t="shared" si="24"/>
        <v>High</v>
      </c>
      <c r="V159" s="14" t="str">
        <f t="shared" si="25"/>
        <v>Heavy Discount</v>
      </c>
      <c r="W159" s="16" t="str">
        <f t="shared" si="26"/>
        <v>Excellent</v>
      </c>
      <c r="X159" s="18" t="str" cm="1">
        <f t="array" ref="X159">_xlfn.IFS(O159&gt;7000,"Excellent",O159&gt;4000,"Good",O159&lt;4000,"Average")</f>
        <v>Excellent</v>
      </c>
      <c r="AD159" s="23" t="str">
        <f t="shared" si="27"/>
        <v>Not Eligible</v>
      </c>
      <c r="AE159" s="24" t="str">
        <f t="shared" si="28"/>
        <v>Online</v>
      </c>
      <c r="AF159" s="27" t="str">
        <f t="shared" si="29"/>
        <v>Priority Order</v>
      </c>
    </row>
    <row r="160" spans="1:32" x14ac:dyDescent="0.3">
      <c r="A160" s="2">
        <v>10159</v>
      </c>
      <c r="B160" s="2">
        <v>1929</v>
      </c>
      <c r="C160" s="3">
        <v>45109</v>
      </c>
      <c r="D160" s="3">
        <v>45113</v>
      </c>
      <c r="E160" s="2" t="s">
        <v>40</v>
      </c>
      <c r="F160" s="2" t="s">
        <v>22</v>
      </c>
      <c r="G160" s="2" t="s">
        <v>30</v>
      </c>
      <c r="H160" s="2" t="s">
        <v>31</v>
      </c>
      <c r="I160" s="2" t="s">
        <v>55</v>
      </c>
      <c r="J160" s="2" t="s">
        <v>74</v>
      </c>
      <c r="K160" s="2" t="s">
        <v>51</v>
      </c>
      <c r="L160" s="2">
        <v>6</v>
      </c>
      <c r="M160" s="2">
        <v>3800.77</v>
      </c>
      <c r="N160" s="2">
        <v>0</v>
      </c>
      <c r="O160" s="2">
        <v>22804.62</v>
      </c>
      <c r="P160" s="2">
        <f t="shared" si="20"/>
        <v>22804.62</v>
      </c>
      <c r="Q160" s="2">
        <f t="shared" si="21"/>
        <v>0</v>
      </c>
      <c r="R160" s="2">
        <f t="shared" si="22"/>
        <v>22804.62</v>
      </c>
      <c r="S160" s="2" t="str">
        <f t="shared" si="23"/>
        <v>High</v>
      </c>
      <c r="T160" s="2" t="str" cm="1">
        <f t="array" ref="T160">_xlfn.IFS(L160&gt;5,"High",L160=5,"Medium",L160&lt;5,"Low")</f>
        <v>High</v>
      </c>
      <c r="U160" s="2" t="str">
        <f t="shared" si="24"/>
        <v>High</v>
      </c>
      <c r="V160" s="14" t="str">
        <f t="shared" si="25"/>
        <v>Normal Discount</v>
      </c>
      <c r="W160" s="16" t="str">
        <f t="shared" si="26"/>
        <v>Excellent</v>
      </c>
      <c r="X160" s="18" t="str" cm="1">
        <f t="array" ref="X160">_xlfn.IFS(O160&gt;7000,"Excellent",O160&gt;4000,"Good",O160&lt;4000,"Average")</f>
        <v>Excellent</v>
      </c>
      <c r="AD160" s="23" t="str">
        <f t="shared" si="27"/>
        <v>Eligible</v>
      </c>
      <c r="AE160" s="24" t="str">
        <f t="shared" si="28"/>
        <v>Online</v>
      </c>
      <c r="AF160" s="27" t="str">
        <f t="shared" si="29"/>
        <v>Priority Order</v>
      </c>
    </row>
    <row r="161" spans="1:32" x14ac:dyDescent="0.3">
      <c r="A161" s="2">
        <v>10160</v>
      </c>
      <c r="B161" s="2">
        <v>1032</v>
      </c>
      <c r="C161" s="3">
        <v>45039</v>
      </c>
      <c r="D161" s="3">
        <v>45041</v>
      </c>
      <c r="E161" s="2" t="s">
        <v>28</v>
      </c>
      <c r="F161" s="2" t="s">
        <v>44</v>
      </c>
      <c r="G161" s="2" t="s">
        <v>23</v>
      </c>
      <c r="H161" s="2" t="s">
        <v>50</v>
      </c>
      <c r="I161" s="2" t="s">
        <v>37</v>
      </c>
      <c r="J161" s="2" t="s">
        <v>54</v>
      </c>
      <c r="K161" s="2" t="s">
        <v>53</v>
      </c>
      <c r="L161" s="2">
        <v>4</v>
      </c>
      <c r="M161" s="2">
        <v>1322.72</v>
      </c>
      <c r="N161" s="2">
        <v>5</v>
      </c>
      <c r="O161" s="2">
        <v>5026.34</v>
      </c>
      <c r="P161" s="2">
        <f t="shared" si="20"/>
        <v>5290.88</v>
      </c>
      <c r="Q161" s="2">
        <f t="shared" si="21"/>
        <v>264.54400000000004</v>
      </c>
      <c r="R161" s="2">
        <f t="shared" si="22"/>
        <v>5026.3360000000002</v>
      </c>
      <c r="S161" s="2" t="str">
        <f t="shared" si="23"/>
        <v>Low</v>
      </c>
      <c r="T161" s="2" t="str" cm="1">
        <f t="array" ref="T161">_xlfn.IFS(L161&gt;5,"High",L161=5,"Medium",L161&lt;5,"Low")</f>
        <v>Low</v>
      </c>
      <c r="U161" s="2" t="str">
        <f t="shared" si="24"/>
        <v>Low</v>
      </c>
      <c r="V161" s="14" t="str">
        <f t="shared" si="25"/>
        <v>Normal Discount</v>
      </c>
      <c r="W161" s="16" t="str">
        <f t="shared" si="26"/>
        <v>Good</v>
      </c>
      <c r="X161" s="18" t="str" cm="1">
        <f t="array" ref="X161">_xlfn.IFS(O161&gt;7000,"Excellent",O161&gt;4000,"Good",O161&lt;4000,"Average")</f>
        <v>Good</v>
      </c>
      <c r="AD161" s="23" t="str">
        <f t="shared" si="27"/>
        <v>Eligible</v>
      </c>
      <c r="AE161" s="24" t="str">
        <f t="shared" si="28"/>
        <v>Online</v>
      </c>
      <c r="AF161" s="27" t="str">
        <f t="shared" si="29"/>
        <v>Normal Order</v>
      </c>
    </row>
    <row r="162" spans="1:32" x14ac:dyDescent="0.3">
      <c r="A162" s="2">
        <v>10161</v>
      </c>
      <c r="B162" s="2">
        <v>1047</v>
      </c>
      <c r="C162" s="3">
        <v>45109</v>
      </c>
      <c r="D162" s="3">
        <v>45111</v>
      </c>
      <c r="E162" s="2" t="s">
        <v>52</v>
      </c>
      <c r="F162" s="2" t="s">
        <v>47</v>
      </c>
      <c r="G162" s="2" t="s">
        <v>23</v>
      </c>
      <c r="H162" s="2" t="s">
        <v>41</v>
      </c>
      <c r="I162" s="2" t="s">
        <v>25</v>
      </c>
      <c r="J162" s="2" t="s">
        <v>26</v>
      </c>
      <c r="K162" s="2" t="s">
        <v>39</v>
      </c>
      <c r="L162" s="2">
        <v>8</v>
      </c>
      <c r="M162" s="2">
        <v>1168.3900000000001</v>
      </c>
      <c r="N162" s="2">
        <v>10</v>
      </c>
      <c r="O162" s="2">
        <v>8412.41</v>
      </c>
      <c r="P162" s="2">
        <f t="shared" si="20"/>
        <v>9347.1200000000008</v>
      </c>
      <c r="Q162" s="2">
        <f t="shared" si="21"/>
        <v>934.7120000000001</v>
      </c>
      <c r="R162" s="2">
        <f t="shared" si="22"/>
        <v>8412.4080000000013</v>
      </c>
      <c r="S162" s="2" t="str">
        <f t="shared" si="23"/>
        <v>High</v>
      </c>
      <c r="T162" s="2" t="str" cm="1">
        <f t="array" ref="T162">_xlfn.IFS(L162&gt;5,"High",L162=5,"Medium",L162&lt;5,"Low")</f>
        <v>High</v>
      </c>
      <c r="U162" s="2" t="str">
        <f t="shared" si="24"/>
        <v>High</v>
      </c>
      <c r="V162" s="14" t="str">
        <f t="shared" si="25"/>
        <v>Normal Discount</v>
      </c>
      <c r="W162" s="16" t="str">
        <f t="shared" si="26"/>
        <v>Excellent</v>
      </c>
      <c r="X162" s="18" t="str" cm="1">
        <f t="array" ref="X162">_xlfn.IFS(O162&gt;7000,"Excellent",O162&gt;4000,"Good",O162&lt;4000,"Average")</f>
        <v>Excellent</v>
      </c>
      <c r="AD162" s="23" t="str">
        <f t="shared" si="27"/>
        <v>Not Eligible</v>
      </c>
      <c r="AE162" s="24" t="str">
        <f t="shared" si="28"/>
        <v>Online</v>
      </c>
      <c r="AF162" s="27" t="str">
        <f t="shared" si="29"/>
        <v>Priority Order</v>
      </c>
    </row>
    <row r="163" spans="1:32" x14ac:dyDescent="0.3">
      <c r="A163" s="2">
        <v>10162</v>
      </c>
      <c r="B163" s="2">
        <v>1502</v>
      </c>
      <c r="C163" s="3">
        <v>45072</v>
      </c>
      <c r="D163" s="3">
        <v>45074</v>
      </c>
      <c r="E163" s="2" t="s">
        <v>43</v>
      </c>
      <c r="F163" s="2" t="s">
        <v>35</v>
      </c>
      <c r="G163" s="2" t="s">
        <v>30</v>
      </c>
      <c r="H163" s="2" t="s">
        <v>50</v>
      </c>
      <c r="I163" s="2" t="s">
        <v>63</v>
      </c>
      <c r="J163" s="2" t="s">
        <v>64</v>
      </c>
      <c r="K163" s="2" t="s">
        <v>39</v>
      </c>
      <c r="L163" s="2">
        <v>8</v>
      </c>
      <c r="M163" s="2">
        <v>1227.5899999999999</v>
      </c>
      <c r="N163" s="2">
        <v>5</v>
      </c>
      <c r="O163" s="2">
        <v>9329.68</v>
      </c>
      <c r="P163" s="2">
        <f t="shared" si="20"/>
        <v>9820.7199999999993</v>
      </c>
      <c r="Q163" s="2">
        <f t="shared" si="21"/>
        <v>491.036</v>
      </c>
      <c r="R163" s="2">
        <f t="shared" si="22"/>
        <v>9329.6839999999993</v>
      </c>
      <c r="S163" s="2" t="str">
        <f t="shared" si="23"/>
        <v>High</v>
      </c>
      <c r="T163" s="2" t="str" cm="1">
        <f t="array" ref="T163">_xlfn.IFS(L163&gt;5,"High",L163=5,"Medium",L163&lt;5,"Low")</f>
        <v>High</v>
      </c>
      <c r="U163" s="2" t="str">
        <f t="shared" si="24"/>
        <v>High</v>
      </c>
      <c r="V163" s="14" t="str">
        <f t="shared" si="25"/>
        <v>Normal Discount</v>
      </c>
      <c r="W163" s="16" t="str">
        <f t="shared" si="26"/>
        <v>Excellent</v>
      </c>
      <c r="X163" s="18" t="str" cm="1">
        <f t="array" ref="X163">_xlfn.IFS(O163&gt;7000,"Excellent",O163&gt;4000,"Good",O163&lt;4000,"Average")</f>
        <v>Excellent</v>
      </c>
      <c r="AD163" s="23" t="str">
        <f t="shared" si="27"/>
        <v>Eligible</v>
      </c>
      <c r="AE163" s="24" t="str">
        <f t="shared" si="28"/>
        <v>Online</v>
      </c>
      <c r="AF163" s="27" t="str">
        <f t="shared" si="29"/>
        <v>Priority Order</v>
      </c>
    </row>
    <row r="164" spans="1:32" x14ac:dyDescent="0.3">
      <c r="A164" s="2">
        <v>10163</v>
      </c>
      <c r="B164" s="2">
        <v>1406</v>
      </c>
      <c r="C164" s="3">
        <v>45245</v>
      </c>
      <c r="D164" s="3">
        <v>45249</v>
      </c>
      <c r="E164" s="2" t="s">
        <v>22</v>
      </c>
      <c r="F164" s="2" t="s">
        <v>29</v>
      </c>
      <c r="G164" s="2" t="s">
        <v>36</v>
      </c>
      <c r="H164" s="2" t="s">
        <v>50</v>
      </c>
      <c r="I164" s="2" t="s">
        <v>58</v>
      </c>
      <c r="J164" s="2" t="s">
        <v>59</v>
      </c>
      <c r="K164" s="2" t="s">
        <v>51</v>
      </c>
      <c r="L164" s="2">
        <v>1</v>
      </c>
      <c r="M164" s="2">
        <v>1219.22</v>
      </c>
      <c r="N164" s="2">
        <v>20</v>
      </c>
      <c r="O164" s="2">
        <v>975.38</v>
      </c>
      <c r="P164" s="2">
        <f t="shared" si="20"/>
        <v>1219.22</v>
      </c>
      <c r="Q164" s="2">
        <f t="shared" si="21"/>
        <v>243.84400000000002</v>
      </c>
      <c r="R164" s="2">
        <f t="shared" si="22"/>
        <v>975.37599999999998</v>
      </c>
      <c r="S164" s="2" t="str">
        <f t="shared" si="23"/>
        <v>Low</v>
      </c>
      <c r="T164" s="2" t="str" cm="1">
        <f t="array" ref="T164">_xlfn.IFS(L164&gt;5,"High",L164=5,"Medium",L164&lt;5,"Low")</f>
        <v>Low</v>
      </c>
      <c r="U164" s="2" t="str">
        <f t="shared" si="24"/>
        <v>Low</v>
      </c>
      <c r="V164" s="14" t="str">
        <f t="shared" si="25"/>
        <v>Heavy Discount</v>
      </c>
      <c r="W164" s="16" t="str">
        <f t="shared" si="26"/>
        <v>Average</v>
      </c>
      <c r="X164" s="18" t="str" cm="1">
        <f t="array" ref="X164">_xlfn.IFS(O164&gt;7000,"Excellent",O164&gt;4000,"Good",O164&lt;4000,"Average")</f>
        <v>Average</v>
      </c>
      <c r="AD164" s="23" t="str">
        <f t="shared" si="27"/>
        <v>Not Eligible</v>
      </c>
      <c r="AE164" s="24" t="str">
        <f t="shared" si="28"/>
        <v>Offline</v>
      </c>
      <c r="AF164" s="27" t="str">
        <f t="shared" si="29"/>
        <v>Normal Order</v>
      </c>
    </row>
    <row r="165" spans="1:32" x14ac:dyDescent="0.3">
      <c r="A165" s="2">
        <v>10164</v>
      </c>
      <c r="B165" s="2">
        <v>1573</v>
      </c>
      <c r="C165" s="3">
        <v>45042</v>
      </c>
      <c r="D165" s="3">
        <v>45043</v>
      </c>
      <c r="E165" s="2" t="s">
        <v>46</v>
      </c>
      <c r="F165" s="2" t="s">
        <v>22</v>
      </c>
      <c r="G165" s="2" t="s">
        <v>30</v>
      </c>
      <c r="H165" s="2" t="s">
        <v>41</v>
      </c>
      <c r="I165" s="2" t="s">
        <v>58</v>
      </c>
      <c r="J165" s="2" t="s">
        <v>70</v>
      </c>
      <c r="K165" s="2" t="s">
        <v>51</v>
      </c>
      <c r="L165" s="2">
        <v>4</v>
      </c>
      <c r="M165" s="2">
        <v>288.33</v>
      </c>
      <c r="N165" s="2">
        <v>20</v>
      </c>
      <c r="O165" s="2">
        <v>922.66</v>
      </c>
      <c r="P165" s="2">
        <f t="shared" si="20"/>
        <v>1153.32</v>
      </c>
      <c r="Q165" s="2">
        <f t="shared" si="21"/>
        <v>230.66399999999999</v>
      </c>
      <c r="R165" s="2">
        <f t="shared" si="22"/>
        <v>922.65599999999995</v>
      </c>
      <c r="S165" s="2" t="str">
        <f t="shared" si="23"/>
        <v>Low</v>
      </c>
      <c r="T165" s="2" t="str" cm="1">
        <f t="array" ref="T165">_xlfn.IFS(L165&gt;5,"High",L165=5,"Medium",L165&lt;5,"Low")</f>
        <v>Low</v>
      </c>
      <c r="U165" s="2" t="str">
        <f t="shared" si="24"/>
        <v>Low</v>
      </c>
      <c r="V165" s="14" t="str">
        <f t="shared" si="25"/>
        <v>Heavy Discount</v>
      </c>
      <c r="W165" s="16" t="str">
        <f t="shared" si="26"/>
        <v>Average</v>
      </c>
      <c r="X165" s="18" t="str" cm="1">
        <f t="array" ref="X165">_xlfn.IFS(O165&gt;7000,"Excellent",O165&gt;4000,"Good",O165&lt;4000,"Average")</f>
        <v>Average</v>
      </c>
      <c r="AD165" s="23" t="str">
        <f t="shared" si="27"/>
        <v>Not Eligible</v>
      </c>
      <c r="AE165" s="24" t="str">
        <f t="shared" si="28"/>
        <v>Online</v>
      </c>
      <c r="AF165" s="27" t="str">
        <f t="shared" si="29"/>
        <v>Normal Order</v>
      </c>
    </row>
    <row r="166" spans="1:32" x14ac:dyDescent="0.3">
      <c r="A166" s="2">
        <v>10165</v>
      </c>
      <c r="B166" s="2">
        <v>1727</v>
      </c>
      <c r="C166" s="3">
        <v>45039</v>
      </c>
      <c r="D166" s="3">
        <v>45043</v>
      </c>
      <c r="E166" s="2" t="s">
        <v>40</v>
      </c>
      <c r="F166" s="2" t="s">
        <v>44</v>
      </c>
      <c r="G166" s="2" t="s">
        <v>30</v>
      </c>
      <c r="H166" s="2" t="s">
        <v>41</v>
      </c>
      <c r="I166" s="2" t="s">
        <v>63</v>
      </c>
      <c r="J166" s="2" t="s">
        <v>68</v>
      </c>
      <c r="K166" s="2" t="s">
        <v>34</v>
      </c>
      <c r="L166" s="2">
        <v>4</v>
      </c>
      <c r="M166" s="2">
        <v>3718.63</v>
      </c>
      <c r="N166" s="2">
        <v>20</v>
      </c>
      <c r="O166" s="2">
        <v>11899.62</v>
      </c>
      <c r="P166" s="2">
        <f t="shared" si="20"/>
        <v>14874.52</v>
      </c>
      <c r="Q166" s="2">
        <f t="shared" si="21"/>
        <v>2974.9040000000005</v>
      </c>
      <c r="R166" s="2">
        <f t="shared" si="22"/>
        <v>11899.616</v>
      </c>
      <c r="S166" s="2" t="str">
        <f t="shared" si="23"/>
        <v>Low</v>
      </c>
      <c r="T166" s="2" t="str" cm="1">
        <f t="array" ref="T166">_xlfn.IFS(L166&gt;5,"High",L166=5,"Medium",L166&lt;5,"Low")</f>
        <v>Low</v>
      </c>
      <c r="U166" s="2" t="str">
        <f t="shared" si="24"/>
        <v>Low</v>
      </c>
      <c r="V166" s="14" t="str">
        <f t="shared" si="25"/>
        <v>Heavy Discount</v>
      </c>
      <c r="W166" s="16" t="str">
        <f t="shared" si="26"/>
        <v>Excellent</v>
      </c>
      <c r="X166" s="18" t="str" cm="1">
        <f t="array" ref="X166">_xlfn.IFS(O166&gt;7000,"Excellent",O166&gt;4000,"Good",O166&lt;4000,"Average")</f>
        <v>Excellent</v>
      </c>
      <c r="AD166" s="23" t="str">
        <f t="shared" si="27"/>
        <v>Not Eligible</v>
      </c>
      <c r="AE166" s="24" t="str">
        <f t="shared" si="28"/>
        <v>Online</v>
      </c>
      <c r="AF166" s="27" t="str">
        <f t="shared" si="29"/>
        <v>Priority Order</v>
      </c>
    </row>
    <row r="167" spans="1:32" x14ac:dyDescent="0.3">
      <c r="A167" s="2">
        <v>10166</v>
      </c>
      <c r="B167" s="2">
        <v>1804</v>
      </c>
      <c r="C167" s="3">
        <v>45177</v>
      </c>
      <c r="D167" s="3">
        <v>45179</v>
      </c>
      <c r="E167" s="2" t="s">
        <v>22</v>
      </c>
      <c r="F167" s="2" t="s">
        <v>47</v>
      </c>
      <c r="G167" s="2" t="s">
        <v>36</v>
      </c>
      <c r="H167" s="2" t="s">
        <v>48</v>
      </c>
      <c r="I167" s="2" t="s">
        <v>32</v>
      </c>
      <c r="J167" s="2" t="s">
        <v>33</v>
      </c>
      <c r="K167" s="2" t="s">
        <v>27</v>
      </c>
      <c r="L167" s="2">
        <v>7</v>
      </c>
      <c r="M167" s="2">
        <v>972.74</v>
      </c>
      <c r="N167" s="2">
        <v>0</v>
      </c>
      <c r="O167" s="2">
        <v>6809.18</v>
      </c>
      <c r="P167" s="2">
        <f t="shared" si="20"/>
        <v>6809.18</v>
      </c>
      <c r="Q167" s="2">
        <f t="shared" si="21"/>
        <v>0</v>
      </c>
      <c r="R167" s="2">
        <f t="shared" si="22"/>
        <v>6809.18</v>
      </c>
      <c r="S167" s="2" t="str">
        <f t="shared" si="23"/>
        <v>High</v>
      </c>
      <c r="T167" s="2" t="str" cm="1">
        <f t="array" ref="T167">_xlfn.IFS(L167&gt;5,"High",L167=5,"Medium",L167&lt;5,"Low")</f>
        <v>High</v>
      </c>
      <c r="U167" s="2" t="str">
        <f t="shared" si="24"/>
        <v>High</v>
      </c>
      <c r="V167" s="14" t="str">
        <f t="shared" si="25"/>
        <v>Normal Discount</v>
      </c>
      <c r="W167" s="16" t="str">
        <f t="shared" si="26"/>
        <v>Good</v>
      </c>
      <c r="X167" s="18" t="str" cm="1">
        <f t="array" ref="X167">_xlfn.IFS(O167&gt;7000,"Excellent",O167&gt;4000,"Good",O167&lt;4000,"Average")</f>
        <v>Good</v>
      </c>
      <c r="AD167" s="23" t="str">
        <f t="shared" si="27"/>
        <v>Eligible</v>
      </c>
      <c r="AE167" s="24" t="str">
        <f t="shared" si="28"/>
        <v>Offline</v>
      </c>
      <c r="AF167" s="27" t="str">
        <f t="shared" si="29"/>
        <v>Priority Order</v>
      </c>
    </row>
    <row r="168" spans="1:32" x14ac:dyDescent="0.3">
      <c r="A168" s="2">
        <v>10167</v>
      </c>
      <c r="B168" s="2">
        <v>1098</v>
      </c>
      <c r="C168" s="3">
        <v>45177</v>
      </c>
      <c r="D168" s="3">
        <v>45182</v>
      </c>
      <c r="E168" s="2" t="s">
        <v>46</v>
      </c>
      <c r="F168" s="2" t="s">
        <v>47</v>
      </c>
      <c r="G168" s="2" t="s">
        <v>36</v>
      </c>
      <c r="H168" s="2" t="s">
        <v>48</v>
      </c>
      <c r="I168" s="2" t="s">
        <v>37</v>
      </c>
      <c r="J168" s="2" t="s">
        <v>38</v>
      </c>
      <c r="K168" s="2" t="s">
        <v>51</v>
      </c>
      <c r="L168" s="2">
        <v>7</v>
      </c>
      <c r="M168" s="2">
        <v>1767.02</v>
      </c>
      <c r="N168" s="2">
        <v>15</v>
      </c>
      <c r="O168" s="2">
        <v>10513.77</v>
      </c>
      <c r="P168" s="2">
        <f t="shared" si="20"/>
        <v>12369.14</v>
      </c>
      <c r="Q168" s="2">
        <f t="shared" si="21"/>
        <v>1855.3709999999999</v>
      </c>
      <c r="R168" s="2">
        <f t="shared" si="22"/>
        <v>10513.769</v>
      </c>
      <c r="S168" s="2" t="str">
        <f t="shared" si="23"/>
        <v>High</v>
      </c>
      <c r="T168" s="2" t="str" cm="1">
        <f t="array" ref="T168">_xlfn.IFS(L168&gt;5,"High",L168=5,"Medium",L168&lt;5,"Low")</f>
        <v>High</v>
      </c>
      <c r="U168" s="2" t="str">
        <f t="shared" si="24"/>
        <v>High</v>
      </c>
      <c r="V168" s="14" t="str">
        <f t="shared" si="25"/>
        <v>Heavy Discount</v>
      </c>
      <c r="W168" s="16" t="str">
        <f t="shared" si="26"/>
        <v>Excellent</v>
      </c>
      <c r="X168" s="18" t="str" cm="1">
        <f t="array" ref="X168">_xlfn.IFS(O168&gt;7000,"Excellent",O168&gt;4000,"Good",O168&lt;4000,"Average")</f>
        <v>Excellent</v>
      </c>
      <c r="AD168" s="23" t="str">
        <f t="shared" si="27"/>
        <v>Not Eligible</v>
      </c>
      <c r="AE168" s="24" t="str">
        <f t="shared" si="28"/>
        <v>Offline</v>
      </c>
      <c r="AF168" s="27" t="str">
        <f t="shared" si="29"/>
        <v>Priority Order</v>
      </c>
    </row>
    <row r="169" spans="1:32" x14ac:dyDescent="0.3">
      <c r="A169" s="2">
        <v>10168</v>
      </c>
      <c r="B169" s="2">
        <v>1683</v>
      </c>
      <c r="C169" s="3">
        <v>45229</v>
      </c>
      <c r="D169" s="3">
        <v>45232</v>
      </c>
      <c r="E169" s="2" t="s">
        <v>43</v>
      </c>
      <c r="F169" s="2" t="s">
        <v>22</v>
      </c>
      <c r="G169" s="2" t="s">
        <v>36</v>
      </c>
      <c r="H169" s="2" t="s">
        <v>50</v>
      </c>
      <c r="I169" s="2" t="s">
        <v>58</v>
      </c>
      <c r="J169" s="2" t="s">
        <v>62</v>
      </c>
      <c r="K169" s="2" t="s">
        <v>51</v>
      </c>
      <c r="L169" s="2">
        <v>8</v>
      </c>
      <c r="M169" s="2">
        <v>187.29</v>
      </c>
      <c r="N169" s="2">
        <v>5</v>
      </c>
      <c r="O169" s="2">
        <v>1423.4</v>
      </c>
      <c r="P169" s="2">
        <f t="shared" si="20"/>
        <v>1498.32</v>
      </c>
      <c r="Q169" s="2">
        <f t="shared" si="21"/>
        <v>74.915999999999997</v>
      </c>
      <c r="R169" s="2">
        <f t="shared" si="22"/>
        <v>1423.404</v>
      </c>
      <c r="S169" s="2" t="str">
        <f t="shared" si="23"/>
        <v>High</v>
      </c>
      <c r="T169" s="2" t="str" cm="1">
        <f t="array" ref="T169">_xlfn.IFS(L169&gt;5,"High",L169=5,"Medium",L169&lt;5,"Low")</f>
        <v>High</v>
      </c>
      <c r="U169" s="2" t="str">
        <f t="shared" si="24"/>
        <v>High</v>
      </c>
      <c r="V169" s="14" t="str">
        <f t="shared" si="25"/>
        <v>Normal Discount</v>
      </c>
      <c r="W169" s="16" t="str">
        <f t="shared" si="26"/>
        <v>Average</v>
      </c>
      <c r="X169" s="18" t="str" cm="1">
        <f t="array" ref="X169">_xlfn.IFS(O169&gt;7000,"Excellent",O169&gt;4000,"Good",O169&lt;4000,"Average")</f>
        <v>Average</v>
      </c>
      <c r="AD169" s="23" t="str">
        <f t="shared" si="27"/>
        <v>Not Eligible</v>
      </c>
      <c r="AE169" s="24" t="str">
        <f t="shared" si="28"/>
        <v>Offline</v>
      </c>
      <c r="AF169" s="27" t="str">
        <f t="shared" si="29"/>
        <v>Priority Order</v>
      </c>
    </row>
    <row r="170" spans="1:32" x14ac:dyDescent="0.3">
      <c r="A170" s="2">
        <v>10169</v>
      </c>
      <c r="B170" s="2">
        <v>1871</v>
      </c>
      <c r="C170" s="3">
        <v>45239</v>
      </c>
      <c r="D170" s="3">
        <v>45247</v>
      </c>
      <c r="E170" s="2" t="s">
        <v>28</v>
      </c>
      <c r="F170" s="2" t="s">
        <v>35</v>
      </c>
      <c r="G170" s="2" t="s">
        <v>36</v>
      </c>
      <c r="H170" s="2" t="s">
        <v>50</v>
      </c>
      <c r="I170" s="2" t="s">
        <v>25</v>
      </c>
      <c r="J170" s="2" t="s">
        <v>61</v>
      </c>
      <c r="K170" s="2" t="s">
        <v>53</v>
      </c>
      <c r="L170" s="2">
        <v>5</v>
      </c>
      <c r="M170" s="2">
        <v>3453.13</v>
      </c>
      <c r="N170" s="2">
        <v>5</v>
      </c>
      <c r="O170" s="2">
        <v>16402.37</v>
      </c>
      <c r="P170" s="2">
        <f t="shared" si="20"/>
        <v>17265.650000000001</v>
      </c>
      <c r="Q170" s="2">
        <f t="shared" si="21"/>
        <v>863.28250000000014</v>
      </c>
      <c r="R170" s="2">
        <f t="shared" si="22"/>
        <v>16402.3675</v>
      </c>
      <c r="S170" s="2" t="str">
        <f t="shared" si="23"/>
        <v>High</v>
      </c>
      <c r="T170" s="2" t="str" cm="1">
        <f t="array" ref="T170">_xlfn.IFS(L170&gt;5,"High",L170=5,"Medium",L170&lt;5,"Low")</f>
        <v>Medium</v>
      </c>
      <c r="U170" s="2" t="str">
        <f t="shared" si="24"/>
        <v>Medium</v>
      </c>
      <c r="V170" s="14" t="str">
        <f t="shared" si="25"/>
        <v>Normal Discount</v>
      </c>
      <c r="W170" s="16" t="str">
        <f t="shared" si="26"/>
        <v>Excellent</v>
      </c>
      <c r="X170" s="18" t="str" cm="1">
        <f t="array" ref="X170">_xlfn.IFS(O170&gt;7000,"Excellent",O170&gt;4000,"Good",O170&lt;4000,"Average")</f>
        <v>Excellent</v>
      </c>
      <c r="AD170" s="23" t="str">
        <f t="shared" si="27"/>
        <v>Eligible</v>
      </c>
      <c r="AE170" s="24" t="str">
        <f t="shared" si="28"/>
        <v>Offline</v>
      </c>
      <c r="AF170" s="27" t="str">
        <f t="shared" si="29"/>
        <v>Priority Order</v>
      </c>
    </row>
    <row r="171" spans="1:32" x14ac:dyDescent="0.3">
      <c r="A171" s="2">
        <v>10170</v>
      </c>
      <c r="B171" s="2">
        <v>1725</v>
      </c>
      <c r="C171" s="3">
        <v>45044</v>
      </c>
      <c r="D171" s="3">
        <v>45048</v>
      </c>
      <c r="E171" s="2" t="s">
        <v>43</v>
      </c>
      <c r="F171" s="2" t="s">
        <v>22</v>
      </c>
      <c r="G171" s="2" t="s">
        <v>30</v>
      </c>
      <c r="H171" s="2" t="s">
        <v>24</v>
      </c>
      <c r="I171" s="2" t="s">
        <v>37</v>
      </c>
      <c r="J171" s="2" t="s">
        <v>71</v>
      </c>
      <c r="K171" s="2" t="s">
        <v>39</v>
      </c>
      <c r="L171" s="2">
        <v>7</v>
      </c>
      <c r="M171" s="2">
        <v>2964.96</v>
      </c>
      <c r="N171" s="2">
        <v>5</v>
      </c>
      <c r="O171" s="2">
        <v>19716.98</v>
      </c>
      <c r="P171" s="2">
        <f t="shared" si="20"/>
        <v>20754.72</v>
      </c>
      <c r="Q171" s="2">
        <f t="shared" si="21"/>
        <v>1037.7360000000001</v>
      </c>
      <c r="R171" s="2">
        <f t="shared" si="22"/>
        <v>19716.984</v>
      </c>
      <c r="S171" s="2" t="str">
        <f t="shared" si="23"/>
        <v>High</v>
      </c>
      <c r="T171" s="2" t="str" cm="1">
        <f t="array" ref="T171">_xlfn.IFS(L171&gt;5,"High",L171=5,"Medium",L171&lt;5,"Low")</f>
        <v>High</v>
      </c>
      <c r="U171" s="2" t="str">
        <f t="shared" si="24"/>
        <v>High</v>
      </c>
      <c r="V171" s="14" t="str">
        <f t="shared" si="25"/>
        <v>Normal Discount</v>
      </c>
      <c r="W171" s="16" t="str">
        <f t="shared" si="26"/>
        <v>Excellent</v>
      </c>
      <c r="X171" s="18" t="str" cm="1">
        <f t="array" ref="X171">_xlfn.IFS(O171&gt;7000,"Excellent",O171&gt;4000,"Good",O171&lt;4000,"Average")</f>
        <v>Excellent</v>
      </c>
      <c r="AD171" s="23" t="str">
        <f t="shared" si="27"/>
        <v>Eligible</v>
      </c>
      <c r="AE171" s="24" t="str">
        <f t="shared" si="28"/>
        <v>Online</v>
      </c>
      <c r="AF171" s="27" t="str">
        <f t="shared" si="29"/>
        <v>Priority Order</v>
      </c>
    </row>
    <row r="172" spans="1:32" x14ac:dyDescent="0.3">
      <c r="A172" s="2">
        <v>10171</v>
      </c>
      <c r="B172" s="2">
        <v>1986</v>
      </c>
      <c r="C172" s="3">
        <v>45227</v>
      </c>
      <c r="D172" s="3">
        <v>45228</v>
      </c>
      <c r="E172" s="2" t="s">
        <v>21</v>
      </c>
      <c r="F172" s="2" t="s">
        <v>47</v>
      </c>
      <c r="G172" s="2" t="s">
        <v>30</v>
      </c>
      <c r="H172" s="2" t="s">
        <v>24</v>
      </c>
      <c r="I172" s="2" t="s">
        <v>25</v>
      </c>
      <c r="J172" s="2" t="s">
        <v>49</v>
      </c>
      <c r="K172" s="2" t="s">
        <v>27</v>
      </c>
      <c r="L172" s="2">
        <v>8</v>
      </c>
      <c r="M172" s="2">
        <v>3795.01</v>
      </c>
      <c r="N172" s="2">
        <v>5</v>
      </c>
      <c r="O172" s="2">
        <v>28842.080000000002</v>
      </c>
      <c r="P172" s="2">
        <f t="shared" si="20"/>
        <v>30360.080000000002</v>
      </c>
      <c r="Q172" s="2">
        <f t="shared" si="21"/>
        <v>1518.0040000000001</v>
      </c>
      <c r="R172" s="2">
        <f t="shared" si="22"/>
        <v>28842.076000000001</v>
      </c>
      <c r="S172" s="2" t="str">
        <f t="shared" si="23"/>
        <v>High</v>
      </c>
      <c r="T172" s="2" t="str" cm="1">
        <f t="array" ref="T172">_xlfn.IFS(L172&gt;5,"High",L172=5,"Medium",L172&lt;5,"Low")</f>
        <v>High</v>
      </c>
      <c r="U172" s="2" t="str">
        <f t="shared" si="24"/>
        <v>High</v>
      </c>
      <c r="V172" s="14" t="str">
        <f t="shared" si="25"/>
        <v>Normal Discount</v>
      </c>
      <c r="W172" s="16" t="str">
        <f t="shared" si="26"/>
        <v>Excellent</v>
      </c>
      <c r="X172" s="18" t="str" cm="1">
        <f t="array" ref="X172">_xlfn.IFS(O172&gt;7000,"Excellent",O172&gt;4000,"Good",O172&lt;4000,"Average")</f>
        <v>Excellent</v>
      </c>
      <c r="AD172" s="23" t="str">
        <f t="shared" si="27"/>
        <v>Eligible</v>
      </c>
      <c r="AE172" s="24" t="str">
        <f t="shared" si="28"/>
        <v>Online</v>
      </c>
      <c r="AF172" s="27" t="str">
        <f t="shared" si="29"/>
        <v>Priority Order</v>
      </c>
    </row>
    <row r="173" spans="1:32" x14ac:dyDescent="0.3">
      <c r="A173" s="2">
        <v>10172</v>
      </c>
      <c r="B173" s="2">
        <v>1546</v>
      </c>
      <c r="C173" s="3">
        <v>45087</v>
      </c>
      <c r="D173" s="3">
        <v>45088</v>
      </c>
      <c r="E173" s="2" t="s">
        <v>52</v>
      </c>
      <c r="F173" s="2" t="s">
        <v>60</v>
      </c>
      <c r="G173" s="2" t="s">
        <v>23</v>
      </c>
      <c r="H173" s="2" t="s">
        <v>48</v>
      </c>
      <c r="I173" s="2" t="s">
        <v>55</v>
      </c>
      <c r="J173" s="2" t="s">
        <v>69</v>
      </c>
      <c r="K173" s="2" t="s">
        <v>53</v>
      </c>
      <c r="L173" s="2">
        <v>9</v>
      </c>
      <c r="M173" s="2">
        <v>3159.22</v>
      </c>
      <c r="N173" s="2">
        <v>20</v>
      </c>
      <c r="O173" s="2">
        <v>22746.38</v>
      </c>
      <c r="P173" s="2">
        <f t="shared" si="20"/>
        <v>28432.98</v>
      </c>
      <c r="Q173" s="2">
        <f t="shared" si="21"/>
        <v>5686.5960000000005</v>
      </c>
      <c r="R173" s="2">
        <f t="shared" si="22"/>
        <v>22746.383999999998</v>
      </c>
      <c r="S173" s="2" t="str">
        <f t="shared" si="23"/>
        <v>High</v>
      </c>
      <c r="T173" s="2" t="str" cm="1">
        <f t="array" ref="T173">_xlfn.IFS(L173&gt;5,"High",L173=5,"Medium",L173&lt;5,"Low")</f>
        <v>High</v>
      </c>
      <c r="U173" s="2" t="str">
        <f t="shared" si="24"/>
        <v>High</v>
      </c>
      <c r="V173" s="14" t="str">
        <f t="shared" si="25"/>
        <v>Heavy Discount</v>
      </c>
      <c r="W173" s="16" t="str">
        <f t="shared" si="26"/>
        <v>Excellent</v>
      </c>
      <c r="X173" s="18" t="str" cm="1">
        <f t="array" ref="X173">_xlfn.IFS(O173&gt;7000,"Excellent",O173&gt;4000,"Good",O173&lt;4000,"Average")</f>
        <v>Excellent</v>
      </c>
      <c r="AD173" s="23" t="str">
        <f t="shared" si="27"/>
        <v>Not Eligible</v>
      </c>
      <c r="AE173" s="24" t="str">
        <f t="shared" si="28"/>
        <v>Online</v>
      </c>
      <c r="AF173" s="27" t="str">
        <f t="shared" si="29"/>
        <v>Priority Order</v>
      </c>
    </row>
    <row r="174" spans="1:32" x14ac:dyDescent="0.3">
      <c r="A174" s="2">
        <v>10173</v>
      </c>
      <c r="B174" s="2">
        <v>1960</v>
      </c>
      <c r="C174" s="3">
        <v>45124</v>
      </c>
      <c r="D174" s="3">
        <v>45127</v>
      </c>
      <c r="E174" s="2" t="s">
        <v>21</v>
      </c>
      <c r="F174" s="2" t="s">
        <v>44</v>
      </c>
      <c r="G174" s="2" t="s">
        <v>30</v>
      </c>
      <c r="H174" s="2" t="s">
        <v>48</v>
      </c>
      <c r="I174" s="2" t="s">
        <v>37</v>
      </c>
      <c r="J174" s="2" t="s">
        <v>71</v>
      </c>
      <c r="K174" s="2" t="s">
        <v>34</v>
      </c>
      <c r="L174" s="2">
        <v>3</v>
      </c>
      <c r="M174" s="2">
        <v>1357.77</v>
      </c>
      <c r="N174" s="2">
        <v>5</v>
      </c>
      <c r="O174" s="2">
        <v>3869.64</v>
      </c>
      <c r="P174" s="2">
        <f t="shared" si="20"/>
        <v>4073.31</v>
      </c>
      <c r="Q174" s="2">
        <f t="shared" si="21"/>
        <v>203.66550000000001</v>
      </c>
      <c r="R174" s="2">
        <f t="shared" si="22"/>
        <v>3869.6444999999999</v>
      </c>
      <c r="S174" s="2" t="str">
        <f t="shared" si="23"/>
        <v>Low</v>
      </c>
      <c r="T174" s="2" t="str" cm="1">
        <f t="array" ref="T174">_xlfn.IFS(L174&gt;5,"High",L174=5,"Medium",L174&lt;5,"Low")</f>
        <v>Low</v>
      </c>
      <c r="U174" s="2" t="str">
        <f t="shared" si="24"/>
        <v>Low</v>
      </c>
      <c r="V174" s="14" t="str">
        <f t="shared" si="25"/>
        <v>Normal Discount</v>
      </c>
      <c r="W174" s="16" t="str">
        <f t="shared" si="26"/>
        <v>Average</v>
      </c>
      <c r="X174" s="18" t="str" cm="1">
        <f t="array" ref="X174">_xlfn.IFS(O174&gt;7000,"Excellent",O174&gt;4000,"Good",O174&lt;4000,"Average")</f>
        <v>Average</v>
      </c>
      <c r="AD174" s="23" t="str">
        <f t="shared" si="27"/>
        <v>Not Eligible</v>
      </c>
      <c r="AE174" s="24" t="str">
        <f t="shared" si="28"/>
        <v>Online</v>
      </c>
      <c r="AF174" s="27" t="str">
        <f t="shared" si="29"/>
        <v>Normal Order</v>
      </c>
    </row>
    <row r="175" spans="1:32" x14ac:dyDescent="0.3">
      <c r="A175" s="2">
        <v>10174</v>
      </c>
      <c r="B175" s="2">
        <v>1738</v>
      </c>
      <c r="C175" s="3">
        <v>45186</v>
      </c>
      <c r="D175" s="3">
        <v>45195</v>
      </c>
      <c r="E175" s="2" t="s">
        <v>40</v>
      </c>
      <c r="F175" s="2" t="s">
        <v>22</v>
      </c>
      <c r="G175" s="2" t="s">
        <v>36</v>
      </c>
      <c r="H175" s="2" t="s">
        <v>24</v>
      </c>
      <c r="I175" s="2" t="s">
        <v>58</v>
      </c>
      <c r="J175" s="2" t="s">
        <v>59</v>
      </c>
      <c r="K175" s="2" t="s">
        <v>34</v>
      </c>
      <c r="L175" s="2">
        <v>3</v>
      </c>
      <c r="M175" s="2">
        <v>1104.31</v>
      </c>
      <c r="N175" s="2">
        <v>15</v>
      </c>
      <c r="O175" s="2">
        <v>2815.99</v>
      </c>
      <c r="P175" s="2">
        <f t="shared" si="20"/>
        <v>3312.93</v>
      </c>
      <c r="Q175" s="2">
        <f t="shared" si="21"/>
        <v>496.93949999999995</v>
      </c>
      <c r="R175" s="2">
        <f t="shared" si="22"/>
        <v>2815.9904999999999</v>
      </c>
      <c r="S175" s="2" t="str">
        <f t="shared" si="23"/>
        <v>Low</v>
      </c>
      <c r="T175" s="2" t="str" cm="1">
        <f t="array" ref="T175">_xlfn.IFS(L175&gt;5,"High",L175=5,"Medium",L175&lt;5,"Low")</f>
        <v>Low</v>
      </c>
      <c r="U175" s="2" t="str">
        <f t="shared" si="24"/>
        <v>Low</v>
      </c>
      <c r="V175" s="14" t="str">
        <f t="shared" si="25"/>
        <v>Heavy Discount</v>
      </c>
      <c r="W175" s="16" t="str">
        <f t="shared" si="26"/>
        <v>Average</v>
      </c>
      <c r="X175" s="18" t="str" cm="1">
        <f t="array" ref="X175">_xlfn.IFS(O175&gt;7000,"Excellent",O175&gt;4000,"Good",O175&lt;4000,"Average")</f>
        <v>Average</v>
      </c>
      <c r="AD175" s="23" t="str">
        <f t="shared" si="27"/>
        <v>Not Eligible</v>
      </c>
      <c r="AE175" s="24" t="str">
        <f t="shared" si="28"/>
        <v>Offline</v>
      </c>
      <c r="AF175" s="27" t="str">
        <f t="shared" si="29"/>
        <v>Normal Order</v>
      </c>
    </row>
    <row r="176" spans="1:32" x14ac:dyDescent="0.3">
      <c r="A176" s="2">
        <v>10175</v>
      </c>
      <c r="B176" s="2">
        <v>1612</v>
      </c>
      <c r="C176" s="3">
        <v>45074</v>
      </c>
      <c r="D176" s="3">
        <v>45081</v>
      </c>
      <c r="E176" s="2" t="s">
        <v>22</v>
      </c>
      <c r="F176" s="2" t="s">
        <v>47</v>
      </c>
      <c r="G176" s="2" t="s">
        <v>23</v>
      </c>
      <c r="H176" s="2" t="s">
        <v>24</v>
      </c>
      <c r="I176" s="2" t="s">
        <v>37</v>
      </c>
      <c r="J176" s="2" t="s">
        <v>38</v>
      </c>
      <c r="K176" s="2" t="s">
        <v>51</v>
      </c>
      <c r="L176" s="2">
        <v>4</v>
      </c>
      <c r="M176" s="2">
        <v>2836.21</v>
      </c>
      <c r="N176" s="2">
        <v>20</v>
      </c>
      <c r="O176" s="2">
        <v>9075.8700000000008</v>
      </c>
      <c r="P176" s="2">
        <f t="shared" si="20"/>
        <v>11344.84</v>
      </c>
      <c r="Q176" s="2">
        <f t="shared" si="21"/>
        <v>2268.9680000000003</v>
      </c>
      <c r="R176" s="2">
        <f t="shared" si="22"/>
        <v>9075.8719999999994</v>
      </c>
      <c r="S176" s="2" t="str">
        <f t="shared" si="23"/>
        <v>Low</v>
      </c>
      <c r="T176" s="2" t="str" cm="1">
        <f t="array" ref="T176">_xlfn.IFS(L176&gt;5,"High",L176=5,"Medium",L176&lt;5,"Low")</f>
        <v>Low</v>
      </c>
      <c r="U176" s="2" t="str">
        <f t="shared" si="24"/>
        <v>Low</v>
      </c>
      <c r="V176" s="14" t="str">
        <f t="shared" si="25"/>
        <v>Heavy Discount</v>
      </c>
      <c r="W176" s="16" t="str">
        <f t="shared" si="26"/>
        <v>Excellent</v>
      </c>
      <c r="X176" s="18" t="str" cm="1">
        <f t="array" ref="X176">_xlfn.IFS(O176&gt;7000,"Excellent",O176&gt;4000,"Good",O176&lt;4000,"Average")</f>
        <v>Excellent</v>
      </c>
      <c r="AD176" s="23" t="str">
        <f t="shared" si="27"/>
        <v>Not Eligible</v>
      </c>
      <c r="AE176" s="24" t="str">
        <f t="shared" si="28"/>
        <v>Online</v>
      </c>
      <c r="AF176" s="27" t="str">
        <f t="shared" si="29"/>
        <v>Priority Order</v>
      </c>
    </row>
    <row r="177" spans="1:32" x14ac:dyDescent="0.3">
      <c r="A177" s="2">
        <v>10176</v>
      </c>
      <c r="B177" s="2">
        <v>1942</v>
      </c>
      <c r="C177" s="3">
        <v>45166</v>
      </c>
      <c r="D177" s="3">
        <v>45168</v>
      </c>
      <c r="E177" s="2" t="s">
        <v>40</v>
      </c>
      <c r="F177" s="2" t="s">
        <v>35</v>
      </c>
      <c r="G177" s="2" t="s">
        <v>36</v>
      </c>
      <c r="H177" s="2" t="s">
        <v>31</v>
      </c>
      <c r="I177" s="2" t="s">
        <v>37</v>
      </c>
      <c r="J177" s="2" t="s">
        <v>45</v>
      </c>
      <c r="K177" s="2" t="s">
        <v>51</v>
      </c>
      <c r="L177" s="2">
        <v>5</v>
      </c>
      <c r="M177" s="2">
        <v>1551.83</v>
      </c>
      <c r="N177" s="2">
        <v>5</v>
      </c>
      <c r="O177" s="2">
        <v>7371.19</v>
      </c>
      <c r="P177" s="2">
        <f t="shared" si="20"/>
        <v>7759.15</v>
      </c>
      <c r="Q177" s="2">
        <f t="shared" si="21"/>
        <v>387.95749999999998</v>
      </c>
      <c r="R177" s="2">
        <f t="shared" si="22"/>
        <v>7371.1924999999992</v>
      </c>
      <c r="S177" s="2" t="str">
        <f t="shared" si="23"/>
        <v>High</v>
      </c>
      <c r="T177" s="2" t="str" cm="1">
        <f t="array" ref="T177">_xlfn.IFS(L177&gt;5,"High",L177=5,"Medium",L177&lt;5,"Low")</f>
        <v>Medium</v>
      </c>
      <c r="U177" s="2" t="str">
        <f t="shared" si="24"/>
        <v>Medium</v>
      </c>
      <c r="V177" s="14" t="str">
        <f t="shared" si="25"/>
        <v>Normal Discount</v>
      </c>
      <c r="W177" s="16" t="str">
        <f t="shared" si="26"/>
        <v>Excellent</v>
      </c>
      <c r="X177" s="18" t="str" cm="1">
        <f t="array" ref="X177">_xlfn.IFS(O177&gt;7000,"Excellent",O177&gt;4000,"Good",O177&lt;4000,"Average")</f>
        <v>Excellent</v>
      </c>
      <c r="AD177" s="23" t="str">
        <f t="shared" si="27"/>
        <v>Eligible</v>
      </c>
      <c r="AE177" s="24" t="str">
        <f t="shared" si="28"/>
        <v>Offline</v>
      </c>
      <c r="AF177" s="27" t="str">
        <f t="shared" si="29"/>
        <v>Priority Order</v>
      </c>
    </row>
    <row r="178" spans="1:32" x14ac:dyDescent="0.3">
      <c r="A178" s="2">
        <v>10177</v>
      </c>
      <c r="B178" s="2">
        <v>1461</v>
      </c>
      <c r="C178" s="3">
        <v>44973</v>
      </c>
      <c r="D178" s="3">
        <v>44982</v>
      </c>
      <c r="E178" s="2" t="s">
        <v>28</v>
      </c>
      <c r="F178" s="2" t="s">
        <v>47</v>
      </c>
      <c r="G178" s="2" t="s">
        <v>30</v>
      </c>
      <c r="H178" s="2" t="s">
        <v>31</v>
      </c>
      <c r="I178" s="2" t="s">
        <v>37</v>
      </c>
      <c r="J178" s="2" t="s">
        <v>38</v>
      </c>
      <c r="K178" s="2" t="s">
        <v>34</v>
      </c>
      <c r="L178" s="2">
        <v>1</v>
      </c>
      <c r="M178" s="2">
        <v>2329.9299999999998</v>
      </c>
      <c r="N178" s="2">
        <v>0</v>
      </c>
      <c r="O178" s="2">
        <v>2329.9299999999998</v>
      </c>
      <c r="P178" s="2">
        <f t="shared" si="20"/>
        <v>2329.9299999999998</v>
      </c>
      <c r="Q178" s="2">
        <f t="shared" si="21"/>
        <v>0</v>
      </c>
      <c r="R178" s="2">
        <f t="shared" si="22"/>
        <v>2329.9299999999998</v>
      </c>
      <c r="S178" s="2" t="str">
        <f t="shared" si="23"/>
        <v>Low</v>
      </c>
      <c r="T178" s="2" t="str" cm="1">
        <f t="array" ref="T178">_xlfn.IFS(L178&gt;5,"High",L178=5,"Medium",L178&lt;5,"Low")</f>
        <v>Low</v>
      </c>
      <c r="U178" s="2" t="str">
        <f t="shared" si="24"/>
        <v>Low</v>
      </c>
      <c r="V178" s="14" t="str">
        <f t="shared" si="25"/>
        <v>Normal Discount</v>
      </c>
      <c r="W178" s="16" t="str">
        <f t="shared" si="26"/>
        <v>Average</v>
      </c>
      <c r="X178" s="18" t="str" cm="1">
        <f t="array" ref="X178">_xlfn.IFS(O178&gt;7000,"Excellent",O178&gt;4000,"Good",O178&lt;4000,"Average")</f>
        <v>Average</v>
      </c>
      <c r="AD178" s="23" t="str">
        <f t="shared" si="27"/>
        <v>Not Eligible</v>
      </c>
      <c r="AE178" s="24" t="str">
        <f t="shared" si="28"/>
        <v>Online</v>
      </c>
      <c r="AF178" s="27" t="str">
        <f t="shared" si="29"/>
        <v>Normal Order</v>
      </c>
    </row>
    <row r="179" spans="1:32" x14ac:dyDescent="0.3">
      <c r="A179" s="2">
        <v>10178</v>
      </c>
      <c r="B179" s="2">
        <v>1642</v>
      </c>
      <c r="C179" s="3">
        <v>45124</v>
      </c>
      <c r="D179" s="3">
        <v>45126</v>
      </c>
      <c r="E179" s="2" t="s">
        <v>46</v>
      </c>
      <c r="F179" s="2" t="s">
        <v>35</v>
      </c>
      <c r="G179" s="2" t="s">
        <v>23</v>
      </c>
      <c r="H179" s="2" t="s">
        <v>24</v>
      </c>
      <c r="I179" s="2" t="s">
        <v>32</v>
      </c>
      <c r="J179" s="2" t="s">
        <v>67</v>
      </c>
      <c r="K179" s="2" t="s">
        <v>51</v>
      </c>
      <c r="L179" s="2">
        <v>7</v>
      </c>
      <c r="M179" s="2">
        <v>174.09</v>
      </c>
      <c r="N179" s="2">
        <v>10</v>
      </c>
      <c r="O179" s="2">
        <v>1096.77</v>
      </c>
      <c r="P179" s="2">
        <f t="shared" si="20"/>
        <v>1218.6300000000001</v>
      </c>
      <c r="Q179" s="2">
        <f t="shared" si="21"/>
        <v>121.86300000000001</v>
      </c>
      <c r="R179" s="2">
        <f t="shared" si="22"/>
        <v>1096.7670000000001</v>
      </c>
      <c r="S179" s="2" t="str">
        <f t="shared" si="23"/>
        <v>High</v>
      </c>
      <c r="T179" s="2" t="str" cm="1">
        <f t="array" ref="T179">_xlfn.IFS(L179&gt;5,"High",L179=5,"Medium",L179&lt;5,"Low")</f>
        <v>High</v>
      </c>
      <c r="U179" s="2" t="str">
        <f t="shared" si="24"/>
        <v>High</v>
      </c>
      <c r="V179" s="14" t="str">
        <f t="shared" si="25"/>
        <v>Normal Discount</v>
      </c>
      <c r="W179" s="16" t="str">
        <f t="shared" si="26"/>
        <v>Average</v>
      </c>
      <c r="X179" s="18" t="str" cm="1">
        <f t="array" ref="X179">_xlfn.IFS(O179&gt;7000,"Excellent",O179&gt;4000,"Good",O179&lt;4000,"Average")</f>
        <v>Average</v>
      </c>
      <c r="AD179" s="23" t="str">
        <f t="shared" si="27"/>
        <v>Not Eligible</v>
      </c>
      <c r="AE179" s="24" t="str">
        <f t="shared" si="28"/>
        <v>Online</v>
      </c>
      <c r="AF179" s="27" t="str">
        <f t="shared" si="29"/>
        <v>Priority Order</v>
      </c>
    </row>
    <row r="180" spans="1:32" x14ac:dyDescent="0.3">
      <c r="A180" s="2">
        <v>10179</v>
      </c>
      <c r="B180" s="2">
        <v>1768</v>
      </c>
      <c r="C180" s="3">
        <v>44973</v>
      </c>
      <c r="D180" s="3">
        <v>44976</v>
      </c>
      <c r="E180" s="2" t="s">
        <v>43</v>
      </c>
      <c r="F180" s="2" t="s">
        <v>22</v>
      </c>
      <c r="G180" s="2" t="s">
        <v>36</v>
      </c>
      <c r="H180" s="2" t="s">
        <v>31</v>
      </c>
      <c r="I180" s="2" t="s">
        <v>37</v>
      </c>
      <c r="J180" s="2" t="s">
        <v>38</v>
      </c>
      <c r="K180" s="2" t="s">
        <v>27</v>
      </c>
      <c r="L180" s="2">
        <v>9</v>
      </c>
      <c r="M180" s="2">
        <v>388.26</v>
      </c>
      <c r="N180" s="2">
        <v>10</v>
      </c>
      <c r="O180" s="2">
        <v>3144.91</v>
      </c>
      <c r="P180" s="2">
        <f t="shared" si="20"/>
        <v>3494.34</v>
      </c>
      <c r="Q180" s="2">
        <f t="shared" si="21"/>
        <v>349.43400000000003</v>
      </c>
      <c r="R180" s="2">
        <f t="shared" si="22"/>
        <v>3144.9059999999999</v>
      </c>
      <c r="S180" s="2" t="str">
        <f t="shared" si="23"/>
        <v>High</v>
      </c>
      <c r="T180" s="2" t="str" cm="1">
        <f t="array" ref="T180">_xlfn.IFS(L180&gt;5,"High",L180=5,"Medium",L180&lt;5,"Low")</f>
        <v>High</v>
      </c>
      <c r="U180" s="2" t="str">
        <f t="shared" si="24"/>
        <v>High</v>
      </c>
      <c r="V180" s="14" t="str">
        <f t="shared" si="25"/>
        <v>Normal Discount</v>
      </c>
      <c r="W180" s="16" t="str">
        <f t="shared" si="26"/>
        <v>Average</v>
      </c>
      <c r="X180" s="18" t="str" cm="1">
        <f t="array" ref="X180">_xlfn.IFS(O180&gt;7000,"Excellent",O180&gt;4000,"Good",O180&lt;4000,"Average")</f>
        <v>Average</v>
      </c>
      <c r="AD180" s="23" t="str">
        <f t="shared" si="27"/>
        <v>Not Eligible</v>
      </c>
      <c r="AE180" s="24" t="str">
        <f t="shared" si="28"/>
        <v>Offline</v>
      </c>
      <c r="AF180" s="27" t="str">
        <f t="shared" si="29"/>
        <v>Priority Order</v>
      </c>
    </row>
    <row r="181" spans="1:32" x14ac:dyDescent="0.3">
      <c r="A181" s="2">
        <v>10180</v>
      </c>
      <c r="B181" s="2">
        <v>1004</v>
      </c>
      <c r="C181" s="3">
        <v>45004</v>
      </c>
      <c r="D181" s="3">
        <v>45006</v>
      </c>
      <c r="E181" s="2" t="s">
        <v>21</v>
      </c>
      <c r="F181" s="2" t="s">
        <v>35</v>
      </c>
      <c r="G181" s="2" t="s">
        <v>23</v>
      </c>
      <c r="H181" s="2" t="s">
        <v>41</v>
      </c>
      <c r="I181" s="2" t="s">
        <v>25</v>
      </c>
      <c r="J181" s="2" t="s">
        <v>49</v>
      </c>
      <c r="K181" s="2" t="s">
        <v>51</v>
      </c>
      <c r="L181" s="2">
        <v>8</v>
      </c>
      <c r="M181" s="2">
        <v>2211.17</v>
      </c>
      <c r="N181" s="2">
        <v>10</v>
      </c>
      <c r="O181" s="2">
        <v>15920.42</v>
      </c>
      <c r="P181" s="2">
        <f t="shared" si="20"/>
        <v>17689.36</v>
      </c>
      <c r="Q181" s="2">
        <f t="shared" si="21"/>
        <v>1768.9360000000001</v>
      </c>
      <c r="R181" s="2">
        <f t="shared" si="22"/>
        <v>15920.424000000001</v>
      </c>
      <c r="S181" s="2" t="str">
        <f t="shared" si="23"/>
        <v>High</v>
      </c>
      <c r="T181" s="2" t="str" cm="1">
        <f t="array" ref="T181">_xlfn.IFS(L181&gt;5,"High",L181=5,"Medium",L181&lt;5,"Low")</f>
        <v>High</v>
      </c>
      <c r="U181" s="2" t="str">
        <f t="shared" si="24"/>
        <v>High</v>
      </c>
      <c r="V181" s="14" t="str">
        <f t="shared" si="25"/>
        <v>Normal Discount</v>
      </c>
      <c r="W181" s="16" t="str">
        <f t="shared" si="26"/>
        <v>Excellent</v>
      </c>
      <c r="X181" s="18" t="str" cm="1">
        <f t="array" ref="X181">_xlfn.IFS(O181&gt;7000,"Excellent",O181&gt;4000,"Good",O181&lt;4000,"Average")</f>
        <v>Excellent</v>
      </c>
      <c r="AD181" s="23" t="str">
        <f t="shared" si="27"/>
        <v>Not Eligible</v>
      </c>
      <c r="AE181" s="24" t="str">
        <f t="shared" si="28"/>
        <v>Online</v>
      </c>
      <c r="AF181" s="27" t="str">
        <f t="shared" si="29"/>
        <v>Priority Order</v>
      </c>
    </row>
    <row r="182" spans="1:32" x14ac:dyDescent="0.3">
      <c r="A182" s="2">
        <v>10181</v>
      </c>
      <c r="B182" s="2">
        <v>1217</v>
      </c>
      <c r="C182" s="3">
        <v>45050</v>
      </c>
      <c r="D182" s="3">
        <v>45053</v>
      </c>
      <c r="E182" s="2" t="s">
        <v>21</v>
      </c>
      <c r="F182" s="2" t="s">
        <v>29</v>
      </c>
      <c r="G182" s="2" t="s">
        <v>23</v>
      </c>
      <c r="H182" s="2" t="s">
        <v>48</v>
      </c>
      <c r="I182" s="2" t="s">
        <v>55</v>
      </c>
      <c r="J182" s="2" t="s">
        <v>56</v>
      </c>
      <c r="K182" s="2" t="s">
        <v>39</v>
      </c>
      <c r="L182" s="2">
        <v>5</v>
      </c>
      <c r="M182" s="2">
        <v>2329.38</v>
      </c>
      <c r="N182" s="2">
        <v>20</v>
      </c>
      <c r="O182" s="2">
        <v>9317.52</v>
      </c>
      <c r="P182" s="2">
        <f t="shared" si="20"/>
        <v>11646.900000000001</v>
      </c>
      <c r="Q182" s="2">
        <f t="shared" si="21"/>
        <v>2329.3800000000006</v>
      </c>
      <c r="R182" s="2">
        <f t="shared" si="22"/>
        <v>9317.52</v>
      </c>
      <c r="S182" s="2" t="str">
        <f t="shared" si="23"/>
        <v>High</v>
      </c>
      <c r="T182" s="2" t="str" cm="1">
        <f t="array" ref="T182">_xlfn.IFS(L182&gt;5,"High",L182=5,"Medium",L182&lt;5,"Low")</f>
        <v>Medium</v>
      </c>
      <c r="U182" s="2" t="str">
        <f t="shared" si="24"/>
        <v>Medium</v>
      </c>
      <c r="V182" s="14" t="str">
        <f t="shared" si="25"/>
        <v>Heavy Discount</v>
      </c>
      <c r="W182" s="16" t="str">
        <f t="shared" si="26"/>
        <v>Excellent</v>
      </c>
      <c r="X182" s="18" t="str" cm="1">
        <f t="array" ref="X182">_xlfn.IFS(O182&gt;7000,"Excellent",O182&gt;4000,"Good",O182&lt;4000,"Average")</f>
        <v>Excellent</v>
      </c>
      <c r="AD182" s="23" t="str">
        <f t="shared" si="27"/>
        <v>Not Eligible</v>
      </c>
      <c r="AE182" s="24" t="str">
        <f t="shared" si="28"/>
        <v>Online</v>
      </c>
      <c r="AF182" s="27" t="str">
        <f t="shared" si="29"/>
        <v>Priority Order</v>
      </c>
    </row>
    <row r="183" spans="1:32" x14ac:dyDescent="0.3">
      <c r="A183" s="2">
        <v>10182</v>
      </c>
      <c r="B183" s="2">
        <v>1502</v>
      </c>
      <c r="C183" s="3">
        <v>45001</v>
      </c>
      <c r="D183" s="3">
        <v>45007</v>
      </c>
      <c r="E183" s="2" t="s">
        <v>28</v>
      </c>
      <c r="F183" s="2" t="s">
        <v>29</v>
      </c>
      <c r="G183" s="2" t="s">
        <v>30</v>
      </c>
      <c r="H183" s="2" t="s">
        <v>48</v>
      </c>
      <c r="I183" s="2" t="s">
        <v>63</v>
      </c>
      <c r="J183" s="2" t="s">
        <v>65</v>
      </c>
      <c r="K183" s="2" t="s">
        <v>51</v>
      </c>
      <c r="L183" s="2">
        <v>4</v>
      </c>
      <c r="M183" s="2">
        <v>3043.09</v>
      </c>
      <c r="N183" s="2">
        <v>5</v>
      </c>
      <c r="O183" s="2">
        <v>11563.74</v>
      </c>
      <c r="P183" s="2">
        <f t="shared" si="20"/>
        <v>12172.36</v>
      </c>
      <c r="Q183" s="2">
        <f t="shared" si="21"/>
        <v>608.61800000000005</v>
      </c>
      <c r="R183" s="2">
        <f t="shared" si="22"/>
        <v>11563.742</v>
      </c>
      <c r="S183" s="2" t="str">
        <f t="shared" si="23"/>
        <v>Low</v>
      </c>
      <c r="T183" s="2" t="str" cm="1">
        <f t="array" ref="T183">_xlfn.IFS(L183&gt;5,"High",L183=5,"Medium",L183&lt;5,"Low")</f>
        <v>Low</v>
      </c>
      <c r="U183" s="2" t="str">
        <f t="shared" si="24"/>
        <v>Low</v>
      </c>
      <c r="V183" s="14" t="str">
        <f t="shared" si="25"/>
        <v>Normal Discount</v>
      </c>
      <c r="W183" s="16" t="str">
        <f t="shared" si="26"/>
        <v>Excellent</v>
      </c>
      <c r="X183" s="18" t="str" cm="1">
        <f t="array" ref="X183">_xlfn.IFS(O183&gt;7000,"Excellent",O183&gt;4000,"Good",O183&lt;4000,"Average")</f>
        <v>Excellent</v>
      </c>
      <c r="AD183" s="23" t="str">
        <f t="shared" si="27"/>
        <v>Eligible</v>
      </c>
      <c r="AE183" s="24" t="str">
        <f t="shared" si="28"/>
        <v>Online</v>
      </c>
      <c r="AF183" s="27" t="str">
        <f t="shared" si="29"/>
        <v>Priority Order</v>
      </c>
    </row>
    <row r="184" spans="1:32" x14ac:dyDescent="0.3">
      <c r="A184" s="2">
        <v>10183</v>
      </c>
      <c r="B184" s="2">
        <v>1766</v>
      </c>
      <c r="C184" s="3">
        <v>45285</v>
      </c>
      <c r="D184" s="3">
        <v>45294</v>
      </c>
      <c r="E184" s="2" t="s">
        <v>21</v>
      </c>
      <c r="F184" s="2" t="s">
        <v>29</v>
      </c>
      <c r="G184" s="2" t="s">
        <v>36</v>
      </c>
      <c r="H184" s="2" t="s">
        <v>24</v>
      </c>
      <c r="I184" s="2" t="s">
        <v>37</v>
      </c>
      <c r="J184" s="2" t="s">
        <v>45</v>
      </c>
      <c r="K184" s="2" t="s">
        <v>53</v>
      </c>
      <c r="L184" s="2">
        <v>7</v>
      </c>
      <c r="M184" s="2">
        <v>658.07</v>
      </c>
      <c r="N184" s="2">
        <v>20</v>
      </c>
      <c r="O184" s="2">
        <v>3685.19</v>
      </c>
      <c r="P184" s="2">
        <f t="shared" si="20"/>
        <v>4606.4900000000007</v>
      </c>
      <c r="Q184" s="2">
        <f t="shared" si="21"/>
        <v>921.29800000000023</v>
      </c>
      <c r="R184" s="2">
        <f t="shared" si="22"/>
        <v>3685.1920000000005</v>
      </c>
      <c r="S184" s="2" t="str">
        <f t="shared" si="23"/>
        <v>High</v>
      </c>
      <c r="T184" s="2" t="str" cm="1">
        <f t="array" ref="T184">_xlfn.IFS(L184&gt;5,"High",L184=5,"Medium",L184&lt;5,"Low")</f>
        <v>High</v>
      </c>
      <c r="U184" s="2" t="str">
        <f t="shared" si="24"/>
        <v>High</v>
      </c>
      <c r="V184" s="14" t="str">
        <f t="shared" si="25"/>
        <v>Heavy Discount</v>
      </c>
      <c r="W184" s="16" t="str">
        <f t="shared" si="26"/>
        <v>Average</v>
      </c>
      <c r="X184" s="18" t="str" cm="1">
        <f t="array" ref="X184">_xlfn.IFS(O184&gt;7000,"Excellent",O184&gt;4000,"Good",O184&lt;4000,"Average")</f>
        <v>Average</v>
      </c>
      <c r="AD184" s="23" t="str">
        <f t="shared" si="27"/>
        <v>Not Eligible</v>
      </c>
      <c r="AE184" s="24" t="str">
        <f t="shared" si="28"/>
        <v>Offline</v>
      </c>
      <c r="AF184" s="27" t="str">
        <f t="shared" si="29"/>
        <v>Priority Order</v>
      </c>
    </row>
    <row r="185" spans="1:32" x14ac:dyDescent="0.3">
      <c r="A185" s="2">
        <v>10184</v>
      </c>
      <c r="B185" s="2">
        <v>1397</v>
      </c>
      <c r="C185" s="3">
        <v>45063</v>
      </c>
      <c r="D185" s="3">
        <v>45072</v>
      </c>
      <c r="E185" s="2" t="s">
        <v>28</v>
      </c>
      <c r="F185" s="2" t="s">
        <v>60</v>
      </c>
      <c r="G185" s="2" t="s">
        <v>23</v>
      </c>
      <c r="H185" s="2" t="s">
        <v>50</v>
      </c>
      <c r="I185" s="2" t="s">
        <v>58</v>
      </c>
      <c r="J185" s="2" t="s">
        <v>70</v>
      </c>
      <c r="K185" s="2" t="s">
        <v>27</v>
      </c>
      <c r="L185" s="2">
        <v>5</v>
      </c>
      <c r="M185" s="2">
        <v>2125.75</v>
      </c>
      <c r="N185" s="2">
        <v>15</v>
      </c>
      <c r="O185" s="2">
        <v>9034.44</v>
      </c>
      <c r="P185" s="2">
        <f t="shared" si="20"/>
        <v>10628.75</v>
      </c>
      <c r="Q185" s="2">
        <f t="shared" si="21"/>
        <v>1594.3125</v>
      </c>
      <c r="R185" s="2">
        <f t="shared" si="22"/>
        <v>9034.4375</v>
      </c>
      <c r="S185" s="2" t="str">
        <f t="shared" si="23"/>
        <v>High</v>
      </c>
      <c r="T185" s="2" t="str" cm="1">
        <f t="array" ref="T185">_xlfn.IFS(L185&gt;5,"High",L185=5,"Medium",L185&lt;5,"Low")</f>
        <v>Medium</v>
      </c>
      <c r="U185" s="2" t="str">
        <f t="shared" si="24"/>
        <v>Medium</v>
      </c>
      <c r="V185" s="14" t="str">
        <f t="shared" si="25"/>
        <v>Heavy Discount</v>
      </c>
      <c r="W185" s="16" t="str">
        <f t="shared" si="26"/>
        <v>Excellent</v>
      </c>
      <c r="X185" s="18" t="str" cm="1">
        <f t="array" ref="X185">_xlfn.IFS(O185&gt;7000,"Excellent",O185&gt;4000,"Good",O185&lt;4000,"Average")</f>
        <v>Excellent</v>
      </c>
      <c r="AD185" s="23" t="str">
        <f t="shared" si="27"/>
        <v>Not Eligible</v>
      </c>
      <c r="AE185" s="24" t="str">
        <f t="shared" si="28"/>
        <v>Online</v>
      </c>
      <c r="AF185" s="27" t="str">
        <f t="shared" si="29"/>
        <v>Priority Order</v>
      </c>
    </row>
    <row r="186" spans="1:32" x14ac:dyDescent="0.3">
      <c r="A186" s="2">
        <v>10185</v>
      </c>
      <c r="B186" s="2">
        <v>1870</v>
      </c>
      <c r="C186" s="3">
        <v>45016</v>
      </c>
      <c r="D186" s="3">
        <v>45023</v>
      </c>
      <c r="E186" s="2" t="s">
        <v>40</v>
      </c>
      <c r="F186" s="2" t="s">
        <v>22</v>
      </c>
      <c r="G186" s="2" t="s">
        <v>23</v>
      </c>
      <c r="H186" s="2" t="s">
        <v>24</v>
      </c>
      <c r="I186" s="2" t="s">
        <v>37</v>
      </c>
      <c r="J186" s="2" t="s">
        <v>45</v>
      </c>
      <c r="K186" s="2" t="s">
        <v>53</v>
      </c>
      <c r="L186" s="2">
        <v>7</v>
      </c>
      <c r="M186" s="2">
        <v>898.62</v>
      </c>
      <c r="N186" s="2">
        <v>0</v>
      </c>
      <c r="O186" s="2">
        <v>6290.34</v>
      </c>
      <c r="P186" s="2">
        <f t="shared" si="20"/>
        <v>6290.34</v>
      </c>
      <c r="Q186" s="2">
        <f t="shared" si="21"/>
        <v>0</v>
      </c>
      <c r="R186" s="2">
        <f t="shared" si="22"/>
        <v>6290.34</v>
      </c>
      <c r="S186" s="2" t="str">
        <f t="shared" si="23"/>
        <v>High</v>
      </c>
      <c r="T186" s="2" t="str" cm="1">
        <f t="array" ref="T186">_xlfn.IFS(L186&gt;5,"High",L186=5,"Medium",L186&lt;5,"Low")</f>
        <v>High</v>
      </c>
      <c r="U186" s="2" t="str">
        <f t="shared" si="24"/>
        <v>High</v>
      </c>
      <c r="V186" s="14" t="str">
        <f t="shared" si="25"/>
        <v>Normal Discount</v>
      </c>
      <c r="W186" s="16" t="str">
        <f t="shared" si="26"/>
        <v>Good</v>
      </c>
      <c r="X186" s="18" t="str" cm="1">
        <f t="array" ref="X186">_xlfn.IFS(O186&gt;7000,"Excellent",O186&gt;4000,"Good",O186&lt;4000,"Average")</f>
        <v>Good</v>
      </c>
      <c r="AD186" s="23" t="str">
        <f t="shared" si="27"/>
        <v>Eligible</v>
      </c>
      <c r="AE186" s="24" t="str">
        <f t="shared" si="28"/>
        <v>Online</v>
      </c>
      <c r="AF186" s="27" t="str">
        <f t="shared" si="29"/>
        <v>Priority Order</v>
      </c>
    </row>
    <row r="187" spans="1:32" x14ac:dyDescent="0.3">
      <c r="A187" s="2">
        <v>10186</v>
      </c>
      <c r="B187" s="2">
        <v>1794</v>
      </c>
      <c r="C187" s="3">
        <v>45251</v>
      </c>
      <c r="D187" s="3">
        <v>45254</v>
      </c>
      <c r="E187" s="2" t="s">
        <v>43</v>
      </c>
      <c r="F187" s="2" t="s">
        <v>47</v>
      </c>
      <c r="G187" s="2" t="s">
        <v>36</v>
      </c>
      <c r="H187" s="2" t="s">
        <v>31</v>
      </c>
      <c r="I187" s="2" t="s">
        <v>58</v>
      </c>
      <c r="J187" s="2" t="s">
        <v>62</v>
      </c>
      <c r="K187" s="2" t="s">
        <v>53</v>
      </c>
      <c r="L187" s="2">
        <v>1</v>
      </c>
      <c r="M187" s="2">
        <v>508.81</v>
      </c>
      <c r="N187" s="2">
        <v>0</v>
      </c>
      <c r="O187" s="2">
        <v>508.81</v>
      </c>
      <c r="P187" s="2">
        <f t="shared" si="20"/>
        <v>508.81</v>
      </c>
      <c r="Q187" s="2">
        <f t="shared" si="21"/>
        <v>0</v>
      </c>
      <c r="R187" s="2">
        <f t="shared" si="22"/>
        <v>508.81</v>
      </c>
      <c r="S187" s="2" t="str">
        <f t="shared" si="23"/>
        <v>Low</v>
      </c>
      <c r="T187" s="2" t="str" cm="1">
        <f t="array" ref="T187">_xlfn.IFS(L187&gt;5,"High",L187=5,"Medium",L187&lt;5,"Low")</f>
        <v>Low</v>
      </c>
      <c r="U187" s="2" t="str">
        <f t="shared" si="24"/>
        <v>Low</v>
      </c>
      <c r="V187" s="14" t="str">
        <f t="shared" si="25"/>
        <v>Normal Discount</v>
      </c>
      <c r="W187" s="16" t="str">
        <f t="shared" si="26"/>
        <v>Average</v>
      </c>
      <c r="X187" s="18" t="str" cm="1">
        <f t="array" ref="X187">_xlfn.IFS(O187&gt;7000,"Excellent",O187&gt;4000,"Good",O187&lt;4000,"Average")</f>
        <v>Average</v>
      </c>
      <c r="AD187" s="23" t="str">
        <f t="shared" si="27"/>
        <v>Not Eligible</v>
      </c>
      <c r="AE187" s="24" t="str">
        <f t="shared" si="28"/>
        <v>Offline</v>
      </c>
      <c r="AF187" s="27" t="str">
        <f t="shared" si="29"/>
        <v>Normal Order</v>
      </c>
    </row>
    <row r="188" spans="1:32" x14ac:dyDescent="0.3">
      <c r="A188" s="2">
        <v>10187</v>
      </c>
      <c r="B188" s="2">
        <v>1392</v>
      </c>
      <c r="C188" s="3">
        <v>44987</v>
      </c>
      <c r="D188" s="3">
        <v>44991</v>
      </c>
      <c r="E188" s="2" t="s">
        <v>22</v>
      </c>
      <c r="F188" s="2" t="s">
        <v>47</v>
      </c>
      <c r="G188" s="2" t="s">
        <v>23</v>
      </c>
      <c r="H188" s="2" t="s">
        <v>50</v>
      </c>
      <c r="I188" s="2" t="s">
        <v>25</v>
      </c>
      <c r="J188" s="2" t="s">
        <v>49</v>
      </c>
      <c r="K188" s="2" t="s">
        <v>39</v>
      </c>
      <c r="L188" s="2">
        <v>1</v>
      </c>
      <c r="M188" s="2">
        <v>1730.41</v>
      </c>
      <c r="N188" s="2">
        <v>10</v>
      </c>
      <c r="O188" s="2">
        <v>1557.37</v>
      </c>
      <c r="P188" s="2">
        <f t="shared" si="20"/>
        <v>1730.41</v>
      </c>
      <c r="Q188" s="2">
        <f t="shared" si="21"/>
        <v>173.04100000000003</v>
      </c>
      <c r="R188" s="2">
        <f t="shared" si="22"/>
        <v>1557.3690000000001</v>
      </c>
      <c r="S188" s="2" t="str">
        <f t="shared" si="23"/>
        <v>Low</v>
      </c>
      <c r="T188" s="2" t="str" cm="1">
        <f t="array" ref="T188">_xlfn.IFS(L188&gt;5,"High",L188=5,"Medium",L188&lt;5,"Low")</f>
        <v>Low</v>
      </c>
      <c r="U188" s="2" t="str">
        <f t="shared" si="24"/>
        <v>Low</v>
      </c>
      <c r="V188" s="14" t="str">
        <f t="shared" si="25"/>
        <v>Normal Discount</v>
      </c>
      <c r="W188" s="16" t="str">
        <f t="shared" si="26"/>
        <v>Average</v>
      </c>
      <c r="X188" s="18" t="str" cm="1">
        <f t="array" ref="X188">_xlfn.IFS(O188&gt;7000,"Excellent",O188&gt;4000,"Good",O188&lt;4000,"Average")</f>
        <v>Average</v>
      </c>
      <c r="AD188" s="23" t="str">
        <f t="shared" si="27"/>
        <v>Not Eligible</v>
      </c>
      <c r="AE188" s="24" t="str">
        <f t="shared" si="28"/>
        <v>Online</v>
      </c>
      <c r="AF188" s="27" t="str">
        <f t="shared" si="29"/>
        <v>Normal Order</v>
      </c>
    </row>
    <row r="189" spans="1:32" x14ac:dyDescent="0.3">
      <c r="A189" s="2">
        <v>10188</v>
      </c>
      <c r="B189" s="2">
        <v>1206</v>
      </c>
      <c r="C189" s="3">
        <v>45064</v>
      </c>
      <c r="D189" s="3">
        <v>45070</v>
      </c>
      <c r="E189" s="2" t="s">
        <v>46</v>
      </c>
      <c r="F189" s="2" t="s">
        <v>60</v>
      </c>
      <c r="G189" s="2" t="s">
        <v>23</v>
      </c>
      <c r="H189" s="2" t="s">
        <v>31</v>
      </c>
      <c r="I189" s="2" t="s">
        <v>58</v>
      </c>
      <c r="J189" s="2" t="s">
        <v>59</v>
      </c>
      <c r="K189" s="2" t="s">
        <v>27</v>
      </c>
      <c r="L189" s="2">
        <v>3</v>
      </c>
      <c r="M189" s="2">
        <v>778.85</v>
      </c>
      <c r="N189" s="2">
        <v>10</v>
      </c>
      <c r="O189" s="2">
        <v>2102.89</v>
      </c>
      <c r="P189" s="2">
        <f t="shared" si="20"/>
        <v>2336.5500000000002</v>
      </c>
      <c r="Q189" s="2">
        <f t="shared" si="21"/>
        <v>233.65500000000003</v>
      </c>
      <c r="R189" s="2">
        <f t="shared" si="22"/>
        <v>2102.895</v>
      </c>
      <c r="S189" s="2" t="str">
        <f t="shared" si="23"/>
        <v>Low</v>
      </c>
      <c r="T189" s="2" t="str" cm="1">
        <f t="array" ref="T189">_xlfn.IFS(L189&gt;5,"High",L189=5,"Medium",L189&lt;5,"Low")</f>
        <v>Low</v>
      </c>
      <c r="U189" s="2" t="str">
        <f t="shared" si="24"/>
        <v>Low</v>
      </c>
      <c r="V189" s="14" t="str">
        <f t="shared" si="25"/>
        <v>Normal Discount</v>
      </c>
      <c r="W189" s="16" t="str">
        <f t="shared" si="26"/>
        <v>Average</v>
      </c>
      <c r="X189" s="18" t="str" cm="1">
        <f t="array" ref="X189">_xlfn.IFS(O189&gt;7000,"Excellent",O189&gt;4000,"Good",O189&lt;4000,"Average")</f>
        <v>Average</v>
      </c>
      <c r="AD189" s="23" t="str">
        <f t="shared" si="27"/>
        <v>Not Eligible</v>
      </c>
      <c r="AE189" s="24" t="str">
        <f t="shared" si="28"/>
        <v>Online</v>
      </c>
      <c r="AF189" s="27" t="str">
        <f t="shared" si="29"/>
        <v>Normal Order</v>
      </c>
    </row>
    <row r="190" spans="1:32" x14ac:dyDescent="0.3">
      <c r="A190" s="2">
        <v>10189</v>
      </c>
      <c r="B190" s="2">
        <v>1014</v>
      </c>
      <c r="C190" s="3">
        <v>44976</v>
      </c>
      <c r="D190" s="3">
        <v>44981</v>
      </c>
      <c r="E190" s="2" t="s">
        <v>22</v>
      </c>
      <c r="F190" s="2" t="s">
        <v>35</v>
      </c>
      <c r="G190" s="2" t="s">
        <v>23</v>
      </c>
      <c r="H190" s="2" t="s">
        <v>41</v>
      </c>
      <c r="I190" s="2" t="s">
        <v>63</v>
      </c>
      <c r="J190" s="2" t="s">
        <v>68</v>
      </c>
      <c r="K190" s="2" t="s">
        <v>27</v>
      </c>
      <c r="L190" s="2">
        <v>2</v>
      </c>
      <c r="M190" s="2">
        <v>1003.86</v>
      </c>
      <c r="N190" s="2">
        <v>10</v>
      </c>
      <c r="O190" s="2">
        <v>1806.95</v>
      </c>
      <c r="P190" s="2">
        <f t="shared" si="20"/>
        <v>2007.72</v>
      </c>
      <c r="Q190" s="2">
        <f t="shared" si="21"/>
        <v>200.77200000000002</v>
      </c>
      <c r="R190" s="2">
        <f t="shared" si="22"/>
        <v>1806.9480000000001</v>
      </c>
      <c r="S190" s="2" t="str">
        <f t="shared" si="23"/>
        <v>Low</v>
      </c>
      <c r="T190" s="2" t="str" cm="1">
        <f t="array" ref="T190">_xlfn.IFS(L190&gt;5,"High",L190=5,"Medium",L190&lt;5,"Low")</f>
        <v>Low</v>
      </c>
      <c r="U190" s="2" t="str">
        <f t="shared" si="24"/>
        <v>Low</v>
      </c>
      <c r="V190" s="14" t="str">
        <f t="shared" si="25"/>
        <v>Normal Discount</v>
      </c>
      <c r="W190" s="16" t="str">
        <f t="shared" si="26"/>
        <v>Average</v>
      </c>
      <c r="X190" s="18" t="str" cm="1">
        <f t="array" ref="X190">_xlfn.IFS(O190&gt;7000,"Excellent",O190&gt;4000,"Good",O190&lt;4000,"Average")</f>
        <v>Average</v>
      </c>
      <c r="AD190" s="23" t="str">
        <f t="shared" si="27"/>
        <v>Not Eligible</v>
      </c>
      <c r="AE190" s="24" t="str">
        <f t="shared" si="28"/>
        <v>Online</v>
      </c>
      <c r="AF190" s="27" t="str">
        <f t="shared" si="29"/>
        <v>Normal Order</v>
      </c>
    </row>
    <row r="191" spans="1:32" x14ac:dyDescent="0.3">
      <c r="A191" s="2">
        <v>10190</v>
      </c>
      <c r="B191" s="2">
        <v>1857</v>
      </c>
      <c r="C191" s="3">
        <v>45185</v>
      </c>
      <c r="D191" s="3">
        <v>45187</v>
      </c>
      <c r="E191" s="2" t="s">
        <v>40</v>
      </c>
      <c r="F191" s="2" t="s">
        <v>60</v>
      </c>
      <c r="G191" s="2" t="s">
        <v>36</v>
      </c>
      <c r="H191" s="2" t="s">
        <v>31</v>
      </c>
      <c r="I191" s="2" t="s">
        <v>55</v>
      </c>
      <c r="J191" s="2" t="s">
        <v>57</v>
      </c>
      <c r="K191" s="2" t="s">
        <v>27</v>
      </c>
      <c r="L191" s="2">
        <v>2</v>
      </c>
      <c r="M191" s="2">
        <v>1372.59</v>
      </c>
      <c r="N191" s="2">
        <v>5</v>
      </c>
      <c r="O191" s="2">
        <v>2607.92</v>
      </c>
      <c r="P191" s="2">
        <f t="shared" si="20"/>
        <v>2745.18</v>
      </c>
      <c r="Q191" s="2">
        <f t="shared" si="21"/>
        <v>137.25899999999999</v>
      </c>
      <c r="R191" s="2">
        <f t="shared" si="22"/>
        <v>2607.9209999999998</v>
      </c>
      <c r="S191" s="2" t="str">
        <f t="shared" si="23"/>
        <v>Low</v>
      </c>
      <c r="T191" s="2" t="str" cm="1">
        <f t="array" ref="T191">_xlfn.IFS(L191&gt;5,"High",L191=5,"Medium",L191&lt;5,"Low")</f>
        <v>Low</v>
      </c>
      <c r="U191" s="2" t="str">
        <f t="shared" si="24"/>
        <v>Low</v>
      </c>
      <c r="V191" s="14" t="str">
        <f t="shared" si="25"/>
        <v>Normal Discount</v>
      </c>
      <c r="W191" s="16" t="str">
        <f t="shared" si="26"/>
        <v>Average</v>
      </c>
      <c r="X191" s="18" t="str" cm="1">
        <f t="array" ref="X191">_xlfn.IFS(O191&gt;7000,"Excellent",O191&gt;4000,"Good",O191&lt;4000,"Average")</f>
        <v>Average</v>
      </c>
      <c r="AD191" s="23" t="str">
        <f t="shared" si="27"/>
        <v>Not Eligible</v>
      </c>
      <c r="AE191" s="24" t="str">
        <f t="shared" si="28"/>
        <v>Offline</v>
      </c>
      <c r="AF191" s="27" t="str">
        <f t="shared" si="29"/>
        <v>Normal Order</v>
      </c>
    </row>
    <row r="192" spans="1:32" x14ac:dyDescent="0.3">
      <c r="A192" s="2">
        <v>10191</v>
      </c>
      <c r="B192" s="2">
        <v>1553</v>
      </c>
      <c r="C192" s="3">
        <v>45033</v>
      </c>
      <c r="D192" s="3">
        <v>45039</v>
      </c>
      <c r="E192" s="2" t="s">
        <v>46</v>
      </c>
      <c r="F192" s="2" t="s">
        <v>35</v>
      </c>
      <c r="G192" s="2" t="s">
        <v>36</v>
      </c>
      <c r="H192" s="2" t="s">
        <v>41</v>
      </c>
      <c r="I192" s="2" t="s">
        <v>58</v>
      </c>
      <c r="J192" s="2" t="s">
        <v>62</v>
      </c>
      <c r="K192" s="2" t="s">
        <v>27</v>
      </c>
      <c r="L192" s="2">
        <v>7</v>
      </c>
      <c r="M192" s="2">
        <v>1148.6500000000001</v>
      </c>
      <c r="N192" s="2">
        <v>15</v>
      </c>
      <c r="O192" s="2">
        <v>6834.47</v>
      </c>
      <c r="P192" s="2">
        <f t="shared" si="20"/>
        <v>8040.5500000000011</v>
      </c>
      <c r="Q192" s="2">
        <f t="shared" si="21"/>
        <v>1206.0825000000002</v>
      </c>
      <c r="R192" s="2">
        <f t="shared" si="22"/>
        <v>6834.4675000000007</v>
      </c>
      <c r="S192" s="2" t="str">
        <f t="shared" si="23"/>
        <v>High</v>
      </c>
      <c r="T192" s="2" t="str" cm="1">
        <f t="array" ref="T192">_xlfn.IFS(L192&gt;5,"High",L192=5,"Medium",L192&lt;5,"Low")</f>
        <v>High</v>
      </c>
      <c r="U192" s="2" t="str">
        <f t="shared" si="24"/>
        <v>High</v>
      </c>
      <c r="V192" s="14" t="str">
        <f t="shared" si="25"/>
        <v>Heavy Discount</v>
      </c>
      <c r="W192" s="16" t="str">
        <f t="shared" si="26"/>
        <v>Good</v>
      </c>
      <c r="X192" s="18" t="str" cm="1">
        <f t="array" ref="X192">_xlfn.IFS(O192&gt;7000,"Excellent",O192&gt;4000,"Good",O192&lt;4000,"Average")</f>
        <v>Good</v>
      </c>
      <c r="AD192" s="23" t="str">
        <f t="shared" si="27"/>
        <v>Not Eligible</v>
      </c>
      <c r="AE192" s="24" t="str">
        <f t="shared" si="28"/>
        <v>Offline</v>
      </c>
      <c r="AF192" s="27" t="str">
        <f t="shared" si="29"/>
        <v>Priority Order</v>
      </c>
    </row>
    <row r="193" spans="1:32" x14ac:dyDescent="0.3">
      <c r="A193" s="2">
        <v>10192</v>
      </c>
      <c r="B193" s="2">
        <v>1891</v>
      </c>
      <c r="C193" s="3">
        <v>45039</v>
      </c>
      <c r="D193" s="3">
        <v>45042</v>
      </c>
      <c r="E193" s="2" t="s">
        <v>21</v>
      </c>
      <c r="F193" s="2" t="s">
        <v>35</v>
      </c>
      <c r="G193" s="2" t="s">
        <v>36</v>
      </c>
      <c r="H193" s="2" t="s">
        <v>41</v>
      </c>
      <c r="I193" s="2" t="s">
        <v>58</v>
      </c>
      <c r="J193" s="2" t="s">
        <v>66</v>
      </c>
      <c r="K193" s="2" t="s">
        <v>27</v>
      </c>
      <c r="L193" s="2">
        <v>2</v>
      </c>
      <c r="M193" s="2">
        <v>487.23</v>
      </c>
      <c r="N193" s="2">
        <v>15</v>
      </c>
      <c r="O193" s="2">
        <v>828.29</v>
      </c>
      <c r="P193" s="2">
        <f t="shared" si="20"/>
        <v>974.46</v>
      </c>
      <c r="Q193" s="2">
        <f t="shared" si="21"/>
        <v>146.16900000000001</v>
      </c>
      <c r="R193" s="2">
        <f t="shared" si="22"/>
        <v>828.29100000000005</v>
      </c>
      <c r="S193" s="2" t="str">
        <f t="shared" si="23"/>
        <v>Low</v>
      </c>
      <c r="T193" s="2" t="str" cm="1">
        <f t="array" ref="T193">_xlfn.IFS(L193&gt;5,"High",L193=5,"Medium",L193&lt;5,"Low")</f>
        <v>Low</v>
      </c>
      <c r="U193" s="2" t="str">
        <f t="shared" si="24"/>
        <v>Low</v>
      </c>
      <c r="V193" s="14" t="str">
        <f t="shared" si="25"/>
        <v>Heavy Discount</v>
      </c>
      <c r="W193" s="16" t="str">
        <f t="shared" si="26"/>
        <v>Average</v>
      </c>
      <c r="X193" s="18" t="str" cm="1">
        <f t="array" ref="X193">_xlfn.IFS(O193&gt;7000,"Excellent",O193&gt;4000,"Good",O193&lt;4000,"Average")</f>
        <v>Average</v>
      </c>
      <c r="AD193" s="23" t="str">
        <f t="shared" si="27"/>
        <v>Not Eligible</v>
      </c>
      <c r="AE193" s="24" t="str">
        <f t="shared" si="28"/>
        <v>Offline</v>
      </c>
      <c r="AF193" s="27" t="str">
        <f t="shared" si="29"/>
        <v>Normal Order</v>
      </c>
    </row>
    <row r="194" spans="1:32" x14ac:dyDescent="0.3">
      <c r="A194" s="2">
        <v>10193</v>
      </c>
      <c r="B194" s="2">
        <v>1460</v>
      </c>
      <c r="C194" s="3">
        <v>45276</v>
      </c>
      <c r="D194" s="3">
        <v>45284</v>
      </c>
      <c r="E194" s="2" t="s">
        <v>52</v>
      </c>
      <c r="F194" s="2" t="s">
        <v>44</v>
      </c>
      <c r="G194" s="2" t="s">
        <v>36</v>
      </c>
      <c r="H194" s="2" t="s">
        <v>31</v>
      </c>
      <c r="I194" s="2" t="s">
        <v>55</v>
      </c>
      <c r="J194" s="2" t="s">
        <v>57</v>
      </c>
      <c r="K194" s="2" t="s">
        <v>39</v>
      </c>
      <c r="L194" s="2">
        <v>4</v>
      </c>
      <c r="M194" s="2">
        <v>496.18</v>
      </c>
      <c r="N194" s="2">
        <v>15</v>
      </c>
      <c r="O194" s="2">
        <v>1687.01</v>
      </c>
      <c r="P194" s="2">
        <f t="shared" si="20"/>
        <v>1984.72</v>
      </c>
      <c r="Q194" s="2">
        <f t="shared" si="21"/>
        <v>297.70799999999997</v>
      </c>
      <c r="R194" s="2">
        <f t="shared" si="22"/>
        <v>1687.0120000000002</v>
      </c>
      <c r="S194" s="2" t="str">
        <f t="shared" si="23"/>
        <v>Low</v>
      </c>
      <c r="T194" s="2" t="str" cm="1">
        <f t="array" ref="T194">_xlfn.IFS(L194&gt;5,"High",L194=5,"Medium",L194&lt;5,"Low")</f>
        <v>Low</v>
      </c>
      <c r="U194" s="2" t="str">
        <f t="shared" si="24"/>
        <v>Low</v>
      </c>
      <c r="V194" s="14" t="str">
        <f t="shared" si="25"/>
        <v>Heavy Discount</v>
      </c>
      <c r="W194" s="16" t="str">
        <f t="shared" si="26"/>
        <v>Average</v>
      </c>
      <c r="X194" s="18" t="str" cm="1">
        <f t="array" ref="X194">_xlfn.IFS(O194&gt;7000,"Excellent",O194&gt;4000,"Good",O194&lt;4000,"Average")</f>
        <v>Average</v>
      </c>
      <c r="AD194" s="23" t="str">
        <f t="shared" si="27"/>
        <v>Not Eligible</v>
      </c>
      <c r="AE194" s="24" t="str">
        <f t="shared" si="28"/>
        <v>Offline</v>
      </c>
      <c r="AF194" s="27" t="str">
        <f t="shared" si="29"/>
        <v>Normal Order</v>
      </c>
    </row>
    <row r="195" spans="1:32" x14ac:dyDescent="0.3">
      <c r="A195" s="2">
        <v>10194</v>
      </c>
      <c r="B195" s="2">
        <v>1690</v>
      </c>
      <c r="C195" s="3">
        <v>45180</v>
      </c>
      <c r="D195" s="3">
        <v>45182</v>
      </c>
      <c r="E195" s="2" t="s">
        <v>40</v>
      </c>
      <c r="F195" s="2" t="s">
        <v>47</v>
      </c>
      <c r="G195" s="2" t="s">
        <v>30</v>
      </c>
      <c r="H195" s="2" t="s">
        <v>31</v>
      </c>
      <c r="I195" s="2" t="s">
        <v>63</v>
      </c>
      <c r="J195" s="2" t="s">
        <v>65</v>
      </c>
      <c r="K195" s="2" t="s">
        <v>51</v>
      </c>
      <c r="L195" s="2">
        <v>2</v>
      </c>
      <c r="M195" s="2">
        <v>894.01</v>
      </c>
      <c r="N195" s="2">
        <v>15</v>
      </c>
      <c r="O195" s="2">
        <v>1519.82</v>
      </c>
      <c r="P195" s="2">
        <f t="shared" ref="P195:P258" si="30">M195*L195</f>
        <v>1788.02</v>
      </c>
      <c r="Q195" s="2">
        <f t="shared" ref="Q195:Q258" si="31">P195*N195%</f>
        <v>268.20299999999997</v>
      </c>
      <c r="R195" s="2">
        <f t="shared" ref="R195:R258" si="32">P195-Q195</f>
        <v>1519.817</v>
      </c>
      <c r="S195" s="2" t="str">
        <f t="shared" ref="S195:S258" si="33">IF(L195&gt;=5,"High","Low")</f>
        <v>Low</v>
      </c>
      <c r="T195" s="2" t="str" cm="1">
        <f t="array" ref="T195">_xlfn.IFS(L195&gt;5,"High",L195=5,"Medium",L195&lt;5,"Low")</f>
        <v>Low</v>
      </c>
      <c r="U195" s="2" t="str">
        <f t="shared" ref="U195:U258" si="34">IF(L195&gt;5,"High",IF(L195=5,"Medium","Low"))</f>
        <v>Low</v>
      </c>
      <c r="V195" s="14" t="str">
        <f t="shared" ref="V195:V258" si="35">IF(N195&gt;10,"Heavy Discount","Normal Discount")</f>
        <v>Heavy Discount</v>
      </c>
      <c r="W195" s="16" t="str">
        <f t="shared" ref="W195:W258" si="36">IF(O195&gt;7000,"Excellent",IF(O195&gt;4000,"Good","Average"))</f>
        <v>Average</v>
      </c>
      <c r="X195" s="18" t="str" cm="1">
        <f t="array" ref="X195">_xlfn.IFS(O195&gt;7000,"Excellent",O195&gt;4000,"Good",O195&lt;4000,"Average")</f>
        <v>Average</v>
      </c>
      <c r="AD195" s="23" t="str">
        <f t="shared" ref="AD195:AD258" si="37">IF(AND(O195&gt;5000,N195&lt;10),"Eligible","Not Eligible")</f>
        <v>Not Eligible</v>
      </c>
      <c r="AE195" s="24" t="str">
        <f t="shared" ref="AE195:AE258" si="38">IF(G195&lt;&gt;"Marketplace","Online","Offline")</f>
        <v>Online</v>
      </c>
      <c r="AF195" s="27" t="str">
        <f t="shared" ref="AF195:AF258" si="39">IF(OR(O195&gt;7000,L195&gt;5),"Priority Order","Normal Order")</f>
        <v>Normal Order</v>
      </c>
    </row>
    <row r="196" spans="1:32" x14ac:dyDescent="0.3">
      <c r="A196" s="2">
        <v>10195</v>
      </c>
      <c r="B196" s="2">
        <v>1574</v>
      </c>
      <c r="C196" s="3">
        <v>45044</v>
      </c>
      <c r="D196" s="3">
        <v>45045</v>
      </c>
      <c r="E196" s="2" t="s">
        <v>40</v>
      </c>
      <c r="F196" s="2" t="s">
        <v>29</v>
      </c>
      <c r="G196" s="2" t="s">
        <v>23</v>
      </c>
      <c r="H196" s="2" t="s">
        <v>41</v>
      </c>
      <c r="I196" s="2" t="s">
        <v>37</v>
      </c>
      <c r="J196" s="2" t="s">
        <v>71</v>
      </c>
      <c r="K196" s="2" t="s">
        <v>53</v>
      </c>
      <c r="L196" s="2">
        <v>6</v>
      </c>
      <c r="M196" s="2">
        <v>344.65</v>
      </c>
      <c r="N196" s="2">
        <v>10</v>
      </c>
      <c r="O196" s="2">
        <v>1861.11</v>
      </c>
      <c r="P196" s="2">
        <f t="shared" si="30"/>
        <v>2067.8999999999996</v>
      </c>
      <c r="Q196" s="2">
        <f t="shared" si="31"/>
        <v>206.78999999999996</v>
      </c>
      <c r="R196" s="2">
        <f t="shared" si="32"/>
        <v>1861.1099999999997</v>
      </c>
      <c r="S196" s="2" t="str">
        <f t="shared" si="33"/>
        <v>High</v>
      </c>
      <c r="T196" s="2" t="str" cm="1">
        <f t="array" ref="T196">_xlfn.IFS(L196&gt;5,"High",L196=5,"Medium",L196&lt;5,"Low")</f>
        <v>High</v>
      </c>
      <c r="U196" s="2" t="str">
        <f t="shared" si="34"/>
        <v>High</v>
      </c>
      <c r="V196" s="14" t="str">
        <f t="shared" si="35"/>
        <v>Normal Discount</v>
      </c>
      <c r="W196" s="16" t="str">
        <f t="shared" si="36"/>
        <v>Average</v>
      </c>
      <c r="X196" s="18" t="str" cm="1">
        <f t="array" ref="X196">_xlfn.IFS(O196&gt;7000,"Excellent",O196&gt;4000,"Good",O196&lt;4000,"Average")</f>
        <v>Average</v>
      </c>
      <c r="AD196" s="23" t="str">
        <f t="shared" si="37"/>
        <v>Not Eligible</v>
      </c>
      <c r="AE196" s="24" t="str">
        <f t="shared" si="38"/>
        <v>Online</v>
      </c>
      <c r="AF196" s="27" t="str">
        <f t="shared" si="39"/>
        <v>Priority Order</v>
      </c>
    </row>
    <row r="197" spans="1:32" x14ac:dyDescent="0.3">
      <c r="A197" s="2">
        <v>10196</v>
      </c>
      <c r="B197" s="2">
        <v>1863</v>
      </c>
      <c r="C197" s="3">
        <v>45124</v>
      </c>
      <c r="D197" s="3">
        <v>45133</v>
      </c>
      <c r="E197" s="2" t="s">
        <v>43</v>
      </c>
      <c r="F197" s="2" t="s">
        <v>35</v>
      </c>
      <c r="G197" s="2" t="s">
        <v>36</v>
      </c>
      <c r="H197" s="2" t="s">
        <v>50</v>
      </c>
      <c r="I197" s="2" t="s">
        <v>58</v>
      </c>
      <c r="J197" s="2" t="s">
        <v>59</v>
      </c>
      <c r="K197" s="2" t="s">
        <v>27</v>
      </c>
      <c r="L197" s="2">
        <v>8</v>
      </c>
      <c r="M197" s="2">
        <v>2561.86</v>
      </c>
      <c r="N197" s="2">
        <v>0</v>
      </c>
      <c r="O197" s="2">
        <v>20494.88</v>
      </c>
      <c r="P197" s="2">
        <f t="shared" si="30"/>
        <v>20494.88</v>
      </c>
      <c r="Q197" s="2">
        <f t="shared" si="31"/>
        <v>0</v>
      </c>
      <c r="R197" s="2">
        <f t="shared" si="32"/>
        <v>20494.88</v>
      </c>
      <c r="S197" s="2" t="str">
        <f t="shared" si="33"/>
        <v>High</v>
      </c>
      <c r="T197" s="2" t="str" cm="1">
        <f t="array" ref="T197">_xlfn.IFS(L197&gt;5,"High",L197=5,"Medium",L197&lt;5,"Low")</f>
        <v>High</v>
      </c>
      <c r="U197" s="2" t="str">
        <f t="shared" si="34"/>
        <v>High</v>
      </c>
      <c r="V197" s="14" t="str">
        <f t="shared" si="35"/>
        <v>Normal Discount</v>
      </c>
      <c r="W197" s="16" t="str">
        <f t="shared" si="36"/>
        <v>Excellent</v>
      </c>
      <c r="X197" s="18" t="str" cm="1">
        <f t="array" ref="X197">_xlfn.IFS(O197&gt;7000,"Excellent",O197&gt;4000,"Good",O197&lt;4000,"Average")</f>
        <v>Excellent</v>
      </c>
      <c r="AD197" s="23" t="str">
        <f t="shared" si="37"/>
        <v>Eligible</v>
      </c>
      <c r="AE197" s="24" t="str">
        <f t="shared" si="38"/>
        <v>Offline</v>
      </c>
      <c r="AF197" s="27" t="str">
        <f t="shared" si="39"/>
        <v>Priority Order</v>
      </c>
    </row>
    <row r="198" spans="1:32" x14ac:dyDescent="0.3">
      <c r="A198" s="2">
        <v>10197</v>
      </c>
      <c r="B198" s="2">
        <v>1742</v>
      </c>
      <c r="C198" s="3">
        <v>45263</v>
      </c>
      <c r="D198" s="3">
        <v>45266</v>
      </c>
      <c r="E198" s="2" t="s">
        <v>22</v>
      </c>
      <c r="F198" s="2" t="s">
        <v>44</v>
      </c>
      <c r="G198" s="2" t="s">
        <v>23</v>
      </c>
      <c r="H198" s="2" t="s">
        <v>41</v>
      </c>
      <c r="I198" s="2" t="s">
        <v>55</v>
      </c>
      <c r="J198" s="2" t="s">
        <v>74</v>
      </c>
      <c r="K198" s="2" t="s">
        <v>51</v>
      </c>
      <c r="L198" s="2">
        <v>4</v>
      </c>
      <c r="M198" s="2">
        <v>1256.21</v>
      </c>
      <c r="N198" s="2">
        <v>10</v>
      </c>
      <c r="O198" s="2">
        <v>4522.3599999999997</v>
      </c>
      <c r="P198" s="2">
        <f t="shared" si="30"/>
        <v>5024.84</v>
      </c>
      <c r="Q198" s="2">
        <f t="shared" si="31"/>
        <v>502.48400000000004</v>
      </c>
      <c r="R198" s="2">
        <f t="shared" si="32"/>
        <v>4522.3559999999998</v>
      </c>
      <c r="S198" s="2" t="str">
        <f t="shared" si="33"/>
        <v>Low</v>
      </c>
      <c r="T198" s="2" t="str" cm="1">
        <f t="array" ref="T198">_xlfn.IFS(L198&gt;5,"High",L198=5,"Medium",L198&lt;5,"Low")</f>
        <v>Low</v>
      </c>
      <c r="U198" s="2" t="str">
        <f t="shared" si="34"/>
        <v>Low</v>
      </c>
      <c r="V198" s="14" t="str">
        <f t="shared" si="35"/>
        <v>Normal Discount</v>
      </c>
      <c r="W198" s="16" t="str">
        <f t="shared" si="36"/>
        <v>Good</v>
      </c>
      <c r="X198" s="18" t="str" cm="1">
        <f t="array" ref="X198">_xlfn.IFS(O198&gt;7000,"Excellent",O198&gt;4000,"Good",O198&lt;4000,"Average")</f>
        <v>Good</v>
      </c>
      <c r="AD198" s="23" t="str">
        <f t="shared" si="37"/>
        <v>Not Eligible</v>
      </c>
      <c r="AE198" s="24" t="str">
        <f t="shared" si="38"/>
        <v>Online</v>
      </c>
      <c r="AF198" s="27" t="str">
        <f t="shared" si="39"/>
        <v>Normal Order</v>
      </c>
    </row>
    <row r="199" spans="1:32" x14ac:dyDescent="0.3">
      <c r="A199" s="2">
        <v>10198</v>
      </c>
      <c r="B199" s="2">
        <v>1240</v>
      </c>
      <c r="C199" s="3">
        <v>45291</v>
      </c>
      <c r="D199" s="3">
        <v>45292</v>
      </c>
      <c r="E199" s="2" t="s">
        <v>40</v>
      </c>
      <c r="F199" s="2" t="s">
        <v>47</v>
      </c>
      <c r="G199" s="2" t="s">
        <v>23</v>
      </c>
      <c r="H199" s="2" t="s">
        <v>48</v>
      </c>
      <c r="I199" s="2" t="s">
        <v>25</v>
      </c>
      <c r="J199" s="2" t="s">
        <v>72</v>
      </c>
      <c r="K199" s="2" t="s">
        <v>51</v>
      </c>
      <c r="L199" s="2">
        <v>5</v>
      </c>
      <c r="M199" s="2">
        <v>1227.02</v>
      </c>
      <c r="N199" s="2">
        <v>15</v>
      </c>
      <c r="O199" s="2">
        <v>5214.84</v>
      </c>
      <c r="P199" s="2">
        <f t="shared" si="30"/>
        <v>6135.1</v>
      </c>
      <c r="Q199" s="2">
        <f t="shared" si="31"/>
        <v>920.26499999999999</v>
      </c>
      <c r="R199" s="2">
        <f t="shared" si="32"/>
        <v>5214.835</v>
      </c>
      <c r="S199" s="2" t="str">
        <f t="shared" si="33"/>
        <v>High</v>
      </c>
      <c r="T199" s="2" t="str" cm="1">
        <f t="array" ref="T199">_xlfn.IFS(L199&gt;5,"High",L199=5,"Medium",L199&lt;5,"Low")</f>
        <v>Medium</v>
      </c>
      <c r="U199" s="2" t="str">
        <f t="shared" si="34"/>
        <v>Medium</v>
      </c>
      <c r="V199" s="14" t="str">
        <f t="shared" si="35"/>
        <v>Heavy Discount</v>
      </c>
      <c r="W199" s="16" t="str">
        <f t="shared" si="36"/>
        <v>Good</v>
      </c>
      <c r="X199" s="18" t="str" cm="1">
        <f t="array" ref="X199">_xlfn.IFS(O199&gt;7000,"Excellent",O199&gt;4000,"Good",O199&lt;4000,"Average")</f>
        <v>Good</v>
      </c>
      <c r="AD199" s="23" t="str">
        <f t="shared" si="37"/>
        <v>Not Eligible</v>
      </c>
      <c r="AE199" s="24" t="str">
        <f t="shared" si="38"/>
        <v>Online</v>
      </c>
      <c r="AF199" s="27" t="str">
        <f t="shared" si="39"/>
        <v>Normal Order</v>
      </c>
    </row>
    <row r="200" spans="1:32" x14ac:dyDescent="0.3">
      <c r="A200" s="2">
        <v>10199</v>
      </c>
      <c r="B200" s="2">
        <v>1563</v>
      </c>
      <c r="C200" s="3">
        <v>44977</v>
      </c>
      <c r="D200" s="3">
        <v>44984</v>
      </c>
      <c r="E200" s="2" t="s">
        <v>40</v>
      </c>
      <c r="F200" s="2" t="s">
        <v>29</v>
      </c>
      <c r="G200" s="2" t="s">
        <v>30</v>
      </c>
      <c r="H200" s="2" t="s">
        <v>41</v>
      </c>
      <c r="I200" s="2" t="s">
        <v>55</v>
      </c>
      <c r="J200" s="2" t="s">
        <v>57</v>
      </c>
      <c r="K200" s="2" t="s">
        <v>53</v>
      </c>
      <c r="L200" s="2">
        <v>4</v>
      </c>
      <c r="M200" s="2">
        <v>1428.19</v>
      </c>
      <c r="N200" s="2">
        <v>10</v>
      </c>
      <c r="O200" s="2">
        <v>5141.4799999999996</v>
      </c>
      <c r="P200" s="2">
        <f t="shared" si="30"/>
        <v>5712.76</v>
      </c>
      <c r="Q200" s="2">
        <f t="shared" si="31"/>
        <v>571.27600000000007</v>
      </c>
      <c r="R200" s="2">
        <f t="shared" si="32"/>
        <v>5141.4840000000004</v>
      </c>
      <c r="S200" s="2" t="str">
        <f t="shared" si="33"/>
        <v>Low</v>
      </c>
      <c r="T200" s="2" t="str" cm="1">
        <f t="array" ref="T200">_xlfn.IFS(L200&gt;5,"High",L200=5,"Medium",L200&lt;5,"Low")</f>
        <v>Low</v>
      </c>
      <c r="U200" s="2" t="str">
        <f t="shared" si="34"/>
        <v>Low</v>
      </c>
      <c r="V200" s="14" t="str">
        <f t="shared" si="35"/>
        <v>Normal Discount</v>
      </c>
      <c r="W200" s="16" t="str">
        <f t="shared" si="36"/>
        <v>Good</v>
      </c>
      <c r="X200" s="18" t="str" cm="1">
        <f t="array" ref="X200">_xlfn.IFS(O200&gt;7000,"Excellent",O200&gt;4000,"Good",O200&lt;4000,"Average")</f>
        <v>Good</v>
      </c>
      <c r="AD200" s="23" t="str">
        <f t="shared" si="37"/>
        <v>Not Eligible</v>
      </c>
      <c r="AE200" s="24" t="str">
        <f t="shared" si="38"/>
        <v>Online</v>
      </c>
      <c r="AF200" s="27" t="str">
        <f t="shared" si="39"/>
        <v>Normal Order</v>
      </c>
    </row>
    <row r="201" spans="1:32" x14ac:dyDescent="0.3">
      <c r="A201" s="2">
        <v>10200</v>
      </c>
      <c r="B201" s="2">
        <v>1095</v>
      </c>
      <c r="C201" s="3">
        <v>45171</v>
      </c>
      <c r="D201" s="3">
        <v>45176</v>
      </c>
      <c r="E201" s="2" t="s">
        <v>21</v>
      </c>
      <c r="F201" s="2" t="s">
        <v>35</v>
      </c>
      <c r="G201" s="2" t="s">
        <v>36</v>
      </c>
      <c r="H201" s="2" t="s">
        <v>50</v>
      </c>
      <c r="I201" s="2" t="s">
        <v>25</v>
      </c>
      <c r="J201" s="2" t="s">
        <v>72</v>
      </c>
      <c r="K201" s="2" t="s">
        <v>39</v>
      </c>
      <c r="L201" s="2">
        <v>3</v>
      </c>
      <c r="M201" s="2">
        <v>2701.77</v>
      </c>
      <c r="N201" s="2">
        <v>15</v>
      </c>
      <c r="O201" s="2">
        <v>6889.51</v>
      </c>
      <c r="P201" s="2">
        <f t="shared" si="30"/>
        <v>8105.3099999999995</v>
      </c>
      <c r="Q201" s="2">
        <f t="shared" si="31"/>
        <v>1215.7964999999999</v>
      </c>
      <c r="R201" s="2">
        <f t="shared" si="32"/>
        <v>6889.5134999999991</v>
      </c>
      <c r="S201" s="2" t="str">
        <f t="shared" si="33"/>
        <v>Low</v>
      </c>
      <c r="T201" s="2" t="str" cm="1">
        <f t="array" ref="T201">_xlfn.IFS(L201&gt;5,"High",L201=5,"Medium",L201&lt;5,"Low")</f>
        <v>Low</v>
      </c>
      <c r="U201" s="2" t="str">
        <f t="shared" si="34"/>
        <v>Low</v>
      </c>
      <c r="V201" s="14" t="str">
        <f t="shared" si="35"/>
        <v>Heavy Discount</v>
      </c>
      <c r="W201" s="16" t="str">
        <f t="shared" si="36"/>
        <v>Good</v>
      </c>
      <c r="X201" s="18" t="str" cm="1">
        <f t="array" ref="X201">_xlfn.IFS(O201&gt;7000,"Excellent",O201&gt;4000,"Good",O201&lt;4000,"Average")</f>
        <v>Good</v>
      </c>
      <c r="AD201" s="23" t="str">
        <f t="shared" si="37"/>
        <v>Not Eligible</v>
      </c>
      <c r="AE201" s="24" t="str">
        <f t="shared" si="38"/>
        <v>Offline</v>
      </c>
      <c r="AF201" s="27" t="str">
        <f t="shared" si="39"/>
        <v>Normal Order</v>
      </c>
    </row>
    <row r="202" spans="1:32" x14ac:dyDescent="0.3">
      <c r="A202" s="2">
        <v>10201</v>
      </c>
      <c r="B202" s="2">
        <v>1899</v>
      </c>
      <c r="C202" s="3">
        <v>44961</v>
      </c>
      <c r="D202" s="3">
        <v>44966</v>
      </c>
      <c r="E202" s="2" t="s">
        <v>21</v>
      </c>
      <c r="F202" s="2" t="s">
        <v>35</v>
      </c>
      <c r="G202" s="2" t="s">
        <v>36</v>
      </c>
      <c r="H202" s="2" t="s">
        <v>48</v>
      </c>
      <c r="I202" s="2" t="s">
        <v>63</v>
      </c>
      <c r="J202" s="2" t="s">
        <v>65</v>
      </c>
      <c r="K202" s="2" t="s">
        <v>34</v>
      </c>
      <c r="L202" s="2">
        <v>5</v>
      </c>
      <c r="M202" s="2">
        <v>3501.94</v>
      </c>
      <c r="N202" s="2">
        <v>20</v>
      </c>
      <c r="O202" s="2">
        <v>14007.76</v>
      </c>
      <c r="P202" s="2">
        <f t="shared" si="30"/>
        <v>17509.7</v>
      </c>
      <c r="Q202" s="2">
        <f t="shared" si="31"/>
        <v>3501.9400000000005</v>
      </c>
      <c r="R202" s="2">
        <f t="shared" si="32"/>
        <v>14007.76</v>
      </c>
      <c r="S202" s="2" t="str">
        <f t="shared" si="33"/>
        <v>High</v>
      </c>
      <c r="T202" s="2" t="str" cm="1">
        <f t="array" ref="T202">_xlfn.IFS(L202&gt;5,"High",L202=5,"Medium",L202&lt;5,"Low")</f>
        <v>Medium</v>
      </c>
      <c r="U202" s="2" t="str">
        <f t="shared" si="34"/>
        <v>Medium</v>
      </c>
      <c r="V202" s="14" t="str">
        <f t="shared" si="35"/>
        <v>Heavy Discount</v>
      </c>
      <c r="W202" s="16" t="str">
        <f t="shared" si="36"/>
        <v>Excellent</v>
      </c>
      <c r="X202" s="18" t="str" cm="1">
        <f t="array" ref="X202">_xlfn.IFS(O202&gt;7000,"Excellent",O202&gt;4000,"Good",O202&lt;4000,"Average")</f>
        <v>Excellent</v>
      </c>
      <c r="AD202" s="23" t="str">
        <f t="shared" si="37"/>
        <v>Not Eligible</v>
      </c>
      <c r="AE202" s="24" t="str">
        <f t="shared" si="38"/>
        <v>Offline</v>
      </c>
      <c r="AF202" s="27" t="str">
        <f t="shared" si="39"/>
        <v>Priority Order</v>
      </c>
    </row>
    <row r="203" spans="1:32" x14ac:dyDescent="0.3">
      <c r="A203" s="2">
        <v>10202</v>
      </c>
      <c r="B203" s="2">
        <v>1733</v>
      </c>
      <c r="C203" s="3">
        <v>45228</v>
      </c>
      <c r="D203" s="3">
        <v>45229</v>
      </c>
      <c r="E203" s="2" t="s">
        <v>46</v>
      </c>
      <c r="F203" s="2" t="s">
        <v>60</v>
      </c>
      <c r="G203" s="2" t="s">
        <v>23</v>
      </c>
      <c r="H203" s="2" t="s">
        <v>24</v>
      </c>
      <c r="I203" s="2" t="s">
        <v>37</v>
      </c>
      <c r="J203" s="2" t="s">
        <v>71</v>
      </c>
      <c r="K203" s="2" t="s">
        <v>34</v>
      </c>
      <c r="L203" s="2">
        <v>9</v>
      </c>
      <c r="M203" s="2">
        <v>3072.48</v>
      </c>
      <c r="N203" s="2">
        <v>0</v>
      </c>
      <c r="O203" s="2">
        <v>27652.32</v>
      </c>
      <c r="P203" s="2">
        <f t="shared" si="30"/>
        <v>27652.32</v>
      </c>
      <c r="Q203" s="2">
        <f t="shared" si="31"/>
        <v>0</v>
      </c>
      <c r="R203" s="2">
        <f t="shared" si="32"/>
        <v>27652.32</v>
      </c>
      <c r="S203" s="2" t="str">
        <f t="shared" si="33"/>
        <v>High</v>
      </c>
      <c r="T203" s="2" t="str" cm="1">
        <f t="array" ref="T203">_xlfn.IFS(L203&gt;5,"High",L203=5,"Medium",L203&lt;5,"Low")</f>
        <v>High</v>
      </c>
      <c r="U203" s="2" t="str">
        <f t="shared" si="34"/>
        <v>High</v>
      </c>
      <c r="V203" s="14" t="str">
        <f t="shared" si="35"/>
        <v>Normal Discount</v>
      </c>
      <c r="W203" s="16" t="str">
        <f t="shared" si="36"/>
        <v>Excellent</v>
      </c>
      <c r="X203" s="18" t="str" cm="1">
        <f t="array" ref="X203">_xlfn.IFS(O203&gt;7000,"Excellent",O203&gt;4000,"Good",O203&lt;4000,"Average")</f>
        <v>Excellent</v>
      </c>
      <c r="AD203" s="23" t="str">
        <f t="shared" si="37"/>
        <v>Eligible</v>
      </c>
      <c r="AE203" s="24" t="str">
        <f t="shared" si="38"/>
        <v>Online</v>
      </c>
      <c r="AF203" s="27" t="str">
        <f t="shared" si="39"/>
        <v>Priority Order</v>
      </c>
    </row>
    <row r="204" spans="1:32" x14ac:dyDescent="0.3">
      <c r="A204" s="2">
        <v>10203</v>
      </c>
      <c r="B204" s="2">
        <v>1484</v>
      </c>
      <c r="C204" s="3">
        <v>44995</v>
      </c>
      <c r="D204" s="3">
        <v>45004</v>
      </c>
      <c r="E204" s="2" t="s">
        <v>28</v>
      </c>
      <c r="F204" s="2" t="s">
        <v>60</v>
      </c>
      <c r="G204" s="2" t="s">
        <v>36</v>
      </c>
      <c r="H204" s="2" t="s">
        <v>24</v>
      </c>
      <c r="I204" s="2" t="s">
        <v>55</v>
      </c>
      <c r="J204" s="2" t="s">
        <v>74</v>
      </c>
      <c r="K204" s="2" t="s">
        <v>51</v>
      </c>
      <c r="L204" s="2">
        <v>8</v>
      </c>
      <c r="M204" s="2">
        <v>2950.99</v>
      </c>
      <c r="N204" s="2">
        <v>20</v>
      </c>
      <c r="O204" s="2">
        <v>18886.34</v>
      </c>
      <c r="P204" s="2">
        <f t="shared" si="30"/>
        <v>23607.919999999998</v>
      </c>
      <c r="Q204" s="2">
        <f t="shared" si="31"/>
        <v>4721.5839999999998</v>
      </c>
      <c r="R204" s="2">
        <f t="shared" si="32"/>
        <v>18886.335999999999</v>
      </c>
      <c r="S204" s="2" t="str">
        <f t="shared" si="33"/>
        <v>High</v>
      </c>
      <c r="T204" s="2" t="str" cm="1">
        <f t="array" ref="T204">_xlfn.IFS(L204&gt;5,"High",L204=5,"Medium",L204&lt;5,"Low")</f>
        <v>High</v>
      </c>
      <c r="U204" s="2" t="str">
        <f t="shared" si="34"/>
        <v>High</v>
      </c>
      <c r="V204" s="14" t="str">
        <f t="shared" si="35"/>
        <v>Heavy Discount</v>
      </c>
      <c r="W204" s="16" t="str">
        <f t="shared" si="36"/>
        <v>Excellent</v>
      </c>
      <c r="X204" s="18" t="str" cm="1">
        <f t="array" ref="X204">_xlfn.IFS(O204&gt;7000,"Excellent",O204&gt;4000,"Good",O204&lt;4000,"Average")</f>
        <v>Excellent</v>
      </c>
      <c r="AD204" s="23" t="str">
        <f t="shared" si="37"/>
        <v>Not Eligible</v>
      </c>
      <c r="AE204" s="24" t="str">
        <f t="shared" si="38"/>
        <v>Offline</v>
      </c>
      <c r="AF204" s="27" t="str">
        <f t="shared" si="39"/>
        <v>Priority Order</v>
      </c>
    </row>
    <row r="205" spans="1:32" x14ac:dyDescent="0.3">
      <c r="A205" s="2">
        <v>10204</v>
      </c>
      <c r="B205" s="2">
        <v>1406</v>
      </c>
      <c r="C205" s="3">
        <v>45275</v>
      </c>
      <c r="D205" s="3">
        <v>45282</v>
      </c>
      <c r="E205" s="2" t="s">
        <v>28</v>
      </c>
      <c r="F205" s="2" t="s">
        <v>47</v>
      </c>
      <c r="G205" s="2" t="s">
        <v>23</v>
      </c>
      <c r="H205" s="2" t="s">
        <v>50</v>
      </c>
      <c r="I205" s="2" t="s">
        <v>32</v>
      </c>
      <c r="J205" s="2" t="s">
        <v>33</v>
      </c>
      <c r="K205" s="2" t="s">
        <v>53</v>
      </c>
      <c r="L205" s="2">
        <v>8</v>
      </c>
      <c r="M205" s="2">
        <v>2014.91</v>
      </c>
      <c r="N205" s="2">
        <v>5</v>
      </c>
      <c r="O205" s="2">
        <v>15313.32</v>
      </c>
      <c r="P205" s="2">
        <f t="shared" si="30"/>
        <v>16119.28</v>
      </c>
      <c r="Q205" s="2">
        <f t="shared" si="31"/>
        <v>805.96400000000006</v>
      </c>
      <c r="R205" s="2">
        <f t="shared" si="32"/>
        <v>15313.316000000001</v>
      </c>
      <c r="S205" s="2" t="str">
        <f t="shared" si="33"/>
        <v>High</v>
      </c>
      <c r="T205" s="2" t="str" cm="1">
        <f t="array" ref="T205">_xlfn.IFS(L205&gt;5,"High",L205=5,"Medium",L205&lt;5,"Low")</f>
        <v>High</v>
      </c>
      <c r="U205" s="2" t="str">
        <f t="shared" si="34"/>
        <v>High</v>
      </c>
      <c r="V205" s="14" t="str">
        <f t="shared" si="35"/>
        <v>Normal Discount</v>
      </c>
      <c r="W205" s="16" t="str">
        <f t="shared" si="36"/>
        <v>Excellent</v>
      </c>
      <c r="X205" s="18" t="str" cm="1">
        <f t="array" ref="X205">_xlfn.IFS(O205&gt;7000,"Excellent",O205&gt;4000,"Good",O205&lt;4000,"Average")</f>
        <v>Excellent</v>
      </c>
      <c r="AD205" s="23" t="str">
        <f t="shared" si="37"/>
        <v>Eligible</v>
      </c>
      <c r="AE205" s="24" t="str">
        <f t="shared" si="38"/>
        <v>Online</v>
      </c>
      <c r="AF205" s="27" t="str">
        <f t="shared" si="39"/>
        <v>Priority Order</v>
      </c>
    </row>
    <row r="206" spans="1:32" x14ac:dyDescent="0.3">
      <c r="A206" s="2">
        <v>10205</v>
      </c>
      <c r="B206" s="2">
        <v>1230</v>
      </c>
      <c r="C206" s="3">
        <v>45246</v>
      </c>
      <c r="D206" s="3">
        <v>45254</v>
      </c>
      <c r="E206" s="2" t="s">
        <v>52</v>
      </c>
      <c r="F206" s="2" t="s">
        <v>29</v>
      </c>
      <c r="G206" s="2" t="s">
        <v>23</v>
      </c>
      <c r="H206" s="2" t="s">
        <v>41</v>
      </c>
      <c r="I206" s="2" t="s">
        <v>58</v>
      </c>
      <c r="J206" s="2" t="s">
        <v>66</v>
      </c>
      <c r="K206" s="2" t="s">
        <v>34</v>
      </c>
      <c r="L206" s="2">
        <v>8</v>
      </c>
      <c r="M206" s="2">
        <v>2821.15</v>
      </c>
      <c r="N206" s="2">
        <v>10</v>
      </c>
      <c r="O206" s="2">
        <v>20312.28</v>
      </c>
      <c r="P206" s="2">
        <f t="shared" si="30"/>
        <v>22569.200000000001</v>
      </c>
      <c r="Q206" s="2">
        <f t="shared" si="31"/>
        <v>2256.92</v>
      </c>
      <c r="R206" s="2">
        <f t="shared" si="32"/>
        <v>20312.28</v>
      </c>
      <c r="S206" s="2" t="str">
        <f t="shared" si="33"/>
        <v>High</v>
      </c>
      <c r="T206" s="2" t="str" cm="1">
        <f t="array" ref="T206">_xlfn.IFS(L206&gt;5,"High",L206=5,"Medium",L206&lt;5,"Low")</f>
        <v>High</v>
      </c>
      <c r="U206" s="2" t="str">
        <f t="shared" si="34"/>
        <v>High</v>
      </c>
      <c r="V206" s="14" t="str">
        <f t="shared" si="35"/>
        <v>Normal Discount</v>
      </c>
      <c r="W206" s="16" t="str">
        <f t="shared" si="36"/>
        <v>Excellent</v>
      </c>
      <c r="X206" s="18" t="str" cm="1">
        <f t="array" ref="X206">_xlfn.IFS(O206&gt;7000,"Excellent",O206&gt;4000,"Good",O206&lt;4000,"Average")</f>
        <v>Excellent</v>
      </c>
      <c r="AD206" s="23" t="str">
        <f t="shared" si="37"/>
        <v>Not Eligible</v>
      </c>
      <c r="AE206" s="24" t="str">
        <f t="shared" si="38"/>
        <v>Online</v>
      </c>
      <c r="AF206" s="27" t="str">
        <f t="shared" si="39"/>
        <v>Priority Order</v>
      </c>
    </row>
    <row r="207" spans="1:32" x14ac:dyDescent="0.3">
      <c r="A207" s="2">
        <v>10206</v>
      </c>
      <c r="B207" s="2">
        <v>1748</v>
      </c>
      <c r="C207" s="3">
        <v>44975</v>
      </c>
      <c r="D207" s="3">
        <v>44984</v>
      </c>
      <c r="E207" s="2" t="s">
        <v>28</v>
      </c>
      <c r="F207" s="2" t="s">
        <v>35</v>
      </c>
      <c r="G207" s="2" t="s">
        <v>30</v>
      </c>
      <c r="H207" s="2" t="s">
        <v>31</v>
      </c>
      <c r="I207" s="2" t="s">
        <v>63</v>
      </c>
      <c r="J207" s="2" t="s">
        <v>65</v>
      </c>
      <c r="K207" s="2" t="s">
        <v>51</v>
      </c>
      <c r="L207" s="2">
        <v>8</v>
      </c>
      <c r="M207" s="2">
        <v>2278.14</v>
      </c>
      <c r="N207" s="2">
        <v>5</v>
      </c>
      <c r="O207" s="2">
        <v>17313.86</v>
      </c>
      <c r="P207" s="2">
        <f t="shared" si="30"/>
        <v>18225.12</v>
      </c>
      <c r="Q207" s="2">
        <f t="shared" si="31"/>
        <v>911.25599999999997</v>
      </c>
      <c r="R207" s="2">
        <f t="shared" si="32"/>
        <v>17313.863999999998</v>
      </c>
      <c r="S207" s="2" t="str">
        <f t="shared" si="33"/>
        <v>High</v>
      </c>
      <c r="T207" s="2" t="str" cm="1">
        <f t="array" ref="T207">_xlfn.IFS(L207&gt;5,"High",L207=5,"Medium",L207&lt;5,"Low")</f>
        <v>High</v>
      </c>
      <c r="U207" s="2" t="str">
        <f t="shared" si="34"/>
        <v>High</v>
      </c>
      <c r="V207" s="14" t="str">
        <f t="shared" si="35"/>
        <v>Normal Discount</v>
      </c>
      <c r="W207" s="16" t="str">
        <f t="shared" si="36"/>
        <v>Excellent</v>
      </c>
      <c r="X207" s="18" t="str" cm="1">
        <f t="array" ref="X207">_xlfn.IFS(O207&gt;7000,"Excellent",O207&gt;4000,"Good",O207&lt;4000,"Average")</f>
        <v>Excellent</v>
      </c>
      <c r="AD207" s="23" t="str">
        <f t="shared" si="37"/>
        <v>Eligible</v>
      </c>
      <c r="AE207" s="24" t="str">
        <f t="shared" si="38"/>
        <v>Online</v>
      </c>
      <c r="AF207" s="27" t="str">
        <f t="shared" si="39"/>
        <v>Priority Order</v>
      </c>
    </row>
    <row r="208" spans="1:32" x14ac:dyDescent="0.3">
      <c r="A208" s="2">
        <v>10207</v>
      </c>
      <c r="B208" s="2">
        <v>1654</v>
      </c>
      <c r="C208" s="3">
        <v>45000</v>
      </c>
      <c r="D208" s="3">
        <v>45006</v>
      </c>
      <c r="E208" s="2" t="s">
        <v>43</v>
      </c>
      <c r="F208" s="2" t="s">
        <v>47</v>
      </c>
      <c r="G208" s="2" t="s">
        <v>30</v>
      </c>
      <c r="H208" s="2" t="s">
        <v>50</v>
      </c>
      <c r="I208" s="2" t="s">
        <v>55</v>
      </c>
      <c r="J208" s="2" t="s">
        <v>57</v>
      </c>
      <c r="K208" s="2" t="s">
        <v>39</v>
      </c>
      <c r="L208" s="2">
        <v>7</v>
      </c>
      <c r="M208" s="2">
        <v>982.56</v>
      </c>
      <c r="N208" s="2">
        <v>10</v>
      </c>
      <c r="O208" s="2">
        <v>6190.13</v>
      </c>
      <c r="P208" s="2">
        <f t="shared" si="30"/>
        <v>6877.92</v>
      </c>
      <c r="Q208" s="2">
        <f t="shared" si="31"/>
        <v>687.79200000000003</v>
      </c>
      <c r="R208" s="2">
        <f t="shared" si="32"/>
        <v>6190.1279999999997</v>
      </c>
      <c r="S208" s="2" t="str">
        <f t="shared" si="33"/>
        <v>High</v>
      </c>
      <c r="T208" s="2" t="str" cm="1">
        <f t="array" ref="T208">_xlfn.IFS(L208&gt;5,"High",L208=5,"Medium",L208&lt;5,"Low")</f>
        <v>High</v>
      </c>
      <c r="U208" s="2" t="str">
        <f t="shared" si="34"/>
        <v>High</v>
      </c>
      <c r="V208" s="14" t="str">
        <f t="shared" si="35"/>
        <v>Normal Discount</v>
      </c>
      <c r="W208" s="16" t="str">
        <f t="shared" si="36"/>
        <v>Good</v>
      </c>
      <c r="X208" s="18" t="str" cm="1">
        <f t="array" ref="X208">_xlfn.IFS(O208&gt;7000,"Excellent",O208&gt;4000,"Good",O208&lt;4000,"Average")</f>
        <v>Good</v>
      </c>
      <c r="AD208" s="23" t="str">
        <f t="shared" si="37"/>
        <v>Not Eligible</v>
      </c>
      <c r="AE208" s="24" t="str">
        <f t="shared" si="38"/>
        <v>Online</v>
      </c>
      <c r="AF208" s="27" t="str">
        <f t="shared" si="39"/>
        <v>Priority Order</v>
      </c>
    </row>
    <row r="209" spans="1:32" x14ac:dyDescent="0.3">
      <c r="A209" s="2">
        <v>10208</v>
      </c>
      <c r="B209" s="2">
        <v>1170</v>
      </c>
      <c r="C209" s="3">
        <v>45118</v>
      </c>
      <c r="D209" s="3">
        <v>45123</v>
      </c>
      <c r="E209" s="2" t="s">
        <v>52</v>
      </c>
      <c r="F209" s="2" t="s">
        <v>47</v>
      </c>
      <c r="G209" s="2" t="s">
        <v>30</v>
      </c>
      <c r="H209" s="2" t="s">
        <v>48</v>
      </c>
      <c r="I209" s="2" t="s">
        <v>58</v>
      </c>
      <c r="J209" s="2" t="s">
        <v>59</v>
      </c>
      <c r="K209" s="2" t="s">
        <v>34</v>
      </c>
      <c r="L209" s="2">
        <v>8</v>
      </c>
      <c r="M209" s="2">
        <v>953.07</v>
      </c>
      <c r="N209" s="2">
        <v>20</v>
      </c>
      <c r="O209" s="2">
        <v>6099.65</v>
      </c>
      <c r="P209" s="2">
        <f t="shared" si="30"/>
        <v>7624.56</v>
      </c>
      <c r="Q209" s="2">
        <f t="shared" si="31"/>
        <v>1524.9120000000003</v>
      </c>
      <c r="R209" s="2">
        <f t="shared" si="32"/>
        <v>6099.6480000000001</v>
      </c>
      <c r="S209" s="2" t="str">
        <f t="shared" si="33"/>
        <v>High</v>
      </c>
      <c r="T209" s="2" t="str" cm="1">
        <f t="array" ref="T209">_xlfn.IFS(L209&gt;5,"High",L209=5,"Medium",L209&lt;5,"Low")</f>
        <v>High</v>
      </c>
      <c r="U209" s="2" t="str">
        <f t="shared" si="34"/>
        <v>High</v>
      </c>
      <c r="V209" s="14" t="str">
        <f t="shared" si="35"/>
        <v>Heavy Discount</v>
      </c>
      <c r="W209" s="16" t="str">
        <f t="shared" si="36"/>
        <v>Good</v>
      </c>
      <c r="X209" s="18" t="str" cm="1">
        <f t="array" ref="X209">_xlfn.IFS(O209&gt;7000,"Excellent",O209&gt;4000,"Good",O209&lt;4000,"Average")</f>
        <v>Good</v>
      </c>
      <c r="AD209" s="23" t="str">
        <f t="shared" si="37"/>
        <v>Not Eligible</v>
      </c>
      <c r="AE209" s="24" t="str">
        <f t="shared" si="38"/>
        <v>Online</v>
      </c>
      <c r="AF209" s="27" t="str">
        <f t="shared" si="39"/>
        <v>Priority Order</v>
      </c>
    </row>
    <row r="210" spans="1:32" x14ac:dyDescent="0.3">
      <c r="A210" s="2">
        <v>10209</v>
      </c>
      <c r="B210" s="2">
        <v>1540</v>
      </c>
      <c r="C210" s="3">
        <v>45187</v>
      </c>
      <c r="D210" s="3">
        <v>45193</v>
      </c>
      <c r="E210" s="2" t="s">
        <v>46</v>
      </c>
      <c r="F210" s="2" t="s">
        <v>22</v>
      </c>
      <c r="G210" s="2" t="s">
        <v>23</v>
      </c>
      <c r="H210" s="2" t="s">
        <v>48</v>
      </c>
      <c r="I210" s="2" t="s">
        <v>55</v>
      </c>
      <c r="J210" s="2" t="s">
        <v>56</v>
      </c>
      <c r="K210" s="2" t="s">
        <v>51</v>
      </c>
      <c r="L210" s="2">
        <v>8</v>
      </c>
      <c r="M210" s="2">
        <v>1291.1099999999999</v>
      </c>
      <c r="N210" s="2">
        <v>15</v>
      </c>
      <c r="O210" s="2">
        <v>8779.5499999999993</v>
      </c>
      <c r="P210" s="2">
        <f t="shared" si="30"/>
        <v>10328.879999999999</v>
      </c>
      <c r="Q210" s="2">
        <f t="shared" si="31"/>
        <v>1549.3319999999999</v>
      </c>
      <c r="R210" s="2">
        <f t="shared" si="32"/>
        <v>8779.5479999999989</v>
      </c>
      <c r="S210" s="2" t="str">
        <f t="shared" si="33"/>
        <v>High</v>
      </c>
      <c r="T210" s="2" t="str" cm="1">
        <f t="array" ref="T210">_xlfn.IFS(L210&gt;5,"High",L210=5,"Medium",L210&lt;5,"Low")</f>
        <v>High</v>
      </c>
      <c r="U210" s="2" t="str">
        <f t="shared" si="34"/>
        <v>High</v>
      </c>
      <c r="V210" s="14" t="str">
        <f t="shared" si="35"/>
        <v>Heavy Discount</v>
      </c>
      <c r="W210" s="16" t="str">
        <f t="shared" si="36"/>
        <v>Excellent</v>
      </c>
      <c r="X210" s="18" t="str" cm="1">
        <f t="array" ref="X210">_xlfn.IFS(O210&gt;7000,"Excellent",O210&gt;4000,"Good",O210&lt;4000,"Average")</f>
        <v>Excellent</v>
      </c>
      <c r="AD210" s="23" t="str">
        <f t="shared" si="37"/>
        <v>Not Eligible</v>
      </c>
      <c r="AE210" s="24" t="str">
        <f t="shared" si="38"/>
        <v>Online</v>
      </c>
      <c r="AF210" s="27" t="str">
        <f t="shared" si="39"/>
        <v>Priority Order</v>
      </c>
    </row>
    <row r="211" spans="1:32" x14ac:dyDescent="0.3">
      <c r="A211" s="2">
        <v>10210</v>
      </c>
      <c r="B211" s="2">
        <v>1035</v>
      </c>
      <c r="C211" s="3">
        <v>45282</v>
      </c>
      <c r="D211" s="3">
        <v>45284</v>
      </c>
      <c r="E211" s="2" t="s">
        <v>21</v>
      </c>
      <c r="F211" s="2" t="s">
        <v>60</v>
      </c>
      <c r="G211" s="2" t="s">
        <v>36</v>
      </c>
      <c r="H211" s="2" t="s">
        <v>24</v>
      </c>
      <c r="I211" s="2" t="s">
        <v>25</v>
      </c>
      <c r="J211" s="2" t="s">
        <v>26</v>
      </c>
      <c r="K211" s="2" t="s">
        <v>51</v>
      </c>
      <c r="L211" s="2">
        <v>8</v>
      </c>
      <c r="M211" s="2">
        <v>3656.59</v>
      </c>
      <c r="N211" s="2">
        <v>15</v>
      </c>
      <c r="O211" s="2">
        <v>24864.81</v>
      </c>
      <c r="P211" s="2">
        <f t="shared" si="30"/>
        <v>29252.720000000001</v>
      </c>
      <c r="Q211" s="2">
        <f t="shared" si="31"/>
        <v>4387.9080000000004</v>
      </c>
      <c r="R211" s="2">
        <f t="shared" si="32"/>
        <v>24864.812000000002</v>
      </c>
      <c r="S211" s="2" t="str">
        <f t="shared" si="33"/>
        <v>High</v>
      </c>
      <c r="T211" s="2" t="str" cm="1">
        <f t="array" ref="T211">_xlfn.IFS(L211&gt;5,"High",L211=5,"Medium",L211&lt;5,"Low")</f>
        <v>High</v>
      </c>
      <c r="U211" s="2" t="str">
        <f t="shared" si="34"/>
        <v>High</v>
      </c>
      <c r="V211" s="14" t="str">
        <f t="shared" si="35"/>
        <v>Heavy Discount</v>
      </c>
      <c r="W211" s="16" t="str">
        <f t="shared" si="36"/>
        <v>Excellent</v>
      </c>
      <c r="X211" s="18" t="str" cm="1">
        <f t="array" ref="X211">_xlfn.IFS(O211&gt;7000,"Excellent",O211&gt;4000,"Good",O211&lt;4000,"Average")</f>
        <v>Excellent</v>
      </c>
      <c r="AD211" s="23" t="str">
        <f t="shared" si="37"/>
        <v>Not Eligible</v>
      </c>
      <c r="AE211" s="24" t="str">
        <f t="shared" si="38"/>
        <v>Offline</v>
      </c>
      <c r="AF211" s="27" t="str">
        <f t="shared" si="39"/>
        <v>Priority Order</v>
      </c>
    </row>
    <row r="212" spans="1:32" x14ac:dyDescent="0.3">
      <c r="A212" s="2">
        <v>10211</v>
      </c>
      <c r="B212" s="2">
        <v>1524</v>
      </c>
      <c r="C212" s="3">
        <v>44996</v>
      </c>
      <c r="D212" s="3">
        <v>45000</v>
      </c>
      <c r="E212" s="2" t="s">
        <v>28</v>
      </c>
      <c r="F212" s="2" t="s">
        <v>29</v>
      </c>
      <c r="G212" s="2" t="s">
        <v>30</v>
      </c>
      <c r="H212" s="2" t="s">
        <v>48</v>
      </c>
      <c r="I212" s="2" t="s">
        <v>55</v>
      </c>
      <c r="J212" s="2" t="s">
        <v>57</v>
      </c>
      <c r="K212" s="2" t="s">
        <v>27</v>
      </c>
      <c r="L212" s="2">
        <v>7</v>
      </c>
      <c r="M212" s="2">
        <v>2257.5500000000002</v>
      </c>
      <c r="N212" s="2">
        <v>10</v>
      </c>
      <c r="O212" s="2">
        <v>14222.56</v>
      </c>
      <c r="P212" s="2">
        <f t="shared" si="30"/>
        <v>15802.850000000002</v>
      </c>
      <c r="Q212" s="2">
        <f t="shared" si="31"/>
        <v>1580.2850000000003</v>
      </c>
      <c r="R212" s="2">
        <f t="shared" si="32"/>
        <v>14222.565000000002</v>
      </c>
      <c r="S212" s="2" t="str">
        <f t="shared" si="33"/>
        <v>High</v>
      </c>
      <c r="T212" s="2" t="str" cm="1">
        <f t="array" ref="T212">_xlfn.IFS(L212&gt;5,"High",L212=5,"Medium",L212&lt;5,"Low")</f>
        <v>High</v>
      </c>
      <c r="U212" s="2" t="str">
        <f t="shared" si="34"/>
        <v>High</v>
      </c>
      <c r="V212" s="14" t="str">
        <f t="shared" si="35"/>
        <v>Normal Discount</v>
      </c>
      <c r="W212" s="16" t="str">
        <f t="shared" si="36"/>
        <v>Excellent</v>
      </c>
      <c r="X212" s="18" t="str" cm="1">
        <f t="array" ref="X212">_xlfn.IFS(O212&gt;7000,"Excellent",O212&gt;4000,"Good",O212&lt;4000,"Average")</f>
        <v>Excellent</v>
      </c>
      <c r="AD212" s="23" t="str">
        <f t="shared" si="37"/>
        <v>Not Eligible</v>
      </c>
      <c r="AE212" s="24" t="str">
        <f t="shared" si="38"/>
        <v>Online</v>
      </c>
      <c r="AF212" s="27" t="str">
        <f t="shared" si="39"/>
        <v>Priority Order</v>
      </c>
    </row>
    <row r="213" spans="1:32" x14ac:dyDescent="0.3">
      <c r="A213" s="2">
        <v>10212</v>
      </c>
      <c r="B213" s="2">
        <v>1159</v>
      </c>
      <c r="C213" s="3">
        <v>45016</v>
      </c>
      <c r="D213" s="3">
        <v>45019</v>
      </c>
      <c r="E213" s="2" t="s">
        <v>22</v>
      </c>
      <c r="F213" s="2" t="s">
        <v>35</v>
      </c>
      <c r="G213" s="2" t="s">
        <v>36</v>
      </c>
      <c r="H213" s="2" t="s">
        <v>50</v>
      </c>
      <c r="I213" s="2" t="s">
        <v>32</v>
      </c>
      <c r="J213" s="2" t="s">
        <v>67</v>
      </c>
      <c r="K213" s="2" t="s">
        <v>39</v>
      </c>
      <c r="L213" s="2">
        <v>1</v>
      </c>
      <c r="M213" s="2">
        <v>2975.54</v>
      </c>
      <c r="N213" s="2">
        <v>15</v>
      </c>
      <c r="O213" s="2">
        <v>2529.21</v>
      </c>
      <c r="P213" s="2">
        <f t="shared" si="30"/>
        <v>2975.54</v>
      </c>
      <c r="Q213" s="2">
        <f t="shared" si="31"/>
        <v>446.33099999999996</v>
      </c>
      <c r="R213" s="2">
        <f t="shared" si="32"/>
        <v>2529.2089999999998</v>
      </c>
      <c r="S213" s="2" t="str">
        <f t="shared" si="33"/>
        <v>Low</v>
      </c>
      <c r="T213" s="2" t="str" cm="1">
        <f t="array" ref="T213">_xlfn.IFS(L213&gt;5,"High",L213=5,"Medium",L213&lt;5,"Low")</f>
        <v>Low</v>
      </c>
      <c r="U213" s="2" t="str">
        <f t="shared" si="34"/>
        <v>Low</v>
      </c>
      <c r="V213" s="14" t="str">
        <f t="shared" si="35"/>
        <v>Heavy Discount</v>
      </c>
      <c r="W213" s="16" t="str">
        <f t="shared" si="36"/>
        <v>Average</v>
      </c>
      <c r="X213" s="18" t="str" cm="1">
        <f t="array" ref="X213">_xlfn.IFS(O213&gt;7000,"Excellent",O213&gt;4000,"Good",O213&lt;4000,"Average")</f>
        <v>Average</v>
      </c>
      <c r="AD213" s="23" t="str">
        <f t="shared" si="37"/>
        <v>Not Eligible</v>
      </c>
      <c r="AE213" s="24" t="str">
        <f t="shared" si="38"/>
        <v>Offline</v>
      </c>
      <c r="AF213" s="27" t="str">
        <f t="shared" si="39"/>
        <v>Normal Order</v>
      </c>
    </row>
    <row r="214" spans="1:32" x14ac:dyDescent="0.3">
      <c r="A214" s="2">
        <v>10213</v>
      </c>
      <c r="B214" s="2">
        <v>1838</v>
      </c>
      <c r="C214" s="3">
        <v>45186</v>
      </c>
      <c r="D214" s="3">
        <v>45193</v>
      </c>
      <c r="E214" s="2" t="s">
        <v>21</v>
      </c>
      <c r="F214" s="2" t="s">
        <v>47</v>
      </c>
      <c r="G214" s="2" t="s">
        <v>30</v>
      </c>
      <c r="H214" s="2" t="s">
        <v>48</v>
      </c>
      <c r="I214" s="2" t="s">
        <v>55</v>
      </c>
      <c r="J214" s="2" t="s">
        <v>69</v>
      </c>
      <c r="K214" s="2" t="s">
        <v>27</v>
      </c>
      <c r="L214" s="2">
        <v>4</v>
      </c>
      <c r="M214" s="2">
        <v>1484.25</v>
      </c>
      <c r="N214" s="2">
        <v>20</v>
      </c>
      <c r="O214" s="2">
        <v>4749.6000000000004</v>
      </c>
      <c r="P214" s="2">
        <f t="shared" si="30"/>
        <v>5937</v>
      </c>
      <c r="Q214" s="2">
        <f t="shared" si="31"/>
        <v>1187.4000000000001</v>
      </c>
      <c r="R214" s="2">
        <f t="shared" si="32"/>
        <v>4749.6000000000004</v>
      </c>
      <c r="S214" s="2" t="str">
        <f t="shared" si="33"/>
        <v>Low</v>
      </c>
      <c r="T214" s="2" t="str" cm="1">
        <f t="array" ref="T214">_xlfn.IFS(L214&gt;5,"High",L214=5,"Medium",L214&lt;5,"Low")</f>
        <v>Low</v>
      </c>
      <c r="U214" s="2" t="str">
        <f t="shared" si="34"/>
        <v>Low</v>
      </c>
      <c r="V214" s="14" t="str">
        <f t="shared" si="35"/>
        <v>Heavy Discount</v>
      </c>
      <c r="W214" s="16" t="str">
        <f t="shared" si="36"/>
        <v>Good</v>
      </c>
      <c r="X214" s="18" t="str" cm="1">
        <f t="array" ref="X214">_xlfn.IFS(O214&gt;7000,"Excellent",O214&gt;4000,"Good",O214&lt;4000,"Average")</f>
        <v>Good</v>
      </c>
      <c r="AD214" s="23" t="str">
        <f t="shared" si="37"/>
        <v>Not Eligible</v>
      </c>
      <c r="AE214" s="24" t="str">
        <f t="shared" si="38"/>
        <v>Online</v>
      </c>
      <c r="AF214" s="27" t="str">
        <f t="shared" si="39"/>
        <v>Normal Order</v>
      </c>
    </row>
    <row r="215" spans="1:32" x14ac:dyDescent="0.3">
      <c r="A215" s="2">
        <v>10214</v>
      </c>
      <c r="B215" s="2">
        <v>1698</v>
      </c>
      <c r="C215" s="3">
        <v>45052</v>
      </c>
      <c r="D215" s="3">
        <v>45061</v>
      </c>
      <c r="E215" s="2" t="s">
        <v>43</v>
      </c>
      <c r="F215" s="2" t="s">
        <v>35</v>
      </c>
      <c r="G215" s="2" t="s">
        <v>30</v>
      </c>
      <c r="H215" s="2" t="s">
        <v>50</v>
      </c>
      <c r="I215" s="2" t="s">
        <v>55</v>
      </c>
      <c r="J215" s="2" t="s">
        <v>69</v>
      </c>
      <c r="K215" s="2" t="s">
        <v>53</v>
      </c>
      <c r="L215" s="2">
        <v>4</v>
      </c>
      <c r="M215" s="2">
        <v>1719.71</v>
      </c>
      <c r="N215" s="2">
        <v>15</v>
      </c>
      <c r="O215" s="2">
        <v>5847.01</v>
      </c>
      <c r="P215" s="2">
        <f t="shared" si="30"/>
        <v>6878.84</v>
      </c>
      <c r="Q215" s="2">
        <f t="shared" si="31"/>
        <v>1031.826</v>
      </c>
      <c r="R215" s="2">
        <f t="shared" si="32"/>
        <v>5847.0140000000001</v>
      </c>
      <c r="S215" s="2" t="str">
        <f t="shared" si="33"/>
        <v>Low</v>
      </c>
      <c r="T215" s="2" t="str" cm="1">
        <f t="array" ref="T215">_xlfn.IFS(L215&gt;5,"High",L215=5,"Medium",L215&lt;5,"Low")</f>
        <v>Low</v>
      </c>
      <c r="U215" s="2" t="str">
        <f t="shared" si="34"/>
        <v>Low</v>
      </c>
      <c r="V215" s="14" t="str">
        <f t="shared" si="35"/>
        <v>Heavy Discount</v>
      </c>
      <c r="W215" s="16" t="str">
        <f t="shared" si="36"/>
        <v>Good</v>
      </c>
      <c r="X215" s="18" t="str" cm="1">
        <f t="array" ref="X215">_xlfn.IFS(O215&gt;7000,"Excellent",O215&gt;4000,"Good",O215&lt;4000,"Average")</f>
        <v>Good</v>
      </c>
      <c r="AD215" s="23" t="str">
        <f t="shared" si="37"/>
        <v>Not Eligible</v>
      </c>
      <c r="AE215" s="24" t="str">
        <f t="shared" si="38"/>
        <v>Online</v>
      </c>
      <c r="AF215" s="27" t="str">
        <f t="shared" si="39"/>
        <v>Normal Order</v>
      </c>
    </row>
    <row r="216" spans="1:32" x14ac:dyDescent="0.3">
      <c r="A216" s="2">
        <v>10215</v>
      </c>
      <c r="B216" s="2">
        <v>1242</v>
      </c>
      <c r="C216" s="3">
        <v>45157</v>
      </c>
      <c r="D216" s="3">
        <v>45162</v>
      </c>
      <c r="E216" s="2" t="s">
        <v>21</v>
      </c>
      <c r="F216" s="2" t="s">
        <v>22</v>
      </c>
      <c r="G216" s="2" t="s">
        <v>23</v>
      </c>
      <c r="H216" s="2" t="s">
        <v>31</v>
      </c>
      <c r="I216" s="2" t="s">
        <v>32</v>
      </c>
      <c r="J216" s="2" t="s">
        <v>33</v>
      </c>
      <c r="K216" s="2" t="s">
        <v>27</v>
      </c>
      <c r="L216" s="2">
        <v>5</v>
      </c>
      <c r="M216" s="2">
        <v>633.42999999999995</v>
      </c>
      <c r="N216" s="2">
        <v>20</v>
      </c>
      <c r="O216" s="2">
        <v>2533.7199999999998</v>
      </c>
      <c r="P216" s="2">
        <f t="shared" si="30"/>
        <v>3167.1499999999996</v>
      </c>
      <c r="Q216" s="2">
        <f t="shared" si="31"/>
        <v>633.42999999999995</v>
      </c>
      <c r="R216" s="2">
        <f t="shared" si="32"/>
        <v>2533.7199999999998</v>
      </c>
      <c r="S216" s="2" t="str">
        <f t="shared" si="33"/>
        <v>High</v>
      </c>
      <c r="T216" s="2" t="str" cm="1">
        <f t="array" ref="T216">_xlfn.IFS(L216&gt;5,"High",L216=5,"Medium",L216&lt;5,"Low")</f>
        <v>Medium</v>
      </c>
      <c r="U216" s="2" t="str">
        <f t="shared" si="34"/>
        <v>Medium</v>
      </c>
      <c r="V216" s="14" t="str">
        <f t="shared" si="35"/>
        <v>Heavy Discount</v>
      </c>
      <c r="W216" s="16" t="str">
        <f t="shared" si="36"/>
        <v>Average</v>
      </c>
      <c r="X216" s="18" t="str" cm="1">
        <f t="array" ref="X216">_xlfn.IFS(O216&gt;7000,"Excellent",O216&gt;4000,"Good",O216&lt;4000,"Average")</f>
        <v>Average</v>
      </c>
      <c r="AD216" s="23" t="str">
        <f t="shared" si="37"/>
        <v>Not Eligible</v>
      </c>
      <c r="AE216" s="24" t="str">
        <f t="shared" si="38"/>
        <v>Online</v>
      </c>
      <c r="AF216" s="27" t="str">
        <f t="shared" si="39"/>
        <v>Normal Order</v>
      </c>
    </row>
    <row r="217" spans="1:32" x14ac:dyDescent="0.3">
      <c r="A217" s="2">
        <v>10216</v>
      </c>
      <c r="B217" s="2">
        <v>1085</v>
      </c>
      <c r="C217" s="3">
        <v>45221</v>
      </c>
      <c r="D217" s="3">
        <v>45227</v>
      </c>
      <c r="E217" s="2" t="s">
        <v>43</v>
      </c>
      <c r="F217" s="2" t="s">
        <v>29</v>
      </c>
      <c r="G217" s="2" t="s">
        <v>30</v>
      </c>
      <c r="H217" s="2" t="s">
        <v>24</v>
      </c>
      <c r="I217" s="2" t="s">
        <v>63</v>
      </c>
      <c r="J217" s="2" t="s">
        <v>73</v>
      </c>
      <c r="K217" s="2" t="s">
        <v>27</v>
      </c>
      <c r="L217" s="2">
        <v>6</v>
      </c>
      <c r="M217" s="2">
        <v>809.49</v>
      </c>
      <c r="N217" s="2">
        <v>5</v>
      </c>
      <c r="O217" s="2">
        <v>4614.09</v>
      </c>
      <c r="P217" s="2">
        <f t="shared" si="30"/>
        <v>4856.9400000000005</v>
      </c>
      <c r="Q217" s="2">
        <f t="shared" si="31"/>
        <v>242.84700000000004</v>
      </c>
      <c r="R217" s="2">
        <f t="shared" si="32"/>
        <v>4614.0930000000008</v>
      </c>
      <c r="S217" s="2" t="str">
        <f t="shared" si="33"/>
        <v>High</v>
      </c>
      <c r="T217" s="2" t="str" cm="1">
        <f t="array" ref="T217">_xlfn.IFS(L217&gt;5,"High",L217=5,"Medium",L217&lt;5,"Low")</f>
        <v>High</v>
      </c>
      <c r="U217" s="2" t="str">
        <f t="shared" si="34"/>
        <v>High</v>
      </c>
      <c r="V217" s="14" t="str">
        <f t="shared" si="35"/>
        <v>Normal Discount</v>
      </c>
      <c r="W217" s="16" t="str">
        <f t="shared" si="36"/>
        <v>Good</v>
      </c>
      <c r="X217" s="18" t="str" cm="1">
        <f t="array" ref="X217">_xlfn.IFS(O217&gt;7000,"Excellent",O217&gt;4000,"Good",O217&lt;4000,"Average")</f>
        <v>Good</v>
      </c>
      <c r="AD217" s="23" t="str">
        <f t="shared" si="37"/>
        <v>Not Eligible</v>
      </c>
      <c r="AE217" s="24" t="str">
        <f t="shared" si="38"/>
        <v>Online</v>
      </c>
      <c r="AF217" s="27" t="str">
        <f t="shared" si="39"/>
        <v>Priority Order</v>
      </c>
    </row>
    <row r="218" spans="1:32" x14ac:dyDescent="0.3">
      <c r="A218" s="2">
        <v>10217</v>
      </c>
      <c r="B218" s="2">
        <v>1795</v>
      </c>
      <c r="C218" s="3">
        <v>45055</v>
      </c>
      <c r="D218" s="3">
        <v>45057</v>
      </c>
      <c r="E218" s="2" t="s">
        <v>43</v>
      </c>
      <c r="F218" s="2" t="s">
        <v>47</v>
      </c>
      <c r="G218" s="2" t="s">
        <v>30</v>
      </c>
      <c r="H218" s="2" t="s">
        <v>48</v>
      </c>
      <c r="I218" s="2" t="s">
        <v>55</v>
      </c>
      <c r="J218" s="2" t="s">
        <v>56</v>
      </c>
      <c r="K218" s="2" t="s">
        <v>34</v>
      </c>
      <c r="L218" s="2">
        <v>4</v>
      </c>
      <c r="M218" s="2">
        <v>3335.32</v>
      </c>
      <c r="N218" s="2">
        <v>20</v>
      </c>
      <c r="O218" s="2">
        <v>10673.02</v>
      </c>
      <c r="P218" s="2">
        <f t="shared" si="30"/>
        <v>13341.28</v>
      </c>
      <c r="Q218" s="2">
        <f t="shared" si="31"/>
        <v>2668.2560000000003</v>
      </c>
      <c r="R218" s="2">
        <f t="shared" si="32"/>
        <v>10673.024000000001</v>
      </c>
      <c r="S218" s="2" t="str">
        <f t="shared" si="33"/>
        <v>Low</v>
      </c>
      <c r="T218" s="2" t="str" cm="1">
        <f t="array" ref="T218">_xlfn.IFS(L218&gt;5,"High",L218=5,"Medium",L218&lt;5,"Low")</f>
        <v>Low</v>
      </c>
      <c r="U218" s="2" t="str">
        <f t="shared" si="34"/>
        <v>Low</v>
      </c>
      <c r="V218" s="14" t="str">
        <f t="shared" si="35"/>
        <v>Heavy Discount</v>
      </c>
      <c r="W218" s="16" t="str">
        <f t="shared" si="36"/>
        <v>Excellent</v>
      </c>
      <c r="X218" s="18" t="str" cm="1">
        <f t="array" ref="X218">_xlfn.IFS(O218&gt;7000,"Excellent",O218&gt;4000,"Good",O218&lt;4000,"Average")</f>
        <v>Excellent</v>
      </c>
      <c r="AD218" s="23" t="str">
        <f t="shared" si="37"/>
        <v>Not Eligible</v>
      </c>
      <c r="AE218" s="24" t="str">
        <f t="shared" si="38"/>
        <v>Online</v>
      </c>
      <c r="AF218" s="27" t="str">
        <f t="shared" si="39"/>
        <v>Priority Order</v>
      </c>
    </row>
    <row r="219" spans="1:32" x14ac:dyDescent="0.3">
      <c r="A219" s="2">
        <v>10218</v>
      </c>
      <c r="B219" s="2">
        <v>1577</v>
      </c>
      <c r="C219" s="3">
        <v>45206</v>
      </c>
      <c r="D219" s="3">
        <v>45209</v>
      </c>
      <c r="E219" s="2" t="s">
        <v>43</v>
      </c>
      <c r="F219" s="2" t="s">
        <v>35</v>
      </c>
      <c r="G219" s="2" t="s">
        <v>23</v>
      </c>
      <c r="H219" s="2" t="s">
        <v>50</v>
      </c>
      <c r="I219" s="2" t="s">
        <v>32</v>
      </c>
      <c r="J219" s="2" t="s">
        <v>75</v>
      </c>
      <c r="K219" s="2" t="s">
        <v>51</v>
      </c>
      <c r="L219" s="2">
        <v>2</v>
      </c>
      <c r="M219" s="2">
        <v>2401.63</v>
      </c>
      <c r="N219" s="2">
        <v>0</v>
      </c>
      <c r="O219" s="2">
        <v>4803.26</v>
      </c>
      <c r="P219" s="2">
        <f t="shared" si="30"/>
        <v>4803.26</v>
      </c>
      <c r="Q219" s="2">
        <f t="shared" si="31"/>
        <v>0</v>
      </c>
      <c r="R219" s="2">
        <f t="shared" si="32"/>
        <v>4803.26</v>
      </c>
      <c r="S219" s="2" t="str">
        <f t="shared" si="33"/>
        <v>Low</v>
      </c>
      <c r="T219" s="2" t="str" cm="1">
        <f t="array" ref="T219">_xlfn.IFS(L219&gt;5,"High",L219=5,"Medium",L219&lt;5,"Low")</f>
        <v>Low</v>
      </c>
      <c r="U219" s="2" t="str">
        <f t="shared" si="34"/>
        <v>Low</v>
      </c>
      <c r="V219" s="14" t="str">
        <f t="shared" si="35"/>
        <v>Normal Discount</v>
      </c>
      <c r="W219" s="16" t="str">
        <f t="shared" si="36"/>
        <v>Good</v>
      </c>
      <c r="X219" s="18" t="str" cm="1">
        <f t="array" ref="X219">_xlfn.IFS(O219&gt;7000,"Excellent",O219&gt;4000,"Good",O219&lt;4000,"Average")</f>
        <v>Good</v>
      </c>
      <c r="AD219" s="23" t="str">
        <f t="shared" si="37"/>
        <v>Not Eligible</v>
      </c>
      <c r="AE219" s="24" t="str">
        <f t="shared" si="38"/>
        <v>Online</v>
      </c>
      <c r="AF219" s="27" t="str">
        <f t="shared" si="39"/>
        <v>Normal Order</v>
      </c>
    </row>
    <row r="220" spans="1:32" x14ac:dyDescent="0.3">
      <c r="A220" s="2">
        <v>10219</v>
      </c>
      <c r="B220" s="2">
        <v>1681</v>
      </c>
      <c r="C220" s="3">
        <v>45239</v>
      </c>
      <c r="D220" s="3">
        <v>45242</v>
      </c>
      <c r="E220" s="2" t="s">
        <v>46</v>
      </c>
      <c r="F220" s="2" t="s">
        <v>60</v>
      </c>
      <c r="G220" s="2" t="s">
        <v>36</v>
      </c>
      <c r="H220" s="2" t="s">
        <v>41</v>
      </c>
      <c r="I220" s="2" t="s">
        <v>58</v>
      </c>
      <c r="J220" s="2" t="s">
        <v>70</v>
      </c>
      <c r="K220" s="2" t="s">
        <v>39</v>
      </c>
      <c r="L220" s="2">
        <v>6</v>
      </c>
      <c r="M220" s="2">
        <v>1449.5</v>
      </c>
      <c r="N220" s="2">
        <v>0</v>
      </c>
      <c r="O220" s="2">
        <v>8697</v>
      </c>
      <c r="P220" s="2">
        <f t="shared" si="30"/>
        <v>8697</v>
      </c>
      <c r="Q220" s="2">
        <f t="shared" si="31"/>
        <v>0</v>
      </c>
      <c r="R220" s="2">
        <f t="shared" si="32"/>
        <v>8697</v>
      </c>
      <c r="S220" s="2" t="str">
        <f t="shared" si="33"/>
        <v>High</v>
      </c>
      <c r="T220" s="2" t="str" cm="1">
        <f t="array" ref="T220">_xlfn.IFS(L220&gt;5,"High",L220=5,"Medium",L220&lt;5,"Low")</f>
        <v>High</v>
      </c>
      <c r="U220" s="2" t="str">
        <f t="shared" si="34"/>
        <v>High</v>
      </c>
      <c r="V220" s="14" t="str">
        <f t="shared" si="35"/>
        <v>Normal Discount</v>
      </c>
      <c r="W220" s="16" t="str">
        <f t="shared" si="36"/>
        <v>Excellent</v>
      </c>
      <c r="X220" s="18" t="str" cm="1">
        <f t="array" ref="X220">_xlfn.IFS(O220&gt;7000,"Excellent",O220&gt;4000,"Good",O220&lt;4000,"Average")</f>
        <v>Excellent</v>
      </c>
      <c r="AD220" s="23" t="str">
        <f t="shared" si="37"/>
        <v>Eligible</v>
      </c>
      <c r="AE220" s="24" t="str">
        <f t="shared" si="38"/>
        <v>Offline</v>
      </c>
      <c r="AF220" s="27" t="str">
        <f t="shared" si="39"/>
        <v>Priority Order</v>
      </c>
    </row>
    <row r="221" spans="1:32" x14ac:dyDescent="0.3">
      <c r="A221" s="2">
        <v>10220</v>
      </c>
      <c r="B221" s="2">
        <v>1556</v>
      </c>
      <c r="C221" s="3">
        <v>45026</v>
      </c>
      <c r="D221" s="3">
        <v>45035</v>
      </c>
      <c r="E221" s="2" t="s">
        <v>43</v>
      </c>
      <c r="F221" s="2" t="s">
        <v>22</v>
      </c>
      <c r="G221" s="2" t="s">
        <v>30</v>
      </c>
      <c r="H221" s="2" t="s">
        <v>24</v>
      </c>
      <c r="I221" s="2" t="s">
        <v>25</v>
      </c>
      <c r="J221" s="2" t="s">
        <v>61</v>
      </c>
      <c r="K221" s="2" t="s">
        <v>27</v>
      </c>
      <c r="L221" s="2">
        <v>8</v>
      </c>
      <c r="M221" s="2">
        <v>3240.98</v>
      </c>
      <c r="N221" s="2">
        <v>0</v>
      </c>
      <c r="O221" s="2">
        <v>25927.84</v>
      </c>
      <c r="P221" s="2">
        <f t="shared" si="30"/>
        <v>25927.84</v>
      </c>
      <c r="Q221" s="2">
        <f t="shared" si="31"/>
        <v>0</v>
      </c>
      <c r="R221" s="2">
        <f t="shared" si="32"/>
        <v>25927.84</v>
      </c>
      <c r="S221" s="2" t="str">
        <f t="shared" si="33"/>
        <v>High</v>
      </c>
      <c r="T221" s="2" t="str" cm="1">
        <f t="array" ref="T221">_xlfn.IFS(L221&gt;5,"High",L221=5,"Medium",L221&lt;5,"Low")</f>
        <v>High</v>
      </c>
      <c r="U221" s="2" t="str">
        <f t="shared" si="34"/>
        <v>High</v>
      </c>
      <c r="V221" s="14" t="str">
        <f t="shared" si="35"/>
        <v>Normal Discount</v>
      </c>
      <c r="W221" s="16" t="str">
        <f t="shared" si="36"/>
        <v>Excellent</v>
      </c>
      <c r="X221" s="18" t="str" cm="1">
        <f t="array" ref="X221">_xlfn.IFS(O221&gt;7000,"Excellent",O221&gt;4000,"Good",O221&lt;4000,"Average")</f>
        <v>Excellent</v>
      </c>
      <c r="AD221" s="23" t="str">
        <f t="shared" si="37"/>
        <v>Eligible</v>
      </c>
      <c r="AE221" s="24" t="str">
        <f t="shared" si="38"/>
        <v>Online</v>
      </c>
      <c r="AF221" s="27" t="str">
        <f t="shared" si="39"/>
        <v>Priority Order</v>
      </c>
    </row>
    <row r="222" spans="1:32" x14ac:dyDescent="0.3">
      <c r="A222" s="2">
        <v>10221</v>
      </c>
      <c r="B222" s="2">
        <v>1573</v>
      </c>
      <c r="C222" s="3">
        <v>45252</v>
      </c>
      <c r="D222" s="3">
        <v>45259</v>
      </c>
      <c r="E222" s="2" t="s">
        <v>43</v>
      </c>
      <c r="F222" s="2" t="s">
        <v>29</v>
      </c>
      <c r="G222" s="2" t="s">
        <v>23</v>
      </c>
      <c r="H222" s="2" t="s">
        <v>31</v>
      </c>
      <c r="I222" s="2" t="s">
        <v>25</v>
      </c>
      <c r="J222" s="2" t="s">
        <v>26</v>
      </c>
      <c r="K222" s="2" t="s">
        <v>39</v>
      </c>
      <c r="L222" s="2">
        <v>8</v>
      </c>
      <c r="M222" s="2">
        <v>1099.0999999999999</v>
      </c>
      <c r="N222" s="2">
        <v>10</v>
      </c>
      <c r="O222" s="2">
        <v>7913.52</v>
      </c>
      <c r="P222" s="2">
        <f t="shared" si="30"/>
        <v>8792.7999999999993</v>
      </c>
      <c r="Q222" s="2">
        <f t="shared" si="31"/>
        <v>879.28</v>
      </c>
      <c r="R222" s="2">
        <f t="shared" si="32"/>
        <v>7913.5199999999995</v>
      </c>
      <c r="S222" s="2" t="str">
        <f t="shared" si="33"/>
        <v>High</v>
      </c>
      <c r="T222" s="2" t="str" cm="1">
        <f t="array" ref="T222">_xlfn.IFS(L222&gt;5,"High",L222=5,"Medium",L222&lt;5,"Low")</f>
        <v>High</v>
      </c>
      <c r="U222" s="2" t="str">
        <f t="shared" si="34"/>
        <v>High</v>
      </c>
      <c r="V222" s="14" t="str">
        <f t="shared" si="35"/>
        <v>Normal Discount</v>
      </c>
      <c r="W222" s="16" t="str">
        <f t="shared" si="36"/>
        <v>Excellent</v>
      </c>
      <c r="X222" s="18" t="str" cm="1">
        <f t="array" ref="X222">_xlfn.IFS(O222&gt;7000,"Excellent",O222&gt;4000,"Good",O222&lt;4000,"Average")</f>
        <v>Excellent</v>
      </c>
      <c r="AD222" s="23" t="str">
        <f t="shared" si="37"/>
        <v>Not Eligible</v>
      </c>
      <c r="AE222" s="24" t="str">
        <f t="shared" si="38"/>
        <v>Online</v>
      </c>
      <c r="AF222" s="27" t="str">
        <f t="shared" si="39"/>
        <v>Priority Order</v>
      </c>
    </row>
    <row r="223" spans="1:32" x14ac:dyDescent="0.3">
      <c r="A223" s="2">
        <v>10222</v>
      </c>
      <c r="B223" s="2">
        <v>1952</v>
      </c>
      <c r="C223" s="3">
        <v>45223</v>
      </c>
      <c r="D223" s="3">
        <v>45231</v>
      </c>
      <c r="E223" s="2" t="s">
        <v>22</v>
      </c>
      <c r="F223" s="2" t="s">
        <v>22</v>
      </c>
      <c r="G223" s="2" t="s">
        <v>30</v>
      </c>
      <c r="H223" s="2" t="s">
        <v>50</v>
      </c>
      <c r="I223" s="2" t="s">
        <v>55</v>
      </c>
      <c r="J223" s="2" t="s">
        <v>57</v>
      </c>
      <c r="K223" s="2" t="s">
        <v>27</v>
      </c>
      <c r="L223" s="2">
        <v>7</v>
      </c>
      <c r="M223" s="2">
        <v>3907.73</v>
      </c>
      <c r="N223" s="2">
        <v>10</v>
      </c>
      <c r="O223" s="2">
        <v>24618.7</v>
      </c>
      <c r="P223" s="2">
        <f t="shared" si="30"/>
        <v>27354.11</v>
      </c>
      <c r="Q223" s="2">
        <f t="shared" si="31"/>
        <v>2735.4110000000001</v>
      </c>
      <c r="R223" s="2">
        <f t="shared" si="32"/>
        <v>24618.699000000001</v>
      </c>
      <c r="S223" s="2" t="str">
        <f t="shared" si="33"/>
        <v>High</v>
      </c>
      <c r="T223" s="2" t="str" cm="1">
        <f t="array" ref="T223">_xlfn.IFS(L223&gt;5,"High",L223=5,"Medium",L223&lt;5,"Low")</f>
        <v>High</v>
      </c>
      <c r="U223" s="2" t="str">
        <f t="shared" si="34"/>
        <v>High</v>
      </c>
      <c r="V223" s="14" t="str">
        <f t="shared" si="35"/>
        <v>Normal Discount</v>
      </c>
      <c r="W223" s="16" t="str">
        <f t="shared" si="36"/>
        <v>Excellent</v>
      </c>
      <c r="X223" s="18" t="str" cm="1">
        <f t="array" ref="X223">_xlfn.IFS(O223&gt;7000,"Excellent",O223&gt;4000,"Good",O223&lt;4000,"Average")</f>
        <v>Excellent</v>
      </c>
      <c r="AD223" s="23" t="str">
        <f t="shared" si="37"/>
        <v>Not Eligible</v>
      </c>
      <c r="AE223" s="24" t="str">
        <f t="shared" si="38"/>
        <v>Online</v>
      </c>
      <c r="AF223" s="27" t="str">
        <f t="shared" si="39"/>
        <v>Priority Order</v>
      </c>
    </row>
    <row r="224" spans="1:32" x14ac:dyDescent="0.3">
      <c r="A224" s="2">
        <v>10223</v>
      </c>
      <c r="B224" s="2">
        <v>1645</v>
      </c>
      <c r="C224" s="3">
        <v>45108</v>
      </c>
      <c r="D224" s="3">
        <v>45117</v>
      </c>
      <c r="E224" s="2" t="s">
        <v>52</v>
      </c>
      <c r="F224" s="2" t="s">
        <v>60</v>
      </c>
      <c r="G224" s="2" t="s">
        <v>23</v>
      </c>
      <c r="H224" s="2" t="s">
        <v>31</v>
      </c>
      <c r="I224" s="2" t="s">
        <v>63</v>
      </c>
      <c r="J224" s="2" t="s">
        <v>65</v>
      </c>
      <c r="K224" s="2" t="s">
        <v>53</v>
      </c>
      <c r="L224" s="2">
        <v>6</v>
      </c>
      <c r="M224" s="2">
        <v>1477.55</v>
      </c>
      <c r="N224" s="2">
        <v>10</v>
      </c>
      <c r="O224" s="2">
        <v>7978.77</v>
      </c>
      <c r="P224" s="2">
        <f t="shared" si="30"/>
        <v>8865.2999999999993</v>
      </c>
      <c r="Q224" s="2">
        <f t="shared" si="31"/>
        <v>886.53</v>
      </c>
      <c r="R224" s="2">
        <f t="shared" si="32"/>
        <v>7978.7699999999995</v>
      </c>
      <c r="S224" s="2" t="str">
        <f t="shared" si="33"/>
        <v>High</v>
      </c>
      <c r="T224" s="2" t="str" cm="1">
        <f t="array" ref="T224">_xlfn.IFS(L224&gt;5,"High",L224=5,"Medium",L224&lt;5,"Low")</f>
        <v>High</v>
      </c>
      <c r="U224" s="2" t="str">
        <f t="shared" si="34"/>
        <v>High</v>
      </c>
      <c r="V224" s="14" t="str">
        <f t="shared" si="35"/>
        <v>Normal Discount</v>
      </c>
      <c r="W224" s="16" t="str">
        <f t="shared" si="36"/>
        <v>Excellent</v>
      </c>
      <c r="X224" s="18" t="str" cm="1">
        <f t="array" ref="X224">_xlfn.IFS(O224&gt;7000,"Excellent",O224&gt;4000,"Good",O224&lt;4000,"Average")</f>
        <v>Excellent</v>
      </c>
      <c r="AD224" s="23" t="str">
        <f t="shared" si="37"/>
        <v>Not Eligible</v>
      </c>
      <c r="AE224" s="24" t="str">
        <f t="shared" si="38"/>
        <v>Online</v>
      </c>
      <c r="AF224" s="27" t="str">
        <f t="shared" si="39"/>
        <v>Priority Order</v>
      </c>
    </row>
    <row r="225" spans="1:32" x14ac:dyDescent="0.3">
      <c r="A225" s="2">
        <v>10224</v>
      </c>
      <c r="B225" s="2">
        <v>1795</v>
      </c>
      <c r="C225" s="3">
        <v>45100</v>
      </c>
      <c r="D225" s="3">
        <v>45106</v>
      </c>
      <c r="E225" s="2" t="s">
        <v>40</v>
      </c>
      <c r="F225" s="2" t="s">
        <v>29</v>
      </c>
      <c r="G225" s="2" t="s">
        <v>36</v>
      </c>
      <c r="H225" s="2" t="s">
        <v>31</v>
      </c>
      <c r="I225" s="2" t="s">
        <v>63</v>
      </c>
      <c r="J225" s="2" t="s">
        <v>64</v>
      </c>
      <c r="K225" s="2" t="s">
        <v>27</v>
      </c>
      <c r="L225" s="2">
        <v>2</v>
      </c>
      <c r="M225" s="2">
        <v>1448.65</v>
      </c>
      <c r="N225" s="2">
        <v>20</v>
      </c>
      <c r="O225" s="2">
        <v>2317.84</v>
      </c>
      <c r="P225" s="2">
        <f t="shared" si="30"/>
        <v>2897.3</v>
      </c>
      <c r="Q225" s="2">
        <f t="shared" si="31"/>
        <v>579.46</v>
      </c>
      <c r="R225" s="2">
        <f t="shared" si="32"/>
        <v>2317.84</v>
      </c>
      <c r="S225" s="2" t="str">
        <f t="shared" si="33"/>
        <v>Low</v>
      </c>
      <c r="T225" s="2" t="str" cm="1">
        <f t="array" ref="T225">_xlfn.IFS(L225&gt;5,"High",L225=5,"Medium",L225&lt;5,"Low")</f>
        <v>Low</v>
      </c>
      <c r="U225" s="2" t="str">
        <f t="shared" si="34"/>
        <v>Low</v>
      </c>
      <c r="V225" s="14" t="str">
        <f t="shared" si="35"/>
        <v>Heavy Discount</v>
      </c>
      <c r="W225" s="16" t="str">
        <f t="shared" si="36"/>
        <v>Average</v>
      </c>
      <c r="X225" s="18" t="str" cm="1">
        <f t="array" ref="X225">_xlfn.IFS(O225&gt;7000,"Excellent",O225&gt;4000,"Good",O225&lt;4000,"Average")</f>
        <v>Average</v>
      </c>
      <c r="AD225" s="23" t="str">
        <f t="shared" si="37"/>
        <v>Not Eligible</v>
      </c>
      <c r="AE225" s="24" t="str">
        <f t="shared" si="38"/>
        <v>Offline</v>
      </c>
      <c r="AF225" s="27" t="str">
        <f t="shared" si="39"/>
        <v>Normal Order</v>
      </c>
    </row>
    <row r="226" spans="1:32" x14ac:dyDescent="0.3">
      <c r="A226" s="2">
        <v>10225</v>
      </c>
      <c r="B226" s="2">
        <v>1027</v>
      </c>
      <c r="C226" s="3">
        <v>45242</v>
      </c>
      <c r="D226" s="3">
        <v>45246</v>
      </c>
      <c r="E226" s="2" t="s">
        <v>52</v>
      </c>
      <c r="F226" s="2" t="s">
        <v>22</v>
      </c>
      <c r="G226" s="2" t="s">
        <v>36</v>
      </c>
      <c r="H226" s="2" t="s">
        <v>48</v>
      </c>
      <c r="I226" s="2" t="s">
        <v>58</v>
      </c>
      <c r="J226" s="2" t="s">
        <v>59</v>
      </c>
      <c r="K226" s="2" t="s">
        <v>34</v>
      </c>
      <c r="L226" s="2">
        <v>7</v>
      </c>
      <c r="M226" s="2">
        <v>1350.86</v>
      </c>
      <c r="N226" s="2">
        <v>10</v>
      </c>
      <c r="O226" s="2">
        <v>8510.42</v>
      </c>
      <c r="P226" s="2">
        <f t="shared" si="30"/>
        <v>9456.0199999999986</v>
      </c>
      <c r="Q226" s="2">
        <f t="shared" si="31"/>
        <v>945.60199999999986</v>
      </c>
      <c r="R226" s="2">
        <f t="shared" si="32"/>
        <v>8510.4179999999978</v>
      </c>
      <c r="S226" s="2" t="str">
        <f t="shared" si="33"/>
        <v>High</v>
      </c>
      <c r="T226" s="2" t="str" cm="1">
        <f t="array" ref="T226">_xlfn.IFS(L226&gt;5,"High",L226=5,"Medium",L226&lt;5,"Low")</f>
        <v>High</v>
      </c>
      <c r="U226" s="2" t="str">
        <f t="shared" si="34"/>
        <v>High</v>
      </c>
      <c r="V226" s="14" t="str">
        <f t="shared" si="35"/>
        <v>Normal Discount</v>
      </c>
      <c r="W226" s="16" t="str">
        <f t="shared" si="36"/>
        <v>Excellent</v>
      </c>
      <c r="X226" s="18" t="str" cm="1">
        <f t="array" ref="X226">_xlfn.IFS(O226&gt;7000,"Excellent",O226&gt;4000,"Good",O226&lt;4000,"Average")</f>
        <v>Excellent</v>
      </c>
      <c r="AD226" s="23" t="str">
        <f t="shared" si="37"/>
        <v>Not Eligible</v>
      </c>
      <c r="AE226" s="24" t="str">
        <f t="shared" si="38"/>
        <v>Offline</v>
      </c>
      <c r="AF226" s="27" t="str">
        <f t="shared" si="39"/>
        <v>Priority Order</v>
      </c>
    </row>
    <row r="227" spans="1:32" x14ac:dyDescent="0.3">
      <c r="A227" s="2">
        <v>10226</v>
      </c>
      <c r="B227" s="2">
        <v>1619</v>
      </c>
      <c r="C227" s="3">
        <v>45290</v>
      </c>
      <c r="D227" s="3">
        <v>45291</v>
      </c>
      <c r="E227" s="2" t="s">
        <v>43</v>
      </c>
      <c r="F227" s="2" t="s">
        <v>44</v>
      </c>
      <c r="G227" s="2" t="s">
        <v>23</v>
      </c>
      <c r="H227" s="2" t="s">
        <v>48</v>
      </c>
      <c r="I227" s="2" t="s">
        <v>55</v>
      </c>
      <c r="J227" s="2" t="s">
        <v>69</v>
      </c>
      <c r="K227" s="2" t="s">
        <v>51</v>
      </c>
      <c r="L227" s="2">
        <v>5</v>
      </c>
      <c r="M227" s="2">
        <v>620.13</v>
      </c>
      <c r="N227" s="2">
        <v>5</v>
      </c>
      <c r="O227" s="2">
        <v>2945.62</v>
      </c>
      <c r="P227" s="2">
        <f t="shared" si="30"/>
        <v>3100.65</v>
      </c>
      <c r="Q227" s="2">
        <f t="shared" si="31"/>
        <v>155.03250000000003</v>
      </c>
      <c r="R227" s="2">
        <f t="shared" si="32"/>
        <v>2945.6175000000003</v>
      </c>
      <c r="S227" s="2" t="str">
        <f t="shared" si="33"/>
        <v>High</v>
      </c>
      <c r="T227" s="2" t="str" cm="1">
        <f t="array" ref="T227">_xlfn.IFS(L227&gt;5,"High",L227=5,"Medium",L227&lt;5,"Low")</f>
        <v>Medium</v>
      </c>
      <c r="U227" s="2" t="str">
        <f t="shared" si="34"/>
        <v>Medium</v>
      </c>
      <c r="V227" s="14" t="str">
        <f t="shared" si="35"/>
        <v>Normal Discount</v>
      </c>
      <c r="W227" s="16" t="str">
        <f t="shared" si="36"/>
        <v>Average</v>
      </c>
      <c r="X227" s="18" t="str" cm="1">
        <f t="array" ref="X227">_xlfn.IFS(O227&gt;7000,"Excellent",O227&gt;4000,"Good",O227&lt;4000,"Average")</f>
        <v>Average</v>
      </c>
      <c r="AD227" s="23" t="str">
        <f t="shared" si="37"/>
        <v>Not Eligible</v>
      </c>
      <c r="AE227" s="24" t="str">
        <f t="shared" si="38"/>
        <v>Online</v>
      </c>
      <c r="AF227" s="27" t="str">
        <f t="shared" si="39"/>
        <v>Normal Order</v>
      </c>
    </row>
    <row r="228" spans="1:32" x14ac:dyDescent="0.3">
      <c r="A228" s="2">
        <v>10227</v>
      </c>
      <c r="B228" s="2">
        <v>1555</v>
      </c>
      <c r="C228" s="3">
        <v>45114</v>
      </c>
      <c r="D228" s="3">
        <v>45122</v>
      </c>
      <c r="E228" s="2" t="s">
        <v>22</v>
      </c>
      <c r="F228" s="2" t="s">
        <v>60</v>
      </c>
      <c r="G228" s="2" t="s">
        <v>23</v>
      </c>
      <c r="H228" s="2" t="s">
        <v>50</v>
      </c>
      <c r="I228" s="2" t="s">
        <v>25</v>
      </c>
      <c r="J228" s="2" t="s">
        <v>61</v>
      </c>
      <c r="K228" s="2" t="s">
        <v>53</v>
      </c>
      <c r="L228" s="2">
        <v>6</v>
      </c>
      <c r="M228" s="2">
        <v>577.88</v>
      </c>
      <c r="N228" s="2">
        <v>0</v>
      </c>
      <c r="O228" s="2">
        <v>3467.28</v>
      </c>
      <c r="P228" s="2">
        <f t="shared" si="30"/>
        <v>3467.2799999999997</v>
      </c>
      <c r="Q228" s="2">
        <f t="shared" si="31"/>
        <v>0</v>
      </c>
      <c r="R228" s="2">
        <f t="shared" si="32"/>
        <v>3467.2799999999997</v>
      </c>
      <c r="S228" s="2" t="str">
        <f t="shared" si="33"/>
        <v>High</v>
      </c>
      <c r="T228" s="2" t="str" cm="1">
        <f t="array" ref="T228">_xlfn.IFS(L228&gt;5,"High",L228=5,"Medium",L228&lt;5,"Low")</f>
        <v>High</v>
      </c>
      <c r="U228" s="2" t="str">
        <f t="shared" si="34"/>
        <v>High</v>
      </c>
      <c r="V228" s="14" t="str">
        <f t="shared" si="35"/>
        <v>Normal Discount</v>
      </c>
      <c r="W228" s="16" t="str">
        <f t="shared" si="36"/>
        <v>Average</v>
      </c>
      <c r="X228" s="18" t="str" cm="1">
        <f t="array" ref="X228">_xlfn.IFS(O228&gt;7000,"Excellent",O228&gt;4000,"Good",O228&lt;4000,"Average")</f>
        <v>Average</v>
      </c>
      <c r="AD228" s="23" t="str">
        <f t="shared" si="37"/>
        <v>Not Eligible</v>
      </c>
      <c r="AE228" s="24" t="str">
        <f t="shared" si="38"/>
        <v>Online</v>
      </c>
      <c r="AF228" s="27" t="str">
        <f t="shared" si="39"/>
        <v>Priority Order</v>
      </c>
    </row>
    <row r="229" spans="1:32" x14ac:dyDescent="0.3">
      <c r="A229" s="2">
        <v>10228</v>
      </c>
      <c r="B229" s="2">
        <v>1339</v>
      </c>
      <c r="C229" s="3">
        <v>44983</v>
      </c>
      <c r="D229" s="3">
        <v>44990</v>
      </c>
      <c r="E229" s="2" t="s">
        <v>21</v>
      </c>
      <c r="F229" s="2" t="s">
        <v>60</v>
      </c>
      <c r="G229" s="2" t="s">
        <v>23</v>
      </c>
      <c r="H229" s="2" t="s">
        <v>41</v>
      </c>
      <c r="I229" s="2" t="s">
        <v>63</v>
      </c>
      <c r="J229" s="2" t="s">
        <v>68</v>
      </c>
      <c r="K229" s="2" t="s">
        <v>27</v>
      </c>
      <c r="L229" s="2">
        <v>8</v>
      </c>
      <c r="M229" s="2">
        <v>2645.2</v>
      </c>
      <c r="N229" s="2">
        <v>20</v>
      </c>
      <c r="O229" s="2">
        <v>16929.28</v>
      </c>
      <c r="P229" s="2">
        <f t="shared" si="30"/>
        <v>21161.599999999999</v>
      </c>
      <c r="Q229" s="2">
        <f t="shared" si="31"/>
        <v>4232.32</v>
      </c>
      <c r="R229" s="2">
        <f t="shared" si="32"/>
        <v>16929.28</v>
      </c>
      <c r="S229" s="2" t="str">
        <f t="shared" si="33"/>
        <v>High</v>
      </c>
      <c r="T229" s="2" t="str" cm="1">
        <f t="array" ref="T229">_xlfn.IFS(L229&gt;5,"High",L229=5,"Medium",L229&lt;5,"Low")</f>
        <v>High</v>
      </c>
      <c r="U229" s="2" t="str">
        <f t="shared" si="34"/>
        <v>High</v>
      </c>
      <c r="V229" s="14" t="str">
        <f t="shared" si="35"/>
        <v>Heavy Discount</v>
      </c>
      <c r="W229" s="16" t="str">
        <f t="shared" si="36"/>
        <v>Excellent</v>
      </c>
      <c r="X229" s="18" t="str" cm="1">
        <f t="array" ref="X229">_xlfn.IFS(O229&gt;7000,"Excellent",O229&gt;4000,"Good",O229&lt;4000,"Average")</f>
        <v>Excellent</v>
      </c>
      <c r="AD229" s="23" t="str">
        <f t="shared" si="37"/>
        <v>Not Eligible</v>
      </c>
      <c r="AE229" s="24" t="str">
        <f t="shared" si="38"/>
        <v>Online</v>
      </c>
      <c r="AF229" s="27" t="str">
        <f t="shared" si="39"/>
        <v>Priority Order</v>
      </c>
    </row>
    <row r="230" spans="1:32" x14ac:dyDescent="0.3">
      <c r="A230" s="2">
        <v>10229</v>
      </c>
      <c r="B230" s="2">
        <v>1797</v>
      </c>
      <c r="C230" s="3">
        <v>44957</v>
      </c>
      <c r="D230" s="3">
        <v>44959</v>
      </c>
      <c r="E230" s="2" t="s">
        <v>22</v>
      </c>
      <c r="F230" s="2" t="s">
        <v>60</v>
      </c>
      <c r="G230" s="2" t="s">
        <v>36</v>
      </c>
      <c r="H230" s="2" t="s">
        <v>50</v>
      </c>
      <c r="I230" s="2" t="s">
        <v>55</v>
      </c>
      <c r="J230" s="2" t="s">
        <v>74</v>
      </c>
      <c r="K230" s="2" t="s">
        <v>39</v>
      </c>
      <c r="L230" s="2">
        <v>8</v>
      </c>
      <c r="M230" s="2">
        <v>3519.2</v>
      </c>
      <c r="N230" s="2">
        <v>0</v>
      </c>
      <c r="O230" s="2">
        <v>28153.599999999999</v>
      </c>
      <c r="P230" s="2">
        <f t="shared" si="30"/>
        <v>28153.599999999999</v>
      </c>
      <c r="Q230" s="2">
        <f t="shared" si="31"/>
        <v>0</v>
      </c>
      <c r="R230" s="2">
        <f t="shared" si="32"/>
        <v>28153.599999999999</v>
      </c>
      <c r="S230" s="2" t="str">
        <f t="shared" si="33"/>
        <v>High</v>
      </c>
      <c r="T230" s="2" t="str" cm="1">
        <f t="array" ref="T230">_xlfn.IFS(L230&gt;5,"High",L230=5,"Medium",L230&lt;5,"Low")</f>
        <v>High</v>
      </c>
      <c r="U230" s="2" t="str">
        <f t="shared" si="34"/>
        <v>High</v>
      </c>
      <c r="V230" s="14" t="str">
        <f t="shared" si="35"/>
        <v>Normal Discount</v>
      </c>
      <c r="W230" s="16" t="str">
        <f t="shared" si="36"/>
        <v>Excellent</v>
      </c>
      <c r="X230" s="18" t="str" cm="1">
        <f t="array" ref="X230">_xlfn.IFS(O230&gt;7000,"Excellent",O230&gt;4000,"Good",O230&lt;4000,"Average")</f>
        <v>Excellent</v>
      </c>
      <c r="AD230" s="23" t="str">
        <f t="shared" si="37"/>
        <v>Eligible</v>
      </c>
      <c r="AE230" s="24" t="str">
        <f t="shared" si="38"/>
        <v>Offline</v>
      </c>
      <c r="AF230" s="27" t="str">
        <f t="shared" si="39"/>
        <v>Priority Order</v>
      </c>
    </row>
    <row r="231" spans="1:32" x14ac:dyDescent="0.3">
      <c r="A231" s="2">
        <v>10230</v>
      </c>
      <c r="B231" s="2">
        <v>1957</v>
      </c>
      <c r="C231" s="3">
        <v>45010</v>
      </c>
      <c r="D231" s="3">
        <v>45018</v>
      </c>
      <c r="E231" s="2" t="s">
        <v>43</v>
      </c>
      <c r="F231" s="2" t="s">
        <v>44</v>
      </c>
      <c r="G231" s="2" t="s">
        <v>30</v>
      </c>
      <c r="H231" s="2" t="s">
        <v>41</v>
      </c>
      <c r="I231" s="2" t="s">
        <v>63</v>
      </c>
      <c r="J231" s="2" t="s">
        <v>68</v>
      </c>
      <c r="K231" s="2" t="s">
        <v>53</v>
      </c>
      <c r="L231" s="2">
        <v>3</v>
      </c>
      <c r="M231" s="2">
        <v>3193.5</v>
      </c>
      <c r="N231" s="2">
        <v>10</v>
      </c>
      <c r="O231" s="2">
        <v>8622.4500000000007</v>
      </c>
      <c r="P231" s="2">
        <f t="shared" si="30"/>
        <v>9580.5</v>
      </c>
      <c r="Q231" s="2">
        <f t="shared" si="31"/>
        <v>958.05000000000007</v>
      </c>
      <c r="R231" s="2">
        <f t="shared" si="32"/>
        <v>8622.4500000000007</v>
      </c>
      <c r="S231" s="2" t="str">
        <f t="shared" si="33"/>
        <v>Low</v>
      </c>
      <c r="T231" s="2" t="str" cm="1">
        <f t="array" ref="T231">_xlfn.IFS(L231&gt;5,"High",L231=5,"Medium",L231&lt;5,"Low")</f>
        <v>Low</v>
      </c>
      <c r="U231" s="2" t="str">
        <f t="shared" si="34"/>
        <v>Low</v>
      </c>
      <c r="V231" s="14" t="str">
        <f t="shared" si="35"/>
        <v>Normal Discount</v>
      </c>
      <c r="W231" s="16" t="str">
        <f t="shared" si="36"/>
        <v>Excellent</v>
      </c>
      <c r="X231" s="18" t="str" cm="1">
        <f t="array" ref="X231">_xlfn.IFS(O231&gt;7000,"Excellent",O231&gt;4000,"Good",O231&lt;4000,"Average")</f>
        <v>Excellent</v>
      </c>
      <c r="AD231" s="23" t="str">
        <f t="shared" si="37"/>
        <v>Not Eligible</v>
      </c>
      <c r="AE231" s="24" t="str">
        <f t="shared" si="38"/>
        <v>Online</v>
      </c>
      <c r="AF231" s="27" t="str">
        <f t="shared" si="39"/>
        <v>Priority Order</v>
      </c>
    </row>
    <row r="232" spans="1:32" x14ac:dyDescent="0.3">
      <c r="A232" s="2">
        <v>10231</v>
      </c>
      <c r="B232" s="2">
        <v>1330</v>
      </c>
      <c r="C232" s="3">
        <v>45078</v>
      </c>
      <c r="D232" s="3">
        <v>45083</v>
      </c>
      <c r="E232" s="2" t="s">
        <v>22</v>
      </c>
      <c r="F232" s="2" t="s">
        <v>44</v>
      </c>
      <c r="G232" s="2" t="s">
        <v>36</v>
      </c>
      <c r="H232" s="2" t="s">
        <v>31</v>
      </c>
      <c r="I232" s="2" t="s">
        <v>32</v>
      </c>
      <c r="J232" s="2" t="s">
        <v>42</v>
      </c>
      <c r="K232" s="2" t="s">
        <v>53</v>
      </c>
      <c r="L232" s="2">
        <v>7</v>
      </c>
      <c r="M232" s="2">
        <v>693.26</v>
      </c>
      <c r="N232" s="2">
        <v>20</v>
      </c>
      <c r="O232" s="2">
        <v>3882.26</v>
      </c>
      <c r="P232" s="2">
        <f t="shared" si="30"/>
        <v>4852.82</v>
      </c>
      <c r="Q232" s="2">
        <f t="shared" si="31"/>
        <v>970.56399999999996</v>
      </c>
      <c r="R232" s="2">
        <f t="shared" si="32"/>
        <v>3882.2559999999999</v>
      </c>
      <c r="S232" s="2" t="str">
        <f t="shared" si="33"/>
        <v>High</v>
      </c>
      <c r="T232" s="2" t="str" cm="1">
        <f t="array" ref="T232">_xlfn.IFS(L232&gt;5,"High",L232=5,"Medium",L232&lt;5,"Low")</f>
        <v>High</v>
      </c>
      <c r="U232" s="2" t="str">
        <f t="shared" si="34"/>
        <v>High</v>
      </c>
      <c r="V232" s="14" t="str">
        <f t="shared" si="35"/>
        <v>Heavy Discount</v>
      </c>
      <c r="W232" s="16" t="str">
        <f t="shared" si="36"/>
        <v>Average</v>
      </c>
      <c r="X232" s="18" t="str" cm="1">
        <f t="array" ref="X232">_xlfn.IFS(O232&gt;7000,"Excellent",O232&gt;4000,"Good",O232&lt;4000,"Average")</f>
        <v>Average</v>
      </c>
      <c r="AD232" s="23" t="str">
        <f t="shared" si="37"/>
        <v>Not Eligible</v>
      </c>
      <c r="AE232" s="24" t="str">
        <f t="shared" si="38"/>
        <v>Offline</v>
      </c>
      <c r="AF232" s="27" t="str">
        <f t="shared" si="39"/>
        <v>Priority Order</v>
      </c>
    </row>
    <row r="233" spans="1:32" x14ac:dyDescent="0.3">
      <c r="A233" s="2">
        <v>10232</v>
      </c>
      <c r="B233" s="2">
        <v>1639</v>
      </c>
      <c r="C233" s="3">
        <v>44962</v>
      </c>
      <c r="D233" s="3">
        <v>44969</v>
      </c>
      <c r="E233" s="2" t="s">
        <v>28</v>
      </c>
      <c r="F233" s="2" t="s">
        <v>35</v>
      </c>
      <c r="G233" s="2" t="s">
        <v>23</v>
      </c>
      <c r="H233" s="2" t="s">
        <v>24</v>
      </c>
      <c r="I233" s="2" t="s">
        <v>63</v>
      </c>
      <c r="J233" s="2" t="s">
        <v>65</v>
      </c>
      <c r="K233" s="2" t="s">
        <v>27</v>
      </c>
      <c r="L233" s="2">
        <v>1</v>
      </c>
      <c r="M233" s="2">
        <v>2250.4899999999998</v>
      </c>
      <c r="N233" s="2">
        <v>15</v>
      </c>
      <c r="O233" s="2">
        <v>1912.92</v>
      </c>
      <c r="P233" s="2">
        <f t="shared" si="30"/>
        <v>2250.4899999999998</v>
      </c>
      <c r="Q233" s="2">
        <f t="shared" si="31"/>
        <v>337.57349999999997</v>
      </c>
      <c r="R233" s="2">
        <f t="shared" si="32"/>
        <v>1912.9164999999998</v>
      </c>
      <c r="S233" s="2" t="str">
        <f t="shared" si="33"/>
        <v>Low</v>
      </c>
      <c r="T233" s="2" t="str" cm="1">
        <f t="array" ref="T233">_xlfn.IFS(L233&gt;5,"High",L233=5,"Medium",L233&lt;5,"Low")</f>
        <v>Low</v>
      </c>
      <c r="U233" s="2" t="str">
        <f t="shared" si="34"/>
        <v>Low</v>
      </c>
      <c r="V233" s="14" t="str">
        <f t="shared" si="35"/>
        <v>Heavy Discount</v>
      </c>
      <c r="W233" s="16" t="str">
        <f t="shared" si="36"/>
        <v>Average</v>
      </c>
      <c r="X233" s="18" t="str" cm="1">
        <f t="array" ref="X233">_xlfn.IFS(O233&gt;7000,"Excellent",O233&gt;4000,"Good",O233&lt;4000,"Average")</f>
        <v>Average</v>
      </c>
      <c r="AD233" s="23" t="str">
        <f t="shared" si="37"/>
        <v>Not Eligible</v>
      </c>
      <c r="AE233" s="24" t="str">
        <f t="shared" si="38"/>
        <v>Online</v>
      </c>
      <c r="AF233" s="27" t="str">
        <f t="shared" si="39"/>
        <v>Normal Order</v>
      </c>
    </row>
    <row r="234" spans="1:32" x14ac:dyDescent="0.3">
      <c r="A234" s="2">
        <v>10233</v>
      </c>
      <c r="B234" s="2">
        <v>1505</v>
      </c>
      <c r="C234" s="3">
        <v>45139</v>
      </c>
      <c r="D234" s="3">
        <v>45143</v>
      </c>
      <c r="E234" s="2" t="s">
        <v>22</v>
      </c>
      <c r="F234" s="2" t="s">
        <v>47</v>
      </c>
      <c r="G234" s="2" t="s">
        <v>23</v>
      </c>
      <c r="H234" s="2" t="s">
        <v>50</v>
      </c>
      <c r="I234" s="2" t="s">
        <v>25</v>
      </c>
      <c r="J234" s="2" t="s">
        <v>61</v>
      </c>
      <c r="K234" s="2" t="s">
        <v>53</v>
      </c>
      <c r="L234" s="2">
        <v>1</v>
      </c>
      <c r="M234" s="2">
        <v>556.53</v>
      </c>
      <c r="N234" s="2">
        <v>5</v>
      </c>
      <c r="O234" s="2">
        <v>528.70000000000005</v>
      </c>
      <c r="P234" s="2">
        <f t="shared" si="30"/>
        <v>556.53</v>
      </c>
      <c r="Q234" s="2">
        <f t="shared" si="31"/>
        <v>27.826499999999999</v>
      </c>
      <c r="R234" s="2">
        <f t="shared" si="32"/>
        <v>528.70349999999996</v>
      </c>
      <c r="S234" s="2" t="str">
        <f t="shared" si="33"/>
        <v>Low</v>
      </c>
      <c r="T234" s="2" t="str" cm="1">
        <f t="array" ref="T234">_xlfn.IFS(L234&gt;5,"High",L234=5,"Medium",L234&lt;5,"Low")</f>
        <v>Low</v>
      </c>
      <c r="U234" s="2" t="str">
        <f t="shared" si="34"/>
        <v>Low</v>
      </c>
      <c r="V234" s="14" t="str">
        <f t="shared" si="35"/>
        <v>Normal Discount</v>
      </c>
      <c r="W234" s="16" t="str">
        <f t="shared" si="36"/>
        <v>Average</v>
      </c>
      <c r="X234" s="18" t="str" cm="1">
        <f t="array" ref="X234">_xlfn.IFS(O234&gt;7000,"Excellent",O234&gt;4000,"Good",O234&lt;4000,"Average")</f>
        <v>Average</v>
      </c>
      <c r="AD234" s="23" t="str">
        <f t="shared" si="37"/>
        <v>Not Eligible</v>
      </c>
      <c r="AE234" s="24" t="str">
        <f t="shared" si="38"/>
        <v>Online</v>
      </c>
      <c r="AF234" s="27" t="str">
        <f t="shared" si="39"/>
        <v>Normal Order</v>
      </c>
    </row>
    <row r="235" spans="1:32" x14ac:dyDescent="0.3">
      <c r="A235" s="2">
        <v>10234</v>
      </c>
      <c r="B235" s="2">
        <v>1347</v>
      </c>
      <c r="C235" s="3">
        <v>45290</v>
      </c>
      <c r="D235" s="3">
        <v>45295</v>
      </c>
      <c r="E235" s="2" t="s">
        <v>43</v>
      </c>
      <c r="F235" s="2" t="s">
        <v>22</v>
      </c>
      <c r="G235" s="2" t="s">
        <v>36</v>
      </c>
      <c r="H235" s="2" t="s">
        <v>50</v>
      </c>
      <c r="I235" s="2" t="s">
        <v>37</v>
      </c>
      <c r="J235" s="2" t="s">
        <v>54</v>
      </c>
      <c r="K235" s="2" t="s">
        <v>39</v>
      </c>
      <c r="L235" s="2">
        <v>7</v>
      </c>
      <c r="M235" s="2">
        <v>324.38</v>
      </c>
      <c r="N235" s="2">
        <v>10</v>
      </c>
      <c r="O235" s="2">
        <v>2043.59</v>
      </c>
      <c r="P235" s="2">
        <f t="shared" si="30"/>
        <v>2270.66</v>
      </c>
      <c r="Q235" s="2">
        <f t="shared" si="31"/>
        <v>227.066</v>
      </c>
      <c r="R235" s="2">
        <f t="shared" si="32"/>
        <v>2043.5939999999998</v>
      </c>
      <c r="S235" s="2" t="str">
        <f t="shared" si="33"/>
        <v>High</v>
      </c>
      <c r="T235" s="2" t="str" cm="1">
        <f t="array" ref="T235">_xlfn.IFS(L235&gt;5,"High",L235=5,"Medium",L235&lt;5,"Low")</f>
        <v>High</v>
      </c>
      <c r="U235" s="2" t="str">
        <f t="shared" si="34"/>
        <v>High</v>
      </c>
      <c r="V235" s="14" t="str">
        <f t="shared" si="35"/>
        <v>Normal Discount</v>
      </c>
      <c r="W235" s="16" t="str">
        <f t="shared" si="36"/>
        <v>Average</v>
      </c>
      <c r="X235" s="18" t="str" cm="1">
        <f t="array" ref="X235">_xlfn.IFS(O235&gt;7000,"Excellent",O235&gt;4000,"Good",O235&lt;4000,"Average")</f>
        <v>Average</v>
      </c>
      <c r="AD235" s="23" t="str">
        <f t="shared" si="37"/>
        <v>Not Eligible</v>
      </c>
      <c r="AE235" s="24" t="str">
        <f t="shared" si="38"/>
        <v>Offline</v>
      </c>
      <c r="AF235" s="27" t="str">
        <f t="shared" si="39"/>
        <v>Priority Order</v>
      </c>
    </row>
    <row r="236" spans="1:32" x14ac:dyDescent="0.3">
      <c r="A236" s="2">
        <v>10235</v>
      </c>
      <c r="B236" s="2">
        <v>1472</v>
      </c>
      <c r="C236" s="3">
        <v>45032</v>
      </c>
      <c r="D236" s="3">
        <v>45040</v>
      </c>
      <c r="E236" s="2" t="s">
        <v>46</v>
      </c>
      <c r="F236" s="2" t="s">
        <v>35</v>
      </c>
      <c r="G236" s="2" t="s">
        <v>23</v>
      </c>
      <c r="H236" s="2" t="s">
        <v>41</v>
      </c>
      <c r="I236" s="2" t="s">
        <v>58</v>
      </c>
      <c r="J236" s="2" t="s">
        <v>66</v>
      </c>
      <c r="K236" s="2" t="s">
        <v>53</v>
      </c>
      <c r="L236" s="2">
        <v>9</v>
      </c>
      <c r="M236" s="2">
        <v>2677.09</v>
      </c>
      <c r="N236" s="2">
        <v>10</v>
      </c>
      <c r="O236" s="2">
        <v>21684.43</v>
      </c>
      <c r="P236" s="2">
        <f t="shared" si="30"/>
        <v>24093.81</v>
      </c>
      <c r="Q236" s="2">
        <f t="shared" si="31"/>
        <v>2409.3810000000003</v>
      </c>
      <c r="R236" s="2">
        <f t="shared" si="32"/>
        <v>21684.429</v>
      </c>
      <c r="S236" s="2" t="str">
        <f t="shared" si="33"/>
        <v>High</v>
      </c>
      <c r="T236" s="2" t="str" cm="1">
        <f t="array" ref="T236">_xlfn.IFS(L236&gt;5,"High",L236=5,"Medium",L236&lt;5,"Low")</f>
        <v>High</v>
      </c>
      <c r="U236" s="2" t="str">
        <f t="shared" si="34"/>
        <v>High</v>
      </c>
      <c r="V236" s="14" t="str">
        <f t="shared" si="35"/>
        <v>Normal Discount</v>
      </c>
      <c r="W236" s="16" t="str">
        <f t="shared" si="36"/>
        <v>Excellent</v>
      </c>
      <c r="X236" s="18" t="str" cm="1">
        <f t="array" ref="X236">_xlfn.IFS(O236&gt;7000,"Excellent",O236&gt;4000,"Good",O236&lt;4000,"Average")</f>
        <v>Excellent</v>
      </c>
      <c r="AD236" s="23" t="str">
        <f t="shared" si="37"/>
        <v>Not Eligible</v>
      </c>
      <c r="AE236" s="24" t="str">
        <f t="shared" si="38"/>
        <v>Online</v>
      </c>
      <c r="AF236" s="27" t="str">
        <f t="shared" si="39"/>
        <v>Priority Order</v>
      </c>
    </row>
    <row r="237" spans="1:32" x14ac:dyDescent="0.3">
      <c r="A237" s="2">
        <v>10236</v>
      </c>
      <c r="B237" s="2">
        <v>1230</v>
      </c>
      <c r="C237" s="3">
        <v>45268</v>
      </c>
      <c r="D237" s="3">
        <v>45269</v>
      </c>
      <c r="E237" s="2" t="s">
        <v>28</v>
      </c>
      <c r="F237" s="2" t="s">
        <v>22</v>
      </c>
      <c r="G237" s="2" t="s">
        <v>36</v>
      </c>
      <c r="H237" s="2" t="s">
        <v>31</v>
      </c>
      <c r="I237" s="2" t="s">
        <v>58</v>
      </c>
      <c r="J237" s="2" t="s">
        <v>66</v>
      </c>
      <c r="K237" s="2" t="s">
        <v>39</v>
      </c>
      <c r="L237" s="2">
        <v>7</v>
      </c>
      <c r="M237" s="2">
        <v>2210.34</v>
      </c>
      <c r="N237" s="2">
        <v>5</v>
      </c>
      <c r="O237" s="2">
        <v>14698.76</v>
      </c>
      <c r="P237" s="2">
        <f t="shared" si="30"/>
        <v>15472.380000000001</v>
      </c>
      <c r="Q237" s="2">
        <f t="shared" si="31"/>
        <v>773.61900000000014</v>
      </c>
      <c r="R237" s="2">
        <f t="shared" si="32"/>
        <v>14698.761</v>
      </c>
      <c r="S237" s="2" t="str">
        <f t="shared" si="33"/>
        <v>High</v>
      </c>
      <c r="T237" s="2" t="str" cm="1">
        <f t="array" ref="T237">_xlfn.IFS(L237&gt;5,"High",L237=5,"Medium",L237&lt;5,"Low")</f>
        <v>High</v>
      </c>
      <c r="U237" s="2" t="str">
        <f t="shared" si="34"/>
        <v>High</v>
      </c>
      <c r="V237" s="14" t="str">
        <f t="shared" si="35"/>
        <v>Normal Discount</v>
      </c>
      <c r="W237" s="16" t="str">
        <f t="shared" si="36"/>
        <v>Excellent</v>
      </c>
      <c r="X237" s="18" t="str" cm="1">
        <f t="array" ref="X237">_xlfn.IFS(O237&gt;7000,"Excellent",O237&gt;4000,"Good",O237&lt;4000,"Average")</f>
        <v>Excellent</v>
      </c>
      <c r="AD237" s="23" t="str">
        <f t="shared" si="37"/>
        <v>Eligible</v>
      </c>
      <c r="AE237" s="24" t="str">
        <f t="shared" si="38"/>
        <v>Offline</v>
      </c>
      <c r="AF237" s="27" t="str">
        <f t="shared" si="39"/>
        <v>Priority Order</v>
      </c>
    </row>
    <row r="238" spans="1:32" x14ac:dyDescent="0.3">
      <c r="A238" s="2">
        <v>10237</v>
      </c>
      <c r="B238" s="2">
        <v>1189</v>
      </c>
      <c r="C238" s="3">
        <v>45146</v>
      </c>
      <c r="D238" s="3">
        <v>45147</v>
      </c>
      <c r="E238" s="2" t="s">
        <v>22</v>
      </c>
      <c r="F238" s="2" t="s">
        <v>47</v>
      </c>
      <c r="G238" s="2" t="s">
        <v>23</v>
      </c>
      <c r="H238" s="2" t="s">
        <v>31</v>
      </c>
      <c r="I238" s="2" t="s">
        <v>25</v>
      </c>
      <c r="J238" s="2" t="s">
        <v>26</v>
      </c>
      <c r="K238" s="2" t="s">
        <v>27</v>
      </c>
      <c r="L238" s="2">
        <v>5</v>
      </c>
      <c r="M238" s="2">
        <v>465.79</v>
      </c>
      <c r="N238" s="2">
        <v>5</v>
      </c>
      <c r="O238" s="2">
        <v>2212.5</v>
      </c>
      <c r="P238" s="2">
        <f t="shared" si="30"/>
        <v>2328.9500000000003</v>
      </c>
      <c r="Q238" s="2">
        <f t="shared" si="31"/>
        <v>116.44750000000002</v>
      </c>
      <c r="R238" s="2">
        <f t="shared" si="32"/>
        <v>2212.5025000000001</v>
      </c>
      <c r="S238" s="2" t="str">
        <f t="shared" si="33"/>
        <v>High</v>
      </c>
      <c r="T238" s="2" t="str" cm="1">
        <f t="array" ref="T238">_xlfn.IFS(L238&gt;5,"High",L238=5,"Medium",L238&lt;5,"Low")</f>
        <v>Medium</v>
      </c>
      <c r="U238" s="2" t="str">
        <f t="shared" si="34"/>
        <v>Medium</v>
      </c>
      <c r="V238" s="14" t="str">
        <f t="shared" si="35"/>
        <v>Normal Discount</v>
      </c>
      <c r="W238" s="16" t="str">
        <f t="shared" si="36"/>
        <v>Average</v>
      </c>
      <c r="X238" s="18" t="str" cm="1">
        <f t="array" ref="X238">_xlfn.IFS(O238&gt;7000,"Excellent",O238&gt;4000,"Good",O238&lt;4000,"Average")</f>
        <v>Average</v>
      </c>
      <c r="AD238" s="23" t="str">
        <f t="shared" si="37"/>
        <v>Not Eligible</v>
      </c>
      <c r="AE238" s="24" t="str">
        <f t="shared" si="38"/>
        <v>Online</v>
      </c>
      <c r="AF238" s="27" t="str">
        <f t="shared" si="39"/>
        <v>Normal Order</v>
      </c>
    </row>
    <row r="239" spans="1:32" x14ac:dyDescent="0.3">
      <c r="A239" s="2">
        <v>10238</v>
      </c>
      <c r="B239" s="2">
        <v>1224</v>
      </c>
      <c r="C239" s="3">
        <v>45089</v>
      </c>
      <c r="D239" s="3">
        <v>45093</v>
      </c>
      <c r="E239" s="2" t="s">
        <v>40</v>
      </c>
      <c r="F239" s="2" t="s">
        <v>44</v>
      </c>
      <c r="G239" s="2" t="s">
        <v>30</v>
      </c>
      <c r="H239" s="2" t="s">
        <v>41</v>
      </c>
      <c r="I239" s="2" t="s">
        <v>63</v>
      </c>
      <c r="J239" s="2" t="s">
        <v>68</v>
      </c>
      <c r="K239" s="2" t="s">
        <v>51</v>
      </c>
      <c r="L239" s="2">
        <v>8</v>
      </c>
      <c r="M239" s="2">
        <v>284.52</v>
      </c>
      <c r="N239" s="2">
        <v>15</v>
      </c>
      <c r="O239" s="2">
        <v>1934.74</v>
      </c>
      <c r="P239" s="2">
        <f t="shared" si="30"/>
        <v>2276.16</v>
      </c>
      <c r="Q239" s="2">
        <f t="shared" si="31"/>
        <v>341.42399999999998</v>
      </c>
      <c r="R239" s="2">
        <f t="shared" si="32"/>
        <v>1934.7359999999999</v>
      </c>
      <c r="S239" s="2" t="str">
        <f t="shared" si="33"/>
        <v>High</v>
      </c>
      <c r="T239" s="2" t="str" cm="1">
        <f t="array" ref="T239">_xlfn.IFS(L239&gt;5,"High",L239=5,"Medium",L239&lt;5,"Low")</f>
        <v>High</v>
      </c>
      <c r="U239" s="2" t="str">
        <f t="shared" si="34"/>
        <v>High</v>
      </c>
      <c r="V239" s="14" t="str">
        <f t="shared" si="35"/>
        <v>Heavy Discount</v>
      </c>
      <c r="W239" s="16" t="str">
        <f t="shared" si="36"/>
        <v>Average</v>
      </c>
      <c r="X239" s="18" t="str" cm="1">
        <f t="array" ref="X239">_xlfn.IFS(O239&gt;7000,"Excellent",O239&gt;4000,"Good",O239&lt;4000,"Average")</f>
        <v>Average</v>
      </c>
      <c r="AD239" s="23" t="str">
        <f t="shared" si="37"/>
        <v>Not Eligible</v>
      </c>
      <c r="AE239" s="24" t="str">
        <f t="shared" si="38"/>
        <v>Online</v>
      </c>
      <c r="AF239" s="27" t="str">
        <f t="shared" si="39"/>
        <v>Priority Order</v>
      </c>
    </row>
    <row r="240" spans="1:32" x14ac:dyDescent="0.3">
      <c r="A240" s="2">
        <v>10239</v>
      </c>
      <c r="B240" s="2">
        <v>1384</v>
      </c>
      <c r="C240" s="3">
        <v>45146</v>
      </c>
      <c r="D240" s="3">
        <v>45149</v>
      </c>
      <c r="E240" s="2" t="s">
        <v>40</v>
      </c>
      <c r="F240" s="2" t="s">
        <v>47</v>
      </c>
      <c r="G240" s="2" t="s">
        <v>30</v>
      </c>
      <c r="H240" s="2" t="s">
        <v>31</v>
      </c>
      <c r="I240" s="2" t="s">
        <v>55</v>
      </c>
      <c r="J240" s="2" t="s">
        <v>69</v>
      </c>
      <c r="K240" s="2" t="s">
        <v>53</v>
      </c>
      <c r="L240" s="2">
        <v>2</v>
      </c>
      <c r="M240" s="2">
        <v>3960.56</v>
      </c>
      <c r="N240" s="2">
        <v>10</v>
      </c>
      <c r="O240" s="2">
        <v>7129.01</v>
      </c>
      <c r="P240" s="2">
        <f t="shared" si="30"/>
        <v>7921.12</v>
      </c>
      <c r="Q240" s="2">
        <f t="shared" si="31"/>
        <v>792.11200000000008</v>
      </c>
      <c r="R240" s="2">
        <f t="shared" si="32"/>
        <v>7129.0079999999998</v>
      </c>
      <c r="S240" s="2" t="str">
        <f t="shared" si="33"/>
        <v>Low</v>
      </c>
      <c r="T240" s="2" t="str" cm="1">
        <f t="array" ref="T240">_xlfn.IFS(L240&gt;5,"High",L240=5,"Medium",L240&lt;5,"Low")</f>
        <v>Low</v>
      </c>
      <c r="U240" s="2" t="str">
        <f t="shared" si="34"/>
        <v>Low</v>
      </c>
      <c r="V240" s="14" t="str">
        <f t="shared" si="35"/>
        <v>Normal Discount</v>
      </c>
      <c r="W240" s="16" t="str">
        <f t="shared" si="36"/>
        <v>Excellent</v>
      </c>
      <c r="X240" s="18" t="str" cm="1">
        <f t="array" ref="X240">_xlfn.IFS(O240&gt;7000,"Excellent",O240&gt;4000,"Good",O240&lt;4000,"Average")</f>
        <v>Excellent</v>
      </c>
      <c r="AD240" s="23" t="str">
        <f t="shared" si="37"/>
        <v>Not Eligible</v>
      </c>
      <c r="AE240" s="24" t="str">
        <f t="shared" si="38"/>
        <v>Online</v>
      </c>
      <c r="AF240" s="27" t="str">
        <f t="shared" si="39"/>
        <v>Priority Order</v>
      </c>
    </row>
    <row r="241" spans="1:32" x14ac:dyDescent="0.3">
      <c r="A241" s="2">
        <v>10240</v>
      </c>
      <c r="B241" s="2">
        <v>1376</v>
      </c>
      <c r="C241" s="3">
        <v>45196</v>
      </c>
      <c r="D241" s="3">
        <v>45198</v>
      </c>
      <c r="E241" s="2" t="s">
        <v>22</v>
      </c>
      <c r="F241" s="2" t="s">
        <v>44</v>
      </c>
      <c r="G241" s="2" t="s">
        <v>23</v>
      </c>
      <c r="H241" s="2" t="s">
        <v>48</v>
      </c>
      <c r="I241" s="2" t="s">
        <v>63</v>
      </c>
      <c r="J241" s="2" t="s">
        <v>73</v>
      </c>
      <c r="K241" s="2" t="s">
        <v>51</v>
      </c>
      <c r="L241" s="2">
        <v>9</v>
      </c>
      <c r="M241" s="2">
        <v>265.58</v>
      </c>
      <c r="N241" s="2">
        <v>10</v>
      </c>
      <c r="O241" s="2">
        <v>2151.1999999999998</v>
      </c>
      <c r="P241" s="2">
        <f t="shared" si="30"/>
        <v>2390.2199999999998</v>
      </c>
      <c r="Q241" s="2">
        <f t="shared" si="31"/>
        <v>239.02199999999999</v>
      </c>
      <c r="R241" s="2">
        <f t="shared" si="32"/>
        <v>2151.1979999999999</v>
      </c>
      <c r="S241" s="2" t="str">
        <f t="shared" si="33"/>
        <v>High</v>
      </c>
      <c r="T241" s="2" t="str" cm="1">
        <f t="array" ref="T241">_xlfn.IFS(L241&gt;5,"High",L241=5,"Medium",L241&lt;5,"Low")</f>
        <v>High</v>
      </c>
      <c r="U241" s="2" t="str">
        <f t="shared" si="34"/>
        <v>High</v>
      </c>
      <c r="V241" s="14" t="str">
        <f t="shared" si="35"/>
        <v>Normal Discount</v>
      </c>
      <c r="W241" s="16" t="str">
        <f t="shared" si="36"/>
        <v>Average</v>
      </c>
      <c r="X241" s="18" t="str" cm="1">
        <f t="array" ref="X241">_xlfn.IFS(O241&gt;7000,"Excellent",O241&gt;4000,"Good",O241&lt;4000,"Average")</f>
        <v>Average</v>
      </c>
      <c r="AD241" s="23" t="str">
        <f t="shared" si="37"/>
        <v>Not Eligible</v>
      </c>
      <c r="AE241" s="24" t="str">
        <f t="shared" si="38"/>
        <v>Online</v>
      </c>
      <c r="AF241" s="27" t="str">
        <f t="shared" si="39"/>
        <v>Priority Order</v>
      </c>
    </row>
    <row r="242" spans="1:32" x14ac:dyDescent="0.3">
      <c r="A242" s="2">
        <v>10241</v>
      </c>
      <c r="B242" s="2">
        <v>1282</v>
      </c>
      <c r="C242" s="3">
        <v>45046</v>
      </c>
      <c r="D242" s="3">
        <v>45049</v>
      </c>
      <c r="E242" s="2" t="s">
        <v>46</v>
      </c>
      <c r="F242" s="2" t="s">
        <v>47</v>
      </c>
      <c r="G242" s="2" t="s">
        <v>36</v>
      </c>
      <c r="H242" s="2" t="s">
        <v>24</v>
      </c>
      <c r="I242" s="2" t="s">
        <v>25</v>
      </c>
      <c r="J242" s="2" t="s">
        <v>72</v>
      </c>
      <c r="K242" s="2" t="s">
        <v>39</v>
      </c>
      <c r="L242" s="2">
        <v>6</v>
      </c>
      <c r="M242" s="2">
        <v>1861.43</v>
      </c>
      <c r="N242" s="2">
        <v>0</v>
      </c>
      <c r="O242" s="2">
        <v>11168.58</v>
      </c>
      <c r="P242" s="2">
        <f t="shared" si="30"/>
        <v>11168.58</v>
      </c>
      <c r="Q242" s="2">
        <f t="shared" si="31"/>
        <v>0</v>
      </c>
      <c r="R242" s="2">
        <f t="shared" si="32"/>
        <v>11168.58</v>
      </c>
      <c r="S242" s="2" t="str">
        <f t="shared" si="33"/>
        <v>High</v>
      </c>
      <c r="T242" s="2" t="str" cm="1">
        <f t="array" ref="T242">_xlfn.IFS(L242&gt;5,"High",L242=5,"Medium",L242&lt;5,"Low")</f>
        <v>High</v>
      </c>
      <c r="U242" s="2" t="str">
        <f t="shared" si="34"/>
        <v>High</v>
      </c>
      <c r="V242" s="14" t="str">
        <f t="shared" si="35"/>
        <v>Normal Discount</v>
      </c>
      <c r="W242" s="16" t="str">
        <f t="shared" si="36"/>
        <v>Excellent</v>
      </c>
      <c r="X242" s="18" t="str" cm="1">
        <f t="array" ref="X242">_xlfn.IFS(O242&gt;7000,"Excellent",O242&gt;4000,"Good",O242&lt;4000,"Average")</f>
        <v>Excellent</v>
      </c>
      <c r="AD242" s="23" t="str">
        <f t="shared" si="37"/>
        <v>Eligible</v>
      </c>
      <c r="AE242" s="24" t="str">
        <f t="shared" si="38"/>
        <v>Offline</v>
      </c>
      <c r="AF242" s="27" t="str">
        <f t="shared" si="39"/>
        <v>Priority Order</v>
      </c>
    </row>
    <row r="243" spans="1:32" x14ac:dyDescent="0.3">
      <c r="A243" s="2">
        <v>10242</v>
      </c>
      <c r="B243" s="2">
        <v>1957</v>
      </c>
      <c r="C243" s="3">
        <v>45262</v>
      </c>
      <c r="D243" s="3">
        <v>45263</v>
      </c>
      <c r="E243" s="2" t="s">
        <v>21</v>
      </c>
      <c r="F243" s="2" t="s">
        <v>35</v>
      </c>
      <c r="G243" s="2" t="s">
        <v>30</v>
      </c>
      <c r="H243" s="2" t="s">
        <v>50</v>
      </c>
      <c r="I243" s="2" t="s">
        <v>58</v>
      </c>
      <c r="J243" s="2" t="s">
        <v>70</v>
      </c>
      <c r="K243" s="2" t="s">
        <v>53</v>
      </c>
      <c r="L243" s="2">
        <v>9</v>
      </c>
      <c r="M243" s="2">
        <v>2092.7800000000002</v>
      </c>
      <c r="N243" s="2">
        <v>20</v>
      </c>
      <c r="O243" s="2">
        <v>15068.02</v>
      </c>
      <c r="P243" s="2">
        <f t="shared" si="30"/>
        <v>18835.02</v>
      </c>
      <c r="Q243" s="2">
        <f t="shared" si="31"/>
        <v>3767.0040000000004</v>
      </c>
      <c r="R243" s="2">
        <f t="shared" si="32"/>
        <v>15068.016</v>
      </c>
      <c r="S243" s="2" t="str">
        <f t="shared" si="33"/>
        <v>High</v>
      </c>
      <c r="T243" s="2" t="str" cm="1">
        <f t="array" ref="T243">_xlfn.IFS(L243&gt;5,"High",L243=5,"Medium",L243&lt;5,"Low")</f>
        <v>High</v>
      </c>
      <c r="U243" s="2" t="str">
        <f t="shared" si="34"/>
        <v>High</v>
      </c>
      <c r="V243" s="14" t="str">
        <f t="shared" si="35"/>
        <v>Heavy Discount</v>
      </c>
      <c r="W243" s="16" t="str">
        <f t="shared" si="36"/>
        <v>Excellent</v>
      </c>
      <c r="X243" s="18" t="str" cm="1">
        <f t="array" ref="X243">_xlfn.IFS(O243&gt;7000,"Excellent",O243&gt;4000,"Good",O243&lt;4000,"Average")</f>
        <v>Excellent</v>
      </c>
      <c r="AD243" s="23" t="str">
        <f t="shared" si="37"/>
        <v>Not Eligible</v>
      </c>
      <c r="AE243" s="24" t="str">
        <f t="shared" si="38"/>
        <v>Online</v>
      </c>
      <c r="AF243" s="27" t="str">
        <f t="shared" si="39"/>
        <v>Priority Order</v>
      </c>
    </row>
    <row r="244" spans="1:32" x14ac:dyDescent="0.3">
      <c r="A244" s="2">
        <v>10243</v>
      </c>
      <c r="B244" s="2">
        <v>1632</v>
      </c>
      <c r="C244" s="3">
        <v>45108</v>
      </c>
      <c r="D244" s="3">
        <v>45109</v>
      </c>
      <c r="E244" s="2" t="s">
        <v>43</v>
      </c>
      <c r="F244" s="2" t="s">
        <v>29</v>
      </c>
      <c r="G244" s="2" t="s">
        <v>36</v>
      </c>
      <c r="H244" s="2" t="s">
        <v>24</v>
      </c>
      <c r="I244" s="2" t="s">
        <v>63</v>
      </c>
      <c r="J244" s="2" t="s">
        <v>65</v>
      </c>
      <c r="K244" s="2" t="s">
        <v>34</v>
      </c>
      <c r="L244" s="2">
        <v>2</v>
      </c>
      <c r="M244" s="2">
        <v>601.53</v>
      </c>
      <c r="N244" s="2">
        <v>20</v>
      </c>
      <c r="O244" s="2">
        <v>962.45</v>
      </c>
      <c r="P244" s="2">
        <f t="shared" si="30"/>
        <v>1203.06</v>
      </c>
      <c r="Q244" s="2">
        <f t="shared" si="31"/>
        <v>240.61199999999999</v>
      </c>
      <c r="R244" s="2">
        <f t="shared" si="32"/>
        <v>962.44799999999998</v>
      </c>
      <c r="S244" s="2" t="str">
        <f t="shared" si="33"/>
        <v>Low</v>
      </c>
      <c r="T244" s="2" t="str" cm="1">
        <f t="array" ref="T244">_xlfn.IFS(L244&gt;5,"High",L244=5,"Medium",L244&lt;5,"Low")</f>
        <v>Low</v>
      </c>
      <c r="U244" s="2" t="str">
        <f t="shared" si="34"/>
        <v>Low</v>
      </c>
      <c r="V244" s="14" t="str">
        <f t="shared" si="35"/>
        <v>Heavy Discount</v>
      </c>
      <c r="W244" s="16" t="str">
        <f t="shared" si="36"/>
        <v>Average</v>
      </c>
      <c r="X244" s="18" t="str" cm="1">
        <f t="array" ref="X244">_xlfn.IFS(O244&gt;7000,"Excellent",O244&gt;4000,"Good",O244&lt;4000,"Average")</f>
        <v>Average</v>
      </c>
      <c r="AD244" s="23" t="str">
        <f t="shared" si="37"/>
        <v>Not Eligible</v>
      </c>
      <c r="AE244" s="24" t="str">
        <f t="shared" si="38"/>
        <v>Offline</v>
      </c>
      <c r="AF244" s="27" t="str">
        <f t="shared" si="39"/>
        <v>Normal Order</v>
      </c>
    </row>
    <row r="245" spans="1:32" x14ac:dyDescent="0.3">
      <c r="A245" s="2">
        <v>10244</v>
      </c>
      <c r="B245" s="2">
        <v>1627</v>
      </c>
      <c r="C245" s="3">
        <v>45032</v>
      </c>
      <c r="D245" s="3">
        <v>45038</v>
      </c>
      <c r="E245" s="2" t="s">
        <v>40</v>
      </c>
      <c r="F245" s="2" t="s">
        <v>35</v>
      </c>
      <c r="G245" s="2" t="s">
        <v>23</v>
      </c>
      <c r="H245" s="2" t="s">
        <v>50</v>
      </c>
      <c r="I245" s="2" t="s">
        <v>58</v>
      </c>
      <c r="J245" s="2" t="s">
        <v>59</v>
      </c>
      <c r="K245" s="2" t="s">
        <v>51</v>
      </c>
      <c r="L245" s="2">
        <v>3</v>
      </c>
      <c r="M245" s="2">
        <v>800.89</v>
      </c>
      <c r="N245" s="2">
        <v>0</v>
      </c>
      <c r="O245" s="2">
        <v>2402.67</v>
      </c>
      <c r="P245" s="2">
        <f t="shared" si="30"/>
        <v>2402.67</v>
      </c>
      <c r="Q245" s="2">
        <f t="shared" si="31"/>
        <v>0</v>
      </c>
      <c r="R245" s="2">
        <f t="shared" si="32"/>
        <v>2402.67</v>
      </c>
      <c r="S245" s="2" t="str">
        <f t="shared" si="33"/>
        <v>Low</v>
      </c>
      <c r="T245" s="2" t="str" cm="1">
        <f t="array" ref="T245">_xlfn.IFS(L245&gt;5,"High",L245=5,"Medium",L245&lt;5,"Low")</f>
        <v>Low</v>
      </c>
      <c r="U245" s="2" t="str">
        <f t="shared" si="34"/>
        <v>Low</v>
      </c>
      <c r="V245" s="14" t="str">
        <f t="shared" si="35"/>
        <v>Normal Discount</v>
      </c>
      <c r="W245" s="16" t="str">
        <f t="shared" si="36"/>
        <v>Average</v>
      </c>
      <c r="X245" s="18" t="str" cm="1">
        <f t="array" ref="X245">_xlfn.IFS(O245&gt;7000,"Excellent",O245&gt;4000,"Good",O245&lt;4000,"Average")</f>
        <v>Average</v>
      </c>
      <c r="AD245" s="23" t="str">
        <f t="shared" si="37"/>
        <v>Not Eligible</v>
      </c>
      <c r="AE245" s="24" t="str">
        <f t="shared" si="38"/>
        <v>Online</v>
      </c>
      <c r="AF245" s="27" t="str">
        <f t="shared" si="39"/>
        <v>Normal Order</v>
      </c>
    </row>
    <row r="246" spans="1:32" x14ac:dyDescent="0.3">
      <c r="A246" s="2">
        <v>10245</v>
      </c>
      <c r="B246" s="2">
        <v>1972</v>
      </c>
      <c r="C246" s="3">
        <v>45143</v>
      </c>
      <c r="D246" s="3">
        <v>45148</v>
      </c>
      <c r="E246" s="2" t="s">
        <v>21</v>
      </c>
      <c r="F246" s="2" t="s">
        <v>22</v>
      </c>
      <c r="G246" s="2" t="s">
        <v>36</v>
      </c>
      <c r="H246" s="2" t="s">
        <v>48</v>
      </c>
      <c r="I246" s="2" t="s">
        <v>55</v>
      </c>
      <c r="J246" s="2" t="s">
        <v>57</v>
      </c>
      <c r="K246" s="2" t="s">
        <v>53</v>
      </c>
      <c r="L246" s="2">
        <v>8</v>
      </c>
      <c r="M246" s="2">
        <v>1504.45</v>
      </c>
      <c r="N246" s="2">
        <v>20</v>
      </c>
      <c r="O246" s="2">
        <v>9628.48</v>
      </c>
      <c r="P246" s="2">
        <f t="shared" si="30"/>
        <v>12035.6</v>
      </c>
      <c r="Q246" s="2">
        <f t="shared" si="31"/>
        <v>2407.1200000000003</v>
      </c>
      <c r="R246" s="2">
        <f t="shared" si="32"/>
        <v>9628.48</v>
      </c>
      <c r="S246" s="2" t="str">
        <f t="shared" si="33"/>
        <v>High</v>
      </c>
      <c r="T246" s="2" t="str" cm="1">
        <f t="array" ref="T246">_xlfn.IFS(L246&gt;5,"High",L246=5,"Medium",L246&lt;5,"Low")</f>
        <v>High</v>
      </c>
      <c r="U246" s="2" t="str">
        <f t="shared" si="34"/>
        <v>High</v>
      </c>
      <c r="V246" s="14" t="str">
        <f t="shared" si="35"/>
        <v>Heavy Discount</v>
      </c>
      <c r="W246" s="16" t="str">
        <f t="shared" si="36"/>
        <v>Excellent</v>
      </c>
      <c r="X246" s="18" t="str" cm="1">
        <f t="array" ref="X246">_xlfn.IFS(O246&gt;7000,"Excellent",O246&gt;4000,"Good",O246&lt;4000,"Average")</f>
        <v>Excellent</v>
      </c>
      <c r="AD246" s="23" t="str">
        <f t="shared" si="37"/>
        <v>Not Eligible</v>
      </c>
      <c r="AE246" s="24" t="str">
        <f t="shared" si="38"/>
        <v>Offline</v>
      </c>
      <c r="AF246" s="27" t="str">
        <f t="shared" si="39"/>
        <v>Priority Order</v>
      </c>
    </row>
    <row r="247" spans="1:32" x14ac:dyDescent="0.3">
      <c r="A247" s="2">
        <v>10246</v>
      </c>
      <c r="B247" s="2">
        <v>1744</v>
      </c>
      <c r="C247" s="3">
        <v>45131</v>
      </c>
      <c r="D247" s="3">
        <v>45139</v>
      </c>
      <c r="E247" s="2" t="s">
        <v>22</v>
      </c>
      <c r="F247" s="2" t="s">
        <v>35</v>
      </c>
      <c r="G247" s="2" t="s">
        <v>30</v>
      </c>
      <c r="H247" s="2" t="s">
        <v>31</v>
      </c>
      <c r="I247" s="2" t="s">
        <v>58</v>
      </c>
      <c r="J247" s="2" t="s">
        <v>59</v>
      </c>
      <c r="K247" s="2" t="s">
        <v>51</v>
      </c>
      <c r="L247" s="2">
        <v>1</v>
      </c>
      <c r="M247" s="2">
        <v>3082.45</v>
      </c>
      <c r="N247" s="2">
        <v>5</v>
      </c>
      <c r="O247" s="2">
        <v>2928.33</v>
      </c>
      <c r="P247" s="2">
        <f t="shared" si="30"/>
        <v>3082.45</v>
      </c>
      <c r="Q247" s="2">
        <f t="shared" si="31"/>
        <v>154.1225</v>
      </c>
      <c r="R247" s="2">
        <f t="shared" si="32"/>
        <v>2928.3274999999999</v>
      </c>
      <c r="S247" s="2" t="str">
        <f t="shared" si="33"/>
        <v>Low</v>
      </c>
      <c r="T247" s="2" t="str" cm="1">
        <f t="array" ref="T247">_xlfn.IFS(L247&gt;5,"High",L247=5,"Medium",L247&lt;5,"Low")</f>
        <v>Low</v>
      </c>
      <c r="U247" s="2" t="str">
        <f t="shared" si="34"/>
        <v>Low</v>
      </c>
      <c r="V247" s="14" t="str">
        <f t="shared" si="35"/>
        <v>Normal Discount</v>
      </c>
      <c r="W247" s="16" t="str">
        <f t="shared" si="36"/>
        <v>Average</v>
      </c>
      <c r="X247" s="18" t="str" cm="1">
        <f t="array" ref="X247">_xlfn.IFS(O247&gt;7000,"Excellent",O247&gt;4000,"Good",O247&lt;4000,"Average")</f>
        <v>Average</v>
      </c>
      <c r="AD247" s="23" t="str">
        <f t="shared" si="37"/>
        <v>Not Eligible</v>
      </c>
      <c r="AE247" s="24" t="str">
        <f t="shared" si="38"/>
        <v>Online</v>
      </c>
      <c r="AF247" s="27" t="str">
        <f t="shared" si="39"/>
        <v>Normal Order</v>
      </c>
    </row>
    <row r="248" spans="1:32" x14ac:dyDescent="0.3">
      <c r="A248" s="2">
        <v>10247</v>
      </c>
      <c r="B248" s="2">
        <v>1258</v>
      </c>
      <c r="C248" s="3">
        <v>44996</v>
      </c>
      <c r="D248" s="3">
        <v>44998</v>
      </c>
      <c r="E248" s="2" t="s">
        <v>21</v>
      </c>
      <c r="F248" s="2" t="s">
        <v>60</v>
      </c>
      <c r="G248" s="2" t="s">
        <v>36</v>
      </c>
      <c r="H248" s="2" t="s">
        <v>41</v>
      </c>
      <c r="I248" s="2" t="s">
        <v>58</v>
      </c>
      <c r="J248" s="2" t="s">
        <v>70</v>
      </c>
      <c r="K248" s="2" t="s">
        <v>53</v>
      </c>
      <c r="L248" s="2">
        <v>7</v>
      </c>
      <c r="M248" s="2">
        <v>2102.27</v>
      </c>
      <c r="N248" s="2">
        <v>20</v>
      </c>
      <c r="O248" s="2">
        <v>11772.71</v>
      </c>
      <c r="P248" s="2">
        <f t="shared" si="30"/>
        <v>14715.89</v>
      </c>
      <c r="Q248" s="2">
        <f t="shared" si="31"/>
        <v>2943.1779999999999</v>
      </c>
      <c r="R248" s="2">
        <f t="shared" si="32"/>
        <v>11772.712</v>
      </c>
      <c r="S248" s="2" t="str">
        <f t="shared" si="33"/>
        <v>High</v>
      </c>
      <c r="T248" s="2" t="str" cm="1">
        <f t="array" ref="T248">_xlfn.IFS(L248&gt;5,"High",L248=5,"Medium",L248&lt;5,"Low")</f>
        <v>High</v>
      </c>
      <c r="U248" s="2" t="str">
        <f t="shared" si="34"/>
        <v>High</v>
      </c>
      <c r="V248" s="14" t="str">
        <f t="shared" si="35"/>
        <v>Heavy Discount</v>
      </c>
      <c r="W248" s="16" t="str">
        <f t="shared" si="36"/>
        <v>Excellent</v>
      </c>
      <c r="X248" s="18" t="str" cm="1">
        <f t="array" ref="X248">_xlfn.IFS(O248&gt;7000,"Excellent",O248&gt;4000,"Good",O248&lt;4000,"Average")</f>
        <v>Excellent</v>
      </c>
      <c r="AD248" s="23" t="str">
        <f t="shared" si="37"/>
        <v>Not Eligible</v>
      </c>
      <c r="AE248" s="24" t="str">
        <f t="shared" si="38"/>
        <v>Offline</v>
      </c>
      <c r="AF248" s="27" t="str">
        <f t="shared" si="39"/>
        <v>Priority Order</v>
      </c>
    </row>
    <row r="249" spans="1:32" x14ac:dyDescent="0.3">
      <c r="A249" s="2">
        <v>10248</v>
      </c>
      <c r="B249" s="2">
        <v>1358</v>
      </c>
      <c r="C249" s="3">
        <v>44970</v>
      </c>
      <c r="D249" s="3">
        <v>44974</v>
      </c>
      <c r="E249" s="2" t="s">
        <v>28</v>
      </c>
      <c r="F249" s="2" t="s">
        <v>22</v>
      </c>
      <c r="G249" s="2" t="s">
        <v>36</v>
      </c>
      <c r="H249" s="2" t="s">
        <v>48</v>
      </c>
      <c r="I249" s="2" t="s">
        <v>37</v>
      </c>
      <c r="J249" s="2" t="s">
        <v>45</v>
      </c>
      <c r="K249" s="2" t="s">
        <v>27</v>
      </c>
      <c r="L249" s="2">
        <v>7</v>
      </c>
      <c r="M249" s="2">
        <v>2605.92</v>
      </c>
      <c r="N249" s="2">
        <v>20</v>
      </c>
      <c r="O249" s="2">
        <v>14593.15</v>
      </c>
      <c r="P249" s="2">
        <f t="shared" si="30"/>
        <v>18241.440000000002</v>
      </c>
      <c r="Q249" s="2">
        <f t="shared" si="31"/>
        <v>3648.2880000000005</v>
      </c>
      <c r="R249" s="2">
        <f t="shared" si="32"/>
        <v>14593.152000000002</v>
      </c>
      <c r="S249" s="2" t="str">
        <f t="shared" si="33"/>
        <v>High</v>
      </c>
      <c r="T249" s="2" t="str" cm="1">
        <f t="array" ref="T249">_xlfn.IFS(L249&gt;5,"High",L249=5,"Medium",L249&lt;5,"Low")</f>
        <v>High</v>
      </c>
      <c r="U249" s="2" t="str">
        <f t="shared" si="34"/>
        <v>High</v>
      </c>
      <c r="V249" s="14" t="str">
        <f t="shared" si="35"/>
        <v>Heavy Discount</v>
      </c>
      <c r="W249" s="16" t="str">
        <f t="shared" si="36"/>
        <v>Excellent</v>
      </c>
      <c r="X249" s="18" t="str" cm="1">
        <f t="array" ref="X249">_xlfn.IFS(O249&gt;7000,"Excellent",O249&gt;4000,"Good",O249&lt;4000,"Average")</f>
        <v>Excellent</v>
      </c>
      <c r="AD249" s="23" t="str">
        <f t="shared" si="37"/>
        <v>Not Eligible</v>
      </c>
      <c r="AE249" s="24" t="str">
        <f t="shared" si="38"/>
        <v>Offline</v>
      </c>
      <c r="AF249" s="27" t="str">
        <f t="shared" si="39"/>
        <v>Priority Order</v>
      </c>
    </row>
    <row r="250" spans="1:32" x14ac:dyDescent="0.3">
      <c r="A250" s="2">
        <v>10249</v>
      </c>
      <c r="B250" s="2">
        <v>1709</v>
      </c>
      <c r="C250" s="3">
        <v>45255</v>
      </c>
      <c r="D250" s="3">
        <v>45263</v>
      </c>
      <c r="E250" s="2" t="s">
        <v>52</v>
      </c>
      <c r="F250" s="2" t="s">
        <v>47</v>
      </c>
      <c r="G250" s="2" t="s">
        <v>23</v>
      </c>
      <c r="H250" s="2" t="s">
        <v>24</v>
      </c>
      <c r="I250" s="2" t="s">
        <v>37</v>
      </c>
      <c r="J250" s="2" t="s">
        <v>71</v>
      </c>
      <c r="K250" s="2" t="s">
        <v>51</v>
      </c>
      <c r="L250" s="2">
        <v>1</v>
      </c>
      <c r="M250" s="2">
        <v>3942.92</v>
      </c>
      <c r="N250" s="2">
        <v>0</v>
      </c>
      <c r="O250" s="2">
        <v>3942.92</v>
      </c>
      <c r="P250" s="2">
        <f t="shared" si="30"/>
        <v>3942.92</v>
      </c>
      <c r="Q250" s="2">
        <f t="shared" si="31"/>
        <v>0</v>
      </c>
      <c r="R250" s="2">
        <f t="shared" si="32"/>
        <v>3942.92</v>
      </c>
      <c r="S250" s="2" t="str">
        <f t="shared" si="33"/>
        <v>Low</v>
      </c>
      <c r="T250" s="2" t="str" cm="1">
        <f t="array" ref="T250">_xlfn.IFS(L250&gt;5,"High",L250=5,"Medium",L250&lt;5,"Low")</f>
        <v>Low</v>
      </c>
      <c r="U250" s="2" t="str">
        <f t="shared" si="34"/>
        <v>Low</v>
      </c>
      <c r="V250" s="14" t="str">
        <f t="shared" si="35"/>
        <v>Normal Discount</v>
      </c>
      <c r="W250" s="16" t="str">
        <f t="shared" si="36"/>
        <v>Average</v>
      </c>
      <c r="X250" s="18" t="str" cm="1">
        <f t="array" ref="X250">_xlfn.IFS(O250&gt;7000,"Excellent",O250&gt;4000,"Good",O250&lt;4000,"Average")</f>
        <v>Average</v>
      </c>
      <c r="AD250" s="23" t="str">
        <f t="shared" si="37"/>
        <v>Not Eligible</v>
      </c>
      <c r="AE250" s="24" t="str">
        <f t="shared" si="38"/>
        <v>Online</v>
      </c>
      <c r="AF250" s="27" t="str">
        <f t="shared" si="39"/>
        <v>Normal Order</v>
      </c>
    </row>
    <row r="251" spans="1:32" x14ac:dyDescent="0.3">
      <c r="A251" s="2">
        <v>10250</v>
      </c>
      <c r="B251" s="2">
        <v>1455</v>
      </c>
      <c r="C251" s="3">
        <v>45227</v>
      </c>
      <c r="D251" s="3">
        <v>45233</v>
      </c>
      <c r="E251" s="2" t="s">
        <v>40</v>
      </c>
      <c r="F251" s="2" t="s">
        <v>22</v>
      </c>
      <c r="G251" s="2" t="s">
        <v>23</v>
      </c>
      <c r="H251" s="2" t="s">
        <v>41</v>
      </c>
      <c r="I251" s="2" t="s">
        <v>32</v>
      </c>
      <c r="J251" s="2" t="s">
        <v>75</v>
      </c>
      <c r="K251" s="2" t="s">
        <v>34</v>
      </c>
      <c r="L251" s="2">
        <v>9</v>
      </c>
      <c r="M251" s="2">
        <v>3106.82</v>
      </c>
      <c r="N251" s="2">
        <v>15</v>
      </c>
      <c r="O251" s="2">
        <v>23767.17</v>
      </c>
      <c r="P251" s="2">
        <f t="shared" si="30"/>
        <v>27961.38</v>
      </c>
      <c r="Q251" s="2">
        <f t="shared" si="31"/>
        <v>4194.2070000000003</v>
      </c>
      <c r="R251" s="2">
        <f t="shared" si="32"/>
        <v>23767.173000000003</v>
      </c>
      <c r="S251" s="2" t="str">
        <f t="shared" si="33"/>
        <v>High</v>
      </c>
      <c r="T251" s="2" t="str" cm="1">
        <f t="array" ref="T251">_xlfn.IFS(L251&gt;5,"High",L251=5,"Medium",L251&lt;5,"Low")</f>
        <v>High</v>
      </c>
      <c r="U251" s="2" t="str">
        <f t="shared" si="34"/>
        <v>High</v>
      </c>
      <c r="V251" s="14" t="str">
        <f t="shared" si="35"/>
        <v>Heavy Discount</v>
      </c>
      <c r="W251" s="16" t="str">
        <f t="shared" si="36"/>
        <v>Excellent</v>
      </c>
      <c r="X251" s="18" t="str" cm="1">
        <f t="array" ref="X251">_xlfn.IFS(O251&gt;7000,"Excellent",O251&gt;4000,"Good",O251&lt;4000,"Average")</f>
        <v>Excellent</v>
      </c>
      <c r="AD251" s="23" t="str">
        <f t="shared" si="37"/>
        <v>Not Eligible</v>
      </c>
      <c r="AE251" s="24" t="str">
        <f t="shared" si="38"/>
        <v>Online</v>
      </c>
      <c r="AF251" s="27" t="str">
        <f t="shared" si="39"/>
        <v>Priority Order</v>
      </c>
    </row>
    <row r="252" spans="1:32" x14ac:dyDescent="0.3">
      <c r="A252" s="2">
        <v>10251</v>
      </c>
      <c r="B252" s="2">
        <v>1410</v>
      </c>
      <c r="C252" s="3">
        <v>45154</v>
      </c>
      <c r="D252" s="3">
        <v>45155</v>
      </c>
      <c r="E252" s="2" t="s">
        <v>22</v>
      </c>
      <c r="F252" s="2" t="s">
        <v>29</v>
      </c>
      <c r="G252" s="2" t="s">
        <v>23</v>
      </c>
      <c r="H252" s="2" t="s">
        <v>31</v>
      </c>
      <c r="I252" s="2" t="s">
        <v>37</v>
      </c>
      <c r="J252" s="2" t="s">
        <v>54</v>
      </c>
      <c r="K252" s="2" t="s">
        <v>34</v>
      </c>
      <c r="L252" s="2">
        <v>8</v>
      </c>
      <c r="M252" s="2">
        <v>1822.29</v>
      </c>
      <c r="N252" s="2">
        <v>20</v>
      </c>
      <c r="O252" s="2">
        <v>11662.66</v>
      </c>
      <c r="P252" s="2">
        <f t="shared" si="30"/>
        <v>14578.32</v>
      </c>
      <c r="Q252" s="2">
        <f t="shared" si="31"/>
        <v>2915.6640000000002</v>
      </c>
      <c r="R252" s="2">
        <f t="shared" si="32"/>
        <v>11662.655999999999</v>
      </c>
      <c r="S252" s="2" t="str">
        <f t="shared" si="33"/>
        <v>High</v>
      </c>
      <c r="T252" s="2" t="str" cm="1">
        <f t="array" ref="T252">_xlfn.IFS(L252&gt;5,"High",L252=5,"Medium",L252&lt;5,"Low")</f>
        <v>High</v>
      </c>
      <c r="U252" s="2" t="str">
        <f t="shared" si="34"/>
        <v>High</v>
      </c>
      <c r="V252" s="14" t="str">
        <f t="shared" si="35"/>
        <v>Heavy Discount</v>
      </c>
      <c r="W252" s="16" t="str">
        <f t="shared" si="36"/>
        <v>Excellent</v>
      </c>
      <c r="X252" s="18" t="str" cm="1">
        <f t="array" ref="X252">_xlfn.IFS(O252&gt;7000,"Excellent",O252&gt;4000,"Good",O252&lt;4000,"Average")</f>
        <v>Excellent</v>
      </c>
      <c r="AD252" s="23" t="str">
        <f t="shared" si="37"/>
        <v>Not Eligible</v>
      </c>
      <c r="AE252" s="24" t="str">
        <f t="shared" si="38"/>
        <v>Online</v>
      </c>
      <c r="AF252" s="27" t="str">
        <f t="shared" si="39"/>
        <v>Priority Order</v>
      </c>
    </row>
    <row r="253" spans="1:32" x14ac:dyDescent="0.3">
      <c r="A253" s="2">
        <v>10252</v>
      </c>
      <c r="B253" s="2">
        <v>1648</v>
      </c>
      <c r="C253" s="3">
        <v>45110</v>
      </c>
      <c r="D253" s="3">
        <v>45114</v>
      </c>
      <c r="E253" s="2" t="s">
        <v>43</v>
      </c>
      <c r="F253" s="2" t="s">
        <v>44</v>
      </c>
      <c r="G253" s="2" t="s">
        <v>30</v>
      </c>
      <c r="H253" s="2" t="s">
        <v>48</v>
      </c>
      <c r="I253" s="2" t="s">
        <v>58</v>
      </c>
      <c r="J253" s="2" t="s">
        <v>66</v>
      </c>
      <c r="K253" s="2" t="s">
        <v>39</v>
      </c>
      <c r="L253" s="2">
        <v>4</v>
      </c>
      <c r="M253" s="2">
        <v>1868.8</v>
      </c>
      <c r="N253" s="2">
        <v>20</v>
      </c>
      <c r="O253" s="2">
        <v>5980.16</v>
      </c>
      <c r="P253" s="2">
        <f t="shared" si="30"/>
        <v>7475.2</v>
      </c>
      <c r="Q253" s="2">
        <f t="shared" si="31"/>
        <v>1495.04</v>
      </c>
      <c r="R253" s="2">
        <f t="shared" si="32"/>
        <v>5980.16</v>
      </c>
      <c r="S253" s="2" t="str">
        <f t="shared" si="33"/>
        <v>Low</v>
      </c>
      <c r="T253" s="2" t="str" cm="1">
        <f t="array" ref="T253">_xlfn.IFS(L253&gt;5,"High",L253=5,"Medium",L253&lt;5,"Low")</f>
        <v>Low</v>
      </c>
      <c r="U253" s="2" t="str">
        <f t="shared" si="34"/>
        <v>Low</v>
      </c>
      <c r="V253" s="14" t="str">
        <f t="shared" si="35"/>
        <v>Heavy Discount</v>
      </c>
      <c r="W253" s="16" t="str">
        <f t="shared" si="36"/>
        <v>Good</v>
      </c>
      <c r="X253" s="18" t="str" cm="1">
        <f t="array" ref="X253">_xlfn.IFS(O253&gt;7000,"Excellent",O253&gt;4000,"Good",O253&lt;4000,"Average")</f>
        <v>Good</v>
      </c>
      <c r="AD253" s="23" t="str">
        <f t="shared" si="37"/>
        <v>Not Eligible</v>
      </c>
      <c r="AE253" s="24" t="str">
        <f t="shared" si="38"/>
        <v>Online</v>
      </c>
      <c r="AF253" s="27" t="str">
        <f t="shared" si="39"/>
        <v>Normal Order</v>
      </c>
    </row>
    <row r="254" spans="1:32" x14ac:dyDescent="0.3">
      <c r="A254" s="2">
        <v>10253</v>
      </c>
      <c r="B254" s="2">
        <v>1317</v>
      </c>
      <c r="C254" s="3">
        <v>45033</v>
      </c>
      <c r="D254" s="3">
        <v>45034</v>
      </c>
      <c r="E254" s="2" t="s">
        <v>46</v>
      </c>
      <c r="F254" s="2" t="s">
        <v>47</v>
      </c>
      <c r="G254" s="2" t="s">
        <v>30</v>
      </c>
      <c r="H254" s="2" t="s">
        <v>41</v>
      </c>
      <c r="I254" s="2" t="s">
        <v>25</v>
      </c>
      <c r="J254" s="2" t="s">
        <v>26</v>
      </c>
      <c r="K254" s="2" t="s">
        <v>53</v>
      </c>
      <c r="L254" s="2">
        <v>5</v>
      </c>
      <c r="M254" s="2">
        <v>2532.27</v>
      </c>
      <c r="N254" s="2">
        <v>15</v>
      </c>
      <c r="O254" s="2">
        <v>10762.15</v>
      </c>
      <c r="P254" s="2">
        <f t="shared" si="30"/>
        <v>12661.35</v>
      </c>
      <c r="Q254" s="2">
        <f t="shared" si="31"/>
        <v>1899.2024999999999</v>
      </c>
      <c r="R254" s="2">
        <f t="shared" si="32"/>
        <v>10762.147500000001</v>
      </c>
      <c r="S254" s="2" t="str">
        <f t="shared" si="33"/>
        <v>High</v>
      </c>
      <c r="T254" s="2" t="str" cm="1">
        <f t="array" ref="T254">_xlfn.IFS(L254&gt;5,"High",L254=5,"Medium",L254&lt;5,"Low")</f>
        <v>Medium</v>
      </c>
      <c r="U254" s="2" t="str">
        <f t="shared" si="34"/>
        <v>Medium</v>
      </c>
      <c r="V254" s="14" t="str">
        <f t="shared" si="35"/>
        <v>Heavy Discount</v>
      </c>
      <c r="W254" s="16" t="str">
        <f t="shared" si="36"/>
        <v>Excellent</v>
      </c>
      <c r="X254" s="18" t="str" cm="1">
        <f t="array" ref="X254">_xlfn.IFS(O254&gt;7000,"Excellent",O254&gt;4000,"Good",O254&lt;4000,"Average")</f>
        <v>Excellent</v>
      </c>
      <c r="AD254" s="23" t="str">
        <f t="shared" si="37"/>
        <v>Not Eligible</v>
      </c>
      <c r="AE254" s="24" t="str">
        <f t="shared" si="38"/>
        <v>Online</v>
      </c>
      <c r="AF254" s="27" t="str">
        <f t="shared" si="39"/>
        <v>Priority Order</v>
      </c>
    </row>
    <row r="255" spans="1:32" x14ac:dyDescent="0.3">
      <c r="A255" s="2">
        <v>10254</v>
      </c>
      <c r="B255" s="2">
        <v>1676</v>
      </c>
      <c r="C255" s="3">
        <v>45010</v>
      </c>
      <c r="D255" s="3">
        <v>45012</v>
      </c>
      <c r="E255" s="2" t="s">
        <v>28</v>
      </c>
      <c r="F255" s="2" t="s">
        <v>22</v>
      </c>
      <c r="G255" s="2" t="s">
        <v>23</v>
      </c>
      <c r="H255" s="2" t="s">
        <v>48</v>
      </c>
      <c r="I255" s="2" t="s">
        <v>58</v>
      </c>
      <c r="J255" s="2" t="s">
        <v>70</v>
      </c>
      <c r="K255" s="2" t="s">
        <v>51</v>
      </c>
      <c r="L255" s="2">
        <v>2</v>
      </c>
      <c r="M255" s="2">
        <v>2711.66</v>
      </c>
      <c r="N255" s="2">
        <v>0</v>
      </c>
      <c r="O255" s="2">
        <v>5423.32</v>
      </c>
      <c r="P255" s="2">
        <f t="shared" si="30"/>
        <v>5423.32</v>
      </c>
      <c r="Q255" s="2">
        <f t="shared" si="31"/>
        <v>0</v>
      </c>
      <c r="R255" s="2">
        <f t="shared" si="32"/>
        <v>5423.32</v>
      </c>
      <c r="S255" s="2" t="str">
        <f t="shared" si="33"/>
        <v>Low</v>
      </c>
      <c r="T255" s="2" t="str" cm="1">
        <f t="array" ref="T255">_xlfn.IFS(L255&gt;5,"High",L255=5,"Medium",L255&lt;5,"Low")</f>
        <v>Low</v>
      </c>
      <c r="U255" s="2" t="str">
        <f t="shared" si="34"/>
        <v>Low</v>
      </c>
      <c r="V255" s="14" t="str">
        <f t="shared" si="35"/>
        <v>Normal Discount</v>
      </c>
      <c r="W255" s="16" t="str">
        <f t="shared" si="36"/>
        <v>Good</v>
      </c>
      <c r="X255" s="18" t="str" cm="1">
        <f t="array" ref="X255">_xlfn.IFS(O255&gt;7000,"Excellent",O255&gt;4000,"Good",O255&lt;4000,"Average")</f>
        <v>Good</v>
      </c>
      <c r="AD255" s="23" t="str">
        <f t="shared" si="37"/>
        <v>Eligible</v>
      </c>
      <c r="AE255" s="24" t="str">
        <f t="shared" si="38"/>
        <v>Online</v>
      </c>
      <c r="AF255" s="27" t="str">
        <f t="shared" si="39"/>
        <v>Normal Order</v>
      </c>
    </row>
    <row r="256" spans="1:32" x14ac:dyDescent="0.3">
      <c r="A256" s="2">
        <v>10255</v>
      </c>
      <c r="B256" s="2">
        <v>1224</v>
      </c>
      <c r="C256" s="3">
        <v>45264</v>
      </c>
      <c r="D256" s="3">
        <v>45269</v>
      </c>
      <c r="E256" s="2" t="s">
        <v>22</v>
      </c>
      <c r="F256" s="2" t="s">
        <v>47</v>
      </c>
      <c r="G256" s="2" t="s">
        <v>23</v>
      </c>
      <c r="H256" s="2" t="s">
        <v>48</v>
      </c>
      <c r="I256" s="2" t="s">
        <v>25</v>
      </c>
      <c r="J256" s="2" t="s">
        <v>26</v>
      </c>
      <c r="K256" s="2" t="s">
        <v>39</v>
      </c>
      <c r="L256" s="2">
        <v>9</v>
      </c>
      <c r="M256" s="2">
        <v>2077.7399999999998</v>
      </c>
      <c r="N256" s="2">
        <v>15</v>
      </c>
      <c r="O256" s="2">
        <v>15894.71</v>
      </c>
      <c r="P256" s="2">
        <f t="shared" si="30"/>
        <v>18699.659999999996</v>
      </c>
      <c r="Q256" s="2">
        <f t="shared" si="31"/>
        <v>2804.9489999999992</v>
      </c>
      <c r="R256" s="2">
        <f t="shared" si="32"/>
        <v>15894.710999999998</v>
      </c>
      <c r="S256" s="2" t="str">
        <f t="shared" si="33"/>
        <v>High</v>
      </c>
      <c r="T256" s="2" t="str" cm="1">
        <f t="array" ref="T256">_xlfn.IFS(L256&gt;5,"High",L256=5,"Medium",L256&lt;5,"Low")</f>
        <v>High</v>
      </c>
      <c r="U256" s="2" t="str">
        <f t="shared" si="34"/>
        <v>High</v>
      </c>
      <c r="V256" s="14" t="str">
        <f t="shared" si="35"/>
        <v>Heavy Discount</v>
      </c>
      <c r="W256" s="16" t="str">
        <f t="shared" si="36"/>
        <v>Excellent</v>
      </c>
      <c r="X256" s="18" t="str" cm="1">
        <f t="array" ref="X256">_xlfn.IFS(O256&gt;7000,"Excellent",O256&gt;4000,"Good",O256&lt;4000,"Average")</f>
        <v>Excellent</v>
      </c>
      <c r="AD256" s="23" t="str">
        <f t="shared" si="37"/>
        <v>Not Eligible</v>
      </c>
      <c r="AE256" s="24" t="str">
        <f t="shared" si="38"/>
        <v>Online</v>
      </c>
      <c r="AF256" s="27" t="str">
        <f t="shared" si="39"/>
        <v>Priority Order</v>
      </c>
    </row>
    <row r="257" spans="1:32" x14ac:dyDescent="0.3">
      <c r="A257" s="2">
        <v>10256</v>
      </c>
      <c r="B257" s="2">
        <v>1818</v>
      </c>
      <c r="C257" s="3">
        <v>45176</v>
      </c>
      <c r="D257" s="3">
        <v>45184</v>
      </c>
      <c r="E257" s="2" t="s">
        <v>43</v>
      </c>
      <c r="F257" s="2" t="s">
        <v>47</v>
      </c>
      <c r="G257" s="2" t="s">
        <v>30</v>
      </c>
      <c r="H257" s="2" t="s">
        <v>31</v>
      </c>
      <c r="I257" s="2" t="s">
        <v>25</v>
      </c>
      <c r="J257" s="2" t="s">
        <v>26</v>
      </c>
      <c r="K257" s="2" t="s">
        <v>51</v>
      </c>
      <c r="L257" s="2">
        <v>6</v>
      </c>
      <c r="M257" s="2">
        <v>2632.72</v>
      </c>
      <c r="N257" s="2">
        <v>0</v>
      </c>
      <c r="O257" s="2">
        <v>15796.32</v>
      </c>
      <c r="P257" s="2">
        <f t="shared" si="30"/>
        <v>15796.32</v>
      </c>
      <c r="Q257" s="2">
        <f t="shared" si="31"/>
        <v>0</v>
      </c>
      <c r="R257" s="2">
        <f t="shared" si="32"/>
        <v>15796.32</v>
      </c>
      <c r="S257" s="2" t="str">
        <f t="shared" si="33"/>
        <v>High</v>
      </c>
      <c r="T257" s="2" t="str" cm="1">
        <f t="array" ref="T257">_xlfn.IFS(L257&gt;5,"High",L257=5,"Medium",L257&lt;5,"Low")</f>
        <v>High</v>
      </c>
      <c r="U257" s="2" t="str">
        <f t="shared" si="34"/>
        <v>High</v>
      </c>
      <c r="V257" s="14" t="str">
        <f t="shared" si="35"/>
        <v>Normal Discount</v>
      </c>
      <c r="W257" s="16" t="str">
        <f t="shared" si="36"/>
        <v>Excellent</v>
      </c>
      <c r="X257" s="18" t="str" cm="1">
        <f t="array" ref="X257">_xlfn.IFS(O257&gt;7000,"Excellent",O257&gt;4000,"Good",O257&lt;4000,"Average")</f>
        <v>Excellent</v>
      </c>
      <c r="AD257" s="23" t="str">
        <f t="shared" si="37"/>
        <v>Eligible</v>
      </c>
      <c r="AE257" s="24" t="str">
        <f t="shared" si="38"/>
        <v>Online</v>
      </c>
      <c r="AF257" s="27" t="str">
        <f t="shared" si="39"/>
        <v>Priority Order</v>
      </c>
    </row>
    <row r="258" spans="1:32" x14ac:dyDescent="0.3">
      <c r="A258" s="2">
        <v>10257</v>
      </c>
      <c r="B258" s="2">
        <v>1233</v>
      </c>
      <c r="C258" s="3">
        <v>45289</v>
      </c>
      <c r="D258" s="3">
        <v>45297</v>
      </c>
      <c r="E258" s="2" t="s">
        <v>46</v>
      </c>
      <c r="F258" s="2" t="s">
        <v>47</v>
      </c>
      <c r="G258" s="2" t="s">
        <v>30</v>
      </c>
      <c r="H258" s="2" t="s">
        <v>50</v>
      </c>
      <c r="I258" s="2" t="s">
        <v>37</v>
      </c>
      <c r="J258" s="2" t="s">
        <v>38</v>
      </c>
      <c r="K258" s="2" t="s">
        <v>53</v>
      </c>
      <c r="L258" s="2">
        <v>3</v>
      </c>
      <c r="M258" s="2">
        <v>240.6</v>
      </c>
      <c r="N258" s="2">
        <v>5</v>
      </c>
      <c r="O258" s="2">
        <v>685.71</v>
      </c>
      <c r="P258" s="2">
        <f t="shared" si="30"/>
        <v>721.8</v>
      </c>
      <c r="Q258" s="2">
        <f t="shared" si="31"/>
        <v>36.089999999999996</v>
      </c>
      <c r="R258" s="2">
        <f t="shared" si="32"/>
        <v>685.70999999999992</v>
      </c>
      <c r="S258" s="2" t="str">
        <f t="shared" si="33"/>
        <v>Low</v>
      </c>
      <c r="T258" s="2" t="str" cm="1">
        <f t="array" ref="T258">_xlfn.IFS(L258&gt;5,"High",L258=5,"Medium",L258&lt;5,"Low")</f>
        <v>Low</v>
      </c>
      <c r="U258" s="2" t="str">
        <f t="shared" si="34"/>
        <v>Low</v>
      </c>
      <c r="V258" s="14" t="str">
        <f t="shared" si="35"/>
        <v>Normal Discount</v>
      </c>
      <c r="W258" s="16" t="str">
        <f t="shared" si="36"/>
        <v>Average</v>
      </c>
      <c r="X258" s="18" t="str" cm="1">
        <f t="array" ref="X258">_xlfn.IFS(O258&gt;7000,"Excellent",O258&gt;4000,"Good",O258&lt;4000,"Average")</f>
        <v>Average</v>
      </c>
      <c r="AD258" s="23" t="str">
        <f t="shared" si="37"/>
        <v>Not Eligible</v>
      </c>
      <c r="AE258" s="24" t="str">
        <f t="shared" si="38"/>
        <v>Online</v>
      </c>
      <c r="AF258" s="27" t="str">
        <f t="shared" si="39"/>
        <v>Normal Order</v>
      </c>
    </row>
    <row r="259" spans="1:32" x14ac:dyDescent="0.3">
      <c r="A259" s="2">
        <v>10258</v>
      </c>
      <c r="B259" s="2">
        <v>1683</v>
      </c>
      <c r="C259" s="3">
        <v>44947</v>
      </c>
      <c r="D259" s="3">
        <v>44950</v>
      </c>
      <c r="E259" s="2" t="s">
        <v>46</v>
      </c>
      <c r="F259" s="2" t="s">
        <v>44</v>
      </c>
      <c r="G259" s="2" t="s">
        <v>30</v>
      </c>
      <c r="H259" s="2" t="s">
        <v>41</v>
      </c>
      <c r="I259" s="2" t="s">
        <v>63</v>
      </c>
      <c r="J259" s="2" t="s">
        <v>65</v>
      </c>
      <c r="K259" s="2" t="s">
        <v>34</v>
      </c>
      <c r="L259" s="2">
        <v>7</v>
      </c>
      <c r="M259" s="2">
        <v>1804.05</v>
      </c>
      <c r="N259" s="2">
        <v>0</v>
      </c>
      <c r="O259" s="2">
        <v>12628.35</v>
      </c>
      <c r="P259" s="2">
        <f t="shared" ref="P259:P322" si="40">M259*L259</f>
        <v>12628.35</v>
      </c>
      <c r="Q259" s="2">
        <f t="shared" ref="Q259:Q322" si="41">P259*N259%</f>
        <v>0</v>
      </c>
      <c r="R259" s="2">
        <f t="shared" ref="R259:R322" si="42">P259-Q259</f>
        <v>12628.35</v>
      </c>
      <c r="S259" s="2" t="str">
        <f t="shared" ref="S259:S322" si="43">IF(L259&gt;=5,"High","Low")</f>
        <v>High</v>
      </c>
      <c r="T259" s="2" t="str" cm="1">
        <f t="array" ref="T259">_xlfn.IFS(L259&gt;5,"High",L259=5,"Medium",L259&lt;5,"Low")</f>
        <v>High</v>
      </c>
      <c r="U259" s="2" t="str">
        <f t="shared" ref="U259:U322" si="44">IF(L259&gt;5,"High",IF(L259=5,"Medium","Low"))</f>
        <v>High</v>
      </c>
      <c r="V259" s="14" t="str">
        <f t="shared" ref="V259:V322" si="45">IF(N259&gt;10,"Heavy Discount","Normal Discount")</f>
        <v>Normal Discount</v>
      </c>
      <c r="W259" s="16" t="str">
        <f t="shared" ref="W259:W322" si="46">IF(O259&gt;7000,"Excellent",IF(O259&gt;4000,"Good","Average"))</f>
        <v>Excellent</v>
      </c>
      <c r="X259" s="18" t="str" cm="1">
        <f t="array" ref="X259">_xlfn.IFS(O259&gt;7000,"Excellent",O259&gt;4000,"Good",O259&lt;4000,"Average")</f>
        <v>Excellent</v>
      </c>
      <c r="AD259" s="23" t="str">
        <f t="shared" ref="AD259:AD322" si="47">IF(AND(O259&gt;5000,N259&lt;10),"Eligible","Not Eligible")</f>
        <v>Eligible</v>
      </c>
      <c r="AE259" s="24" t="str">
        <f t="shared" ref="AE259:AE322" si="48">IF(G259&lt;&gt;"Marketplace","Online","Offline")</f>
        <v>Online</v>
      </c>
      <c r="AF259" s="27" t="str">
        <f t="shared" ref="AF259:AF322" si="49">IF(OR(O259&gt;7000,L259&gt;5),"Priority Order","Normal Order")</f>
        <v>Priority Order</v>
      </c>
    </row>
    <row r="260" spans="1:32" x14ac:dyDescent="0.3">
      <c r="A260" s="2">
        <v>10259</v>
      </c>
      <c r="B260" s="2">
        <v>1663</v>
      </c>
      <c r="C260" s="3">
        <v>45122</v>
      </c>
      <c r="D260" s="3">
        <v>45126</v>
      </c>
      <c r="E260" s="2" t="s">
        <v>22</v>
      </c>
      <c r="F260" s="2" t="s">
        <v>35</v>
      </c>
      <c r="G260" s="2" t="s">
        <v>30</v>
      </c>
      <c r="H260" s="2" t="s">
        <v>31</v>
      </c>
      <c r="I260" s="2" t="s">
        <v>55</v>
      </c>
      <c r="J260" s="2" t="s">
        <v>57</v>
      </c>
      <c r="K260" s="2" t="s">
        <v>27</v>
      </c>
      <c r="L260" s="2">
        <v>9</v>
      </c>
      <c r="M260" s="2">
        <v>1223.9100000000001</v>
      </c>
      <c r="N260" s="2">
        <v>5</v>
      </c>
      <c r="O260" s="2">
        <v>10464.43</v>
      </c>
      <c r="P260" s="2">
        <f t="shared" si="40"/>
        <v>11015.19</v>
      </c>
      <c r="Q260" s="2">
        <f t="shared" si="41"/>
        <v>550.7595</v>
      </c>
      <c r="R260" s="2">
        <f t="shared" si="42"/>
        <v>10464.4305</v>
      </c>
      <c r="S260" s="2" t="str">
        <f t="shared" si="43"/>
        <v>High</v>
      </c>
      <c r="T260" s="2" t="str" cm="1">
        <f t="array" ref="T260">_xlfn.IFS(L260&gt;5,"High",L260=5,"Medium",L260&lt;5,"Low")</f>
        <v>High</v>
      </c>
      <c r="U260" s="2" t="str">
        <f t="shared" si="44"/>
        <v>High</v>
      </c>
      <c r="V260" s="14" t="str">
        <f t="shared" si="45"/>
        <v>Normal Discount</v>
      </c>
      <c r="W260" s="16" t="str">
        <f t="shared" si="46"/>
        <v>Excellent</v>
      </c>
      <c r="X260" s="18" t="str" cm="1">
        <f t="array" ref="X260">_xlfn.IFS(O260&gt;7000,"Excellent",O260&gt;4000,"Good",O260&lt;4000,"Average")</f>
        <v>Excellent</v>
      </c>
      <c r="AD260" s="23" t="str">
        <f t="shared" si="47"/>
        <v>Eligible</v>
      </c>
      <c r="AE260" s="24" t="str">
        <f t="shared" si="48"/>
        <v>Online</v>
      </c>
      <c r="AF260" s="27" t="str">
        <f t="shared" si="49"/>
        <v>Priority Order</v>
      </c>
    </row>
    <row r="261" spans="1:32" x14ac:dyDescent="0.3">
      <c r="A261" s="2">
        <v>10260</v>
      </c>
      <c r="B261" s="2">
        <v>1974</v>
      </c>
      <c r="C261" s="3">
        <v>45104</v>
      </c>
      <c r="D261" s="3">
        <v>45110</v>
      </c>
      <c r="E261" s="2" t="s">
        <v>28</v>
      </c>
      <c r="F261" s="2" t="s">
        <v>47</v>
      </c>
      <c r="G261" s="2" t="s">
        <v>23</v>
      </c>
      <c r="H261" s="2" t="s">
        <v>48</v>
      </c>
      <c r="I261" s="2" t="s">
        <v>37</v>
      </c>
      <c r="J261" s="2" t="s">
        <v>71</v>
      </c>
      <c r="K261" s="2" t="s">
        <v>34</v>
      </c>
      <c r="L261" s="2">
        <v>3</v>
      </c>
      <c r="M261" s="2">
        <v>647.32000000000005</v>
      </c>
      <c r="N261" s="2">
        <v>5</v>
      </c>
      <c r="O261" s="2">
        <v>1844.86</v>
      </c>
      <c r="P261" s="2">
        <f t="shared" si="40"/>
        <v>1941.96</v>
      </c>
      <c r="Q261" s="2">
        <f t="shared" si="41"/>
        <v>97.098000000000013</v>
      </c>
      <c r="R261" s="2">
        <f t="shared" si="42"/>
        <v>1844.8620000000001</v>
      </c>
      <c r="S261" s="2" t="str">
        <f t="shared" si="43"/>
        <v>Low</v>
      </c>
      <c r="T261" s="2" t="str" cm="1">
        <f t="array" ref="T261">_xlfn.IFS(L261&gt;5,"High",L261=5,"Medium",L261&lt;5,"Low")</f>
        <v>Low</v>
      </c>
      <c r="U261" s="2" t="str">
        <f t="shared" si="44"/>
        <v>Low</v>
      </c>
      <c r="V261" s="14" t="str">
        <f t="shared" si="45"/>
        <v>Normal Discount</v>
      </c>
      <c r="W261" s="16" t="str">
        <f t="shared" si="46"/>
        <v>Average</v>
      </c>
      <c r="X261" s="18" t="str" cm="1">
        <f t="array" ref="X261">_xlfn.IFS(O261&gt;7000,"Excellent",O261&gt;4000,"Good",O261&lt;4000,"Average")</f>
        <v>Average</v>
      </c>
      <c r="AD261" s="23" t="str">
        <f t="shared" si="47"/>
        <v>Not Eligible</v>
      </c>
      <c r="AE261" s="24" t="str">
        <f t="shared" si="48"/>
        <v>Online</v>
      </c>
      <c r="AF261" s="27" t="str">
        <f t="shared" si="49"/>
        <v>Normal Order</v>
      </c>
    </row>
    <row r="262" spans="1:32" x14ac:dyDescent="0.3">
      <c r="A262" s="2">
        <v>10261</v>
      </c>
      <c r="B262" s="2">
        <v>1826</v>
      </c>
      <c r="C262" s="3">
        <v>44933</v>
      </c>
      <c r="D262" s="3">
        <v>44936</v>
      </c>
      <c r="E262" s="2" t="s">
        <v>21</v>
      </c>
      <c r="F262" s="2" t="s">
        <v>60</v>
      </c>
      <c r="G262" s="2" t="s">
        <v>30</v>
      </c>
      <c r="H262" s="2" t="s">
        <v>31</v>
      </c>
      <c r="I262" s="2" t="s">
        <v>37</v>
      </c>
      <c r="J262" s="2" t="s">
        <v>38</v>
      </c>
      <c r="K262" s="2" t="s">
        <v>39</v>
      </c>
      <c r="L262" s="2">
        <v>2</v>
      </c>
      <c r="M262" s="2">
        <v>533.25</v>
      </c>
      <c r="N262" s="2">
        <v>0</v>
      </c>
      <c r="O262" s="2">
        <v>1066.5</v>
      </c>
      <c r="P262" s="2">
        <f t="shared" si="40"/>
        <v>1066.5</v>
      </c>
      <c r="Q262" s="2">
        <f t="shared" si="41"/>
        <v>0</v>
      </c>
      <c r="R262" s="2">
        <f t="shared" si="42"/>
        <v>1066.5</v>
      </c>
      <c r="S262" s="2" t="str">
        <f t="shared" si="43"/>
        <v>Low</v>
      </c>
      <c r="T262" s="2" t="str" cm="1">
        <f t="array" ref="T262">_xlfn.IFS(L262&gt;5,"High",L262=5,"Medium",L262&lt;5,"Low")</f>
        <v>Low</v>
      </c>
      <c r="U262" s="2" t="str">
        <f t="shared" si="44"/>
        <v>Low</v>
      </c>
      <c r="V262" s="14" t="str">
        <f t="shared" si="45"/>
        <v>Normal Discount</v>
      </c>
      <c r="W262" s="16" t="str">
        <f t="shared" si="46"/>
        <v>Average</v>
      </c>
      <c r="X262" s="18" t="str" cm="1">
        <f t="array" ref="X262">_xlfn.IFS(O262&gt;7000,"Excellent",O262&gt;4000,"Good",O262&lt;4000,"Average")</f>
        <v>Average</v>
      </c>
      <c r="AD262" s="23" t="str">
        <f t="shared" si="47"/>
        <v>Not Eligible</v>
      </c>
      <c r="AE262" s="24" t="str">
        <f t="shared" si="48"/>
        <v>Online</v>
      </c>
      <c r="AF262" s="27" t="str">
        <f t="shared" si="49"/>
        <v>Normal Order</v>
      </c>
    </row>
    <row r="263" spans="1:32" x14ac:dyDescent="0.3">
      <c r="A263" s="2">
        <v>10262</v>
      </c>
      <c r="B263" s="2">
        <v>1373</v>
      </c>
      <c r="C263" s="3">
        <v>44996</v>
      </c>
      <c r="D263" s="3">
        <v>44998</v>
      </c>
      <c r="E263" s="2" t="s">
        <v>21</v>
      </c>
      <c r="F263" s="2" t="s">
        <v>29</v>
      </c>
      <c r="G263" s="2" t="s">
        <v>23</v>
      </c>
      <c r="H263" s="2" t="s">
        <v>50</v>
      </c>
      <c r="I263" s="2" t="s">
        <v>63</v>
      </c>
      <c r="J263" s="2" t="s">
        <v>65</v>
      </c>
      <c r="K263" s="2" t="s">
        <v>27</v>
      </c>
      <c r="L263" s="2">
        <v>7</v>
      </c>
      <c r="M263" s="2">
        <v>2472.29</v>
      </c>
      <c r="N263" s="2">
        <v>10</v>
      </c>
      <c r="O263" s="2">
        <v>15575.43</v>
      </c>
      <c r="P263" s="2">
        <f t="shared" si="40"/>
        <v>17306.03</v>
      </c>
      <c r="Q263" s="2">
        <f t="shared" si="41"/>
        <v>1730.6030000000001</v>
      </c>
      <c r="R263" s="2">
        <f t="shared" si="42"/>
        <v>15575.427</v>
      </c>
      <c r="S263" s="2" t="str">
        <f t="shared" si="43"/>
        <v>High</v>
      </c>
      <c r="T263" s="2" t="str" cm="1">
        <f t="array" ref="T263">_xlfn.IFS(L263&gt;5,"High",L263=5,"Medium",L263&lt;5,"Low")</f>
        <v>High</v>
      </c>
      <c r="U263" s="2" t="str">
        <f t="shared" si="44"/>
        <v>High</v>
      </c>
      <c r="V263" s="14" t="str">
        <f t="shared" si="45"/>
        <v>Normal Discount</v>
      </c>
      <c r="W263" s="16" t="str">
        <f t="shared" si="46"/>
        <v>Excellent</v>
      </c>
      <c r="X263" s="18" t="str" cm="1">
        <f t="array" ref="X263">_xlfn.IFS(O263&gt;7000,"Excellent",O263&gt;4000,"Good",O263&lt;4000,"Average")</f>
        <v>Excellent</v>
      </c>
      <c r="AD263" s="23" t="str">
        <f t="shared" si="47"/>
        <v>Not Eligible</v>
      </c>
      <c r="AE263" s="24" t="str">
        <f t="shared" si="48"/>
        <v>Online</v>
      </c>
      <c r="AF263" s="27" t="str">
        <f t="shared" si="49"/>
        <v>Priority Order</v>
      </c>
    </row>
    <row r="264" spans="1:32" x14ac:dyDescent="0.3">
      <c r="A264" s="2">
        <v>10263</v>
      </c>
      <c r="B264" s="2">
        <v>1671</v>
      </c>
      <c r="C264" s="3">
        <v>45053</v>
      </c>
      <c r="D264" s="3">
        <v>45059</v>
      </c>
      <c r="E264" s="2" t="s">
        <v>46</v>
      </c>
      <c r="F264" s="2" t="s">
        <v>44</v>
      </c>
      <c r="G264" s="2" t="s">
        <v>36</v>
      </c>
      <c r="H264" s="2" t="s">
        <v>41</v>
      </c>
      <c r="I264" s="2" t="s">
        <v>55</v>
      </c>
      <c r="J264" s="2" t="s">
        <v>69</v>
      </c>
      <c r="K264" s="2" t="s">
        <v>39</v>
      </c>
      <c r="L264" s="2">
        <v>7</v>
      </c>
      <c r="M264" s="2">
        <v>2165.86</v>
      </c>
      <c r="N264" s="2">
        <v>0</v>
      </c>
      <c r="O264" s="2">
        <v>15161.02</v>
      </c>
      <c r="P264" s="2">
        <f t="shared" si="40"/>
        <v>15161.02</v>
      </c>
      <c r="Q264" s="2">
        <f t="shared" si="41"/>
        <v>0</v>
      </c>
      <c r="R264" s="2">
        <f t="shared" si="42"/>
        <v>15161.02</v>
      </c>
      <c r="S264" s="2" t="str">
        <f t="shared" si="43"/>
        <v>High</v>
      </c>
      <c r="T264" s="2" t="str" cm="1">
        <f t="array" ref="T264">_xlfn.IFS(L264&gt;5,"High",L264=5,"Medium",L264&lt;5,"Low")</f>
        <v>High</v>
      </c>
      <c r="U264" s="2" t="str">
        <f t="shared" si="44"/>
        <v>High</v>
      </c>
      <c r="V264" s="14" t="str">
        <f t="shared" si="45"/>
        <v>Normal Discount</v>
      </c>
      <c r="W264" s="16" t="str">
        <f t="shared" si="46"/>
        <v>Excellent</v>
      </c>
      <c r="X264" s="18" t="str" cm="1">
        <f t="array" ref="X264">_xlfn.IFS(O264&gt;7000,"Excellent",O264&gt;4000,"Good",O264&lt;4000,"Average")</f>
        <v>Excellent</v>
      </c>
      <c r="AD264" s="23" t="str">
        <f t="shared" si="47"/>
        <v>Eligible</v>
      </c>
      <c r="AE264" s="24" t="str">
        <f t="shared" si="48"/>
        <v>Offline</v>
      </c>
      <c r="AF264" s="27" t="str">
        <f t="shared" si="49"/>
        <v>Priority Order</v>
      </c>
    </row>
    <row r="265" spans="1:32" x14ac:dyDescent="0.3">
      <c r="A265" s="2">
        <v>10264</v>
      </c>
      <c r="B265" s="2">
        <v>1607</v>
      </c>
      <c r="C265" s="3">
        <v>45086</v>
      </c>
      <c r="D265" s="3">
        <v>45091</v>
      </c>
      <c r="E265" s="2" t="s">
        <v>21</v>
      </c>
      <c r="F265" s="2" t="s">
        <v>22</v>
      </c>
      <c r="G265" s="2" t="s">
        <v>36</v>
      </c>
      <c r="H265" s="2" t="s">
        <v>50</v>
      </c>
      <c r="I265" s="2" t="s">
        <v>58</v>
      </c>
      <c r="J265" s="2" t="s">
        <v>66</v>
      </c>
      <c r="K265" s="2" t="s">
        <v>53</v>
      </c>
      <c r="L265" s="2">
        <v>4</v>
      </c>
      <c r="M265" s="2">
        <v>1126.3</v>
      </c>
      <c r="N265" s="2">
        <v>20</v>
      </c>
      <c r="O265" s="2">
        <v>3604.16</v>
      </c>
      <c r="P265" s="2">
        <f t="shared" si="40"/>
        <v>4505.2</v>
      </c>
      <c r="Q265" s="2">
        <f t="shared" si="41"/>
        <v>901.04</v>
      </c>
      <c r="R265" s="2">
        <f t="shared" si="42"/>
        <v>3604.16</v>
      </c>
      <c r="S265" s="2" t="str">
        <f t="shared" si="43"/>
        <v>Low</v>
      </c>
      <c r="T265" s="2" t="str" cm="1">
        <f t="array" ref="T265">_xlfn.IFS(L265&gt;5,"High",L265=5,"Medium",L265&lt;5,"Low")</f>
        <v>Low</v>
      </c>
      <c r="U265" s="2" t="str">
        <f t="shared" si="44"/>
        <v>Low</v>
      </c>
      <c r="V265" s="14" t="str">
        <f t="shared" si="45"/>
        <v>Heavy Discount</v>
      </c>
      <c r="W265" s="16" t="str">
        <f t="shared" si="46"/>
        <v>Average</v>
      </c>
      <c r="X265" s="18" t="str" cm="1">
        <f t="array" ref="X265">_xlfn.IFS(O265&gt;7000,"Excellent",O265&gt;4000,"Good",O265&lt;4000,"Average")</f>
        <v>Average</v>
      </c>
      <c r="AD265" s="23" t="str">
        <f t="shared" si="47"/>
        <v>Not Eligible</v>
      </c>
      <c r="AE265" s="24" t="str">
        <f t="shared" si="48"/>
        <v>Offline</v>
      </c>
      <c r="AF265" s="27" t="str">
        <f t="shared" si="49"/>
        <v>Normal Order</v>
      </c>
    </row>
    <row r="266" spans="1:32" x14ac:dyDescent="0.3">
      <c r="A266" s="2">
        <v>10265</v>
      </c>
      <c r="B266" s="2">
        <v>1471</v>
      </c>
      <c r="C266" s="3">
        <v>45174</v>
      </c>
      <c r="D266" s="3">
        <v>45179</v>
      </c>
      <c r="E266" s="2" t="s">
        <v>52</v>
      </c>
      <c r="F266" s="2" t="s">
        <v>44</v>
      </c>
      <c r="G266" s="2" t="s">
        <v>30</v>
      </c>
      <c r="H266" s="2" t="s">
        <v>24</v>
      </c>
      <c r="I266" s="2" t="s">
        <v>32</v>
      </c>
      <c r="J266" s="2" t="s">
        <v>67</v>
      </c>
      <c r="K266" s="2" t="s">
        <v>27</v>
      </c>
      <c r="L266" s="2">
        <v>9</v>
      </c>
      <c r="M266" s="2">
        <v>1963.16</v>
      </c>
      <c r="N266" s="2">
        <v>20</v>
      </c>
      <c r="O266" s="2">
        <v>14134.75</v>
      </c>
      <c r="P266" s="2">
        <f t="shared" si="40"/>
        <v>17668.440000000002</v>
      </c>
      <c r="Q266" s="2">
        <f t="shared" si="41"/>
        <v>3533.6880000000006</v>
      </c>
      <c r="R266" s="2">
        <f t="shared" si="42"/>
        <v>14134.752000000002</v>
      </c>
      <c r="S266" s="2" t="str">
        <f t="shared" si="43"/>
        <v>High</v>
      </c>
      <c r="T266" s="2" t="str" cm="1">
        <f t="array" ref="T266">_xlfn.IFS(L266&gt;5,"High",L266=5,"Medium",L266&lt;5,"Low")</f>
        <v>High</v>
      </c>
      <c r="U266" s="2" t="str">
        <f t="shared" si="44"/>
        <v>High</v>
      </c>
      <c r="V266" s="14" t="str">
        <f t="shared" si="45"/>
        <v>Heavy Discount</v>
      </c>
      <c r="W266" s="16" t="str">
        <f t="shared" si="46"/>
        <v>Excellent</v>
      </c>
      <c r="X266" s="18" t="str" cm="1">
        <f t="array" ref="X266">_xlfn.IFS(O266&gt;7000,"Excellent",O266&gt;4000,"Good",O266&lt;4000,"Average")</f>
        <v>Excellent</v>
      </c>
      <c r="AD266" s="23" t="str">
        <f t="shared" si="47"/>
        <v>Not Eligible</v>
      </c>
      <c r="AE266" s="24" t="str">
        <f t="shared" si="48"/>
        <v>Online</v>
      </c>
      <c r="AF266" s="27" t="str">
        <f t="shared" si="49"/>
        <v>Priority Order</v>
      </c>
    </row>
    <row r="267" spans="1:32" x14ac:dyDescent="0.3">
      <c r="A267" s="2">
        <v>10266</v>
      </c>
      <c r="B267" s="2">
        <v>1232</v>
      </c>
      <c r="C267" s="3">
        <v>45129</v>
      </c>
      <c r="D267" s="3">
        <v>45134</v>
      </c>
      <c r="E267" s="2" t="s">
        <v>46</v>
      </c>
      <c r="F267" s="2" t="s">
        <v>22</v>
      </c>
      <c r="G267" s="2" t="s">
        <v>36</v>
      </c>
      <c r="H267" s="2" t="s">
        <v>41</v>
      </c>
      <c r="I267" s="2" t="s">
        <v>32</v>
      </c>
      <c r="J267" s="2" t="s">
        <v>67</v>
      </c>
      <c r="K267" s="2" t="s">
        <v>39</v>
      </c>
      <c r="L267" s="2">
        <v>8</v>
      </c>
      <c r="M267" s="2">
        <v>2045.09</v>
      </c>
      <c r="N267" s="2">
        <v>10</v>
      </c>
      <c r="O267" s="2">
        <v>14724.65</v>
      </c>
      <c r="P267" s="2">
        <f t="shared" si="40"/>
        <v>16360.72</v>
      </c>
      <c r="Q267" s="2">
        <f t="shared" si="41"/>
        <v>1636.0720000000001</v>
      </c>
      <c r="R267" s="2">
        <f t="shared" si="42"/>
        <v>14724.647999999999</v>
      </c>
      <c r="S267" s="2" t="str">
        <f t="shared" si="43"/>
        <v>High</v>
      </c>
      <c r="T267" s="2" t="str" cm="1">
        <f t="array" ref="T267">_xlfn.IFS(L267&gt;5,"High",L267=5,"Medium",L267&lt;5,"Low")</f>
        <v>High</v>
      </c>
      <c r="U267" s="2" t="str">
        <f t="shared" si="44"/>
        <v>High</v>
      </c>
      <c r="V267" s="14" t="str">
        <f t="shared" si="45"/>
        <v>Normal Discount</v>
      </c>
      <c r="W267" s="16" t="str">
        <f t="shared" si="46"/>
        <v>Excellent</v>
      </c>
      <c r="X267" s="18" t="str" cm="1">
        <f t="array" ref="X267">_xlfn.IFS(O267&gt;7000,"Excellent",O267&gt;4000,"Good",O267&lt;4000,"Average")</f>
        <v>Excellent</v>
      </c>
      <c r="AD267" s="23" t="str">
        <f t="shared" si="47"/>
        <v>Not Eligible</v>
      </c>
      <c r="AE267" s="24" t="str">
        <f t="shared" si="48"/>
        <v>Offline</v>
      </c>
      <c r="AF267" s="27" t="str">
        <f t="shared" si="49"/>
        <v>Priority Order</v>
      </c>
    </row>
    <row r="268" spans="1:32" x14ac:dyDescent="0.3">
      <c r="A268" s="2">
        <v>10267</v>
      </c>
      <c r="B268" s="2">
        <v>1691</v>
      </c>
      <c r="C268" s="3">
        <v>45074</v>
      </c>
      <c r="D268" s="3">
        <v>45079</v>
      </c>
      <c r="E268" s="2" t="s">
        <v>46</v>
      </c>
      <c r="F268" s="2" t="s">
        <v>44</v>
      </c>
      <c r="G268" s="2" t="s">
        <v>36</v>
      </c>
      <c r="H268" s="2" t="s">
        <v>50</v>
      </c>
      <c r="I268" s="2" t="s">
        <v>58</v>
      </c>
      <c r="J268" s="2" t="s">
        <v>59</v>
      </c>
      <c r="K268" s="2" t="s">
        <v>53</v>
      </c>
      <c r="L268" s="2">
        <v>1</v>
      </c>
      <c r="M268" s="2">
        <v>900.78</v>
      </c>
      <c r="N268" s="2">
        <v>5</v>
      </c>
      <c r="O268" s="2">
        <v>855.74</v>
      </c>
      <c r="P268" s="2">
        <f t="shared" si="40"/>
        <v>900.78</v>
      </c>
      <c r="Q268" s="2">
        <f t="shared" si="41"/>
        <v>45.039000000000001</v>
      </c>
      <c r="R268" s="2">
        <f t="shared" si="42"/>
        <v>855.74099999999999</v>
      </c>
      <c r="S268" s="2" t="str">
        <f t="shared" si="43"/>
        <v>Low</v>
      </c>
      <c r="T268" s="2" t="str" cm="1">
        <f t="array" ref="T268">_xlfn.IFS(L268&gt;5,"High",L268=5,"Medium",L268&lt;5,"Low")</f>
        <v>Low</v>
      </c>
      <c r="U268" s="2" t="str">
        <f t="shared" si="44"/>
        <v>Low</v>
      </c>
      <c r="V268" s="14" t="str">
        <f t="shared" si="45"/>
        <v>Normal Discount</v>
      </c>
      <c r="W268" s="16" t="str">
        <f t="shared" si="46"/>
        <v>Average</v>
      </c>
      <c r="X268" s="18" t="str" cm="1">
        <f t="array" ref="X268">_xlfn.IFS(O268&gt;7000,"Excellent",O268&gt;4000,"Good",O268&lt;4000,"Average")</f>
        <v>Average</v>
      </c>
      <c r="AD268" s="23" t="str">
        <f t="shared" si="47"/>
        <v>Not Eligible</v>
      </c>
      <c r="AE268" s="24" t="str">
        <f t="shared" si="48"/>
        <v>Offline</v>
      </c>
      <c r="AF268" s="27" t="str">
        <f t="shared" si="49"/>
        <v>Normal Order</v>
      </c>
    </row>
    <row r="269" spans="1:32" x14ac:dyDescent="0.3">
      <c r="A269" s="2">
        <v>10268</v>
      </c>
      <c r="B269" s="2">
        <v>1112</v>
      </c>
      <c r="C269" s="3">
        <v>45069</v>
      </c>
      <c r="D269" s="3">
        <v>45072</v>
      </c>
      <c r="E269" s="2" t="s">
        <v>43</v>
      </c>
      <c r="F269" s="2" t="s">
        <v>22</v>
      </c>
      <c r="G269" s="2" t="s">
        <v>36</v>
      </c>
      <c r="H269" s="2" t="s">
        <v>48</v>
      </c>
      <c r="I269" s="2" t="s">
        <v>37</v>
      </c>
      <c r="J269" s="2" t="s">
        <v>45</v>
      </c>
      <c r="K269" s="2" t="s">
        <v>34</v>
      </c>
      <c r="L269" s="2">
        <v>1</v>
      </c>
      <c r="M269" s="2">
        <v>2660.56</v>
      </c>
      <c r="N269" s="2">
        <v>10</v>
      </c>
      <c r="O269" s="2">
        <v>2394.5</v>
      </c>
      <c r="P269" s="2">
        <f t="shared" si="40"/>
        <v>2660.56</v>
      </c>
      <c r="Q269" s="2">
        <f t="shared" si="41"/>
        <v>266.05599999999998</v>
      </c>
      <c r="R269" s="2">
        <f t="shared" si="42"/>
        <v>2394.5039999999999</v>
      </c>
      <c r="S269" s="2" t="str">
        <f t="shared" si="43"/>
        <v>Low</v>
      </c>
      <c r="T269" s="2" t="str" cm="1">
        <f t="array" ref="T269">_xlfn.IFS(L269&gt;5,"High",L269=5,"Medium",L269&lt;5,"Low")</f>
        <v>Low</v>
      </c>
      <c r="U269" s="2" t="str">
        <f t="shared" si="44"/>
        <v>Low</v>
      </c>
      <c r="V269" s="14" t="str">
        <f t="shared" si="45"/>
        <v>Normal Discount</v>
      </c>
      <c r="W269" s="16" t="str">
        <f t="shared" si="46"/>
        <v>Average</v>
      </c>
      <c r="X269" s="18" t="str" cm="1">
        <f t="array" ref="X269">_xlfn.IFS(O269&gt;7000,"Excellent",O269&gt;4000,"Good",O269&lt;4000,"Average")</f>
        <v>Average</v>
      </c>
      <c r="AD269" s="23" t="str">
        <f t="shared" si="47"/>
        <v>Not Eligible</v>
      </c>
      <c r="AE269" s="24" t="str">
        <f t="shared" si="48"/>
        <v>Offline</v>
      </c>
      <c r="AF269" s="27" t="str">
        <f t="shared" si="49"/>
        <v>Normal Order</v>
      </c>
    </row>
    <row r="270" spans="1:32" x14ac:dyDescent="0.3">
      <c r="A270" s="2">
        <v>10269</v>
      </c>
      <c r="B270" s="2">
        <v>1829</v>
      </c>
      <c r="C270" s="3">
        <v>45125</v>
      </c>
      <c r="D270" s="3">
        <v>45132</v>
      </c>
      <c r="E270" s="2" t="s">
        <v>21</v>
      </c>
      <c r="F270" s="2" t="s">
        <v>47</v>
      </c>
      <c r="G270" s="2" t="s">
        <v>30</v>
      </c>
      <c r="H270" s="2" t="s">
        <v>41</v>
      </c>
      <c r="I270" s="2" t="s">
        <v>55</v>
      </c>
      <c r="J270" s="2" t="s">
        <v>57</v>
      </c>
      <c r="K270" s="2" t="s">
        <v>53</v>
      </c>
      <c r="L270" s="2">
        <v>5</v>
      </c>
      <c r="M270" s="2">
        <v>3156.54</v>
      </c>
      <c r="N270" s="2">
        <v>20</v>
      </c>
      <c r="O270" s="2">
        <v>12626.16</v>
      </c>
      <c r="P270" s="2">
        <f t="shared" si="40"/>
        <v>15782.7</v>
      </c>
      <c r="Q270" s="2">
        <f t="shared" si="41"/>
        <v>3156.5400000000004</v>
      </c>
      <c r="R270" s="2">
        <f t="shared" si="42"/>
        <v>12626.16</v>
      </c>
      <c r="S270" s="2" t="str">
        <f t="shared" si="43"/>
        <v>High</v>
      </c>
      <c r="T270" s="2" t="str" cm="1">
        <f t="array" ref="T270">_xlfn.IFS(L270&gt;5,"High",L270=5,"Medium",L270&lt;5,"Low")</f>
        <v>Medium</v>
      </c>
      <c r="U270" s="2" t="str">
        <f t="shared" si="44"/>
        <v>Medium</v>
      </c>
      <c r="V270" s="14" t="str">
        <f t="shared" si="45"/>
        <v>Heavy Discount</v>
      </c>
      <c r="W270" s="16" t="str">
        <f t="shared" si="46"/>
        <v>Excellent</v>
      </c>
      <c r="X270" s="18" t="str" cm="1">
        <f t="array" ref="X270">_xlfn.IFS(O270&gt;7000,"Excellent",O270&gt;4000,"Good",O270&lt;4000,"Average")</f>
        <v>Excellent</v>
      </c>
      <c r="AD270" s="23" t="str">
        <f t="shared" si="47"/>
        <v>Not Eligible</v>
      </c>
      <c r="AE270" s="24" t="str">
        <f t="shared" si="48"/>
        <v>Online</v>
      </c>
      <c r="AF270" s="27" t="str">
        <f t="shared" si="49"/>
        <v>Priority Order</v>
      </c>
    </row>
    <row r="271" spans="1:32" x14ac:dyDescent="0.3">
      <c r="A271" s="2">
        <v>10270</v>
      </c>
      <c r="B271" s="2">
        <v>1496</v>
      </c>
      <c r="C271" s="3">
        <v>45080</v>
      </c>
      <c r="D271" s="3">
        <v>45086</v>
      </c>
      <c r="E271" s="2" t="s">
        <v>28</v>
      </c>
      <c r="F271" s="2" t="s">
        <v>35</v>
      </c>
      <c r="G271" s="2" t="s">
        <v>30</v>
      </c>
      <c r="H271" s="2" t="s">
        <v>41</v>
      </c>
      <c r="I271" s="2" t="s">
        <v>37</v>
      </c>
      <c r="J271" s="2" t="s">
        <v>71</v>
      </c>
      <c r="K271" s="2" t="s">
        <v>51</v>
      </c>
      <c r="L271" s="2">
        <v>6</v>
      </c>
      <c r="M271" s="2">
        <v>3197.13</v>
      </c>
      <c r="N271" s="2">
        <v>10</v>
      </c>
      <c r="O271" s="2">
        <v>17264.5</v>
      </c>
      <c r="P271" s="2">
        <f t="shared" si="40"/>
        <v>19182.78</v>
      </c>
      <c r="Q271" s="2">
        <f t="shared" si="41"/>
        <v>1918.278</v>
      </c>
      <c r="R271" s="2">
        <f t="shared" si="42"/>
        <v>17264.502</v>
      </c>
      <c r="S271" s="2" t="str">
        <f t="shared" si="43"/>
        <v>High</v>
      </c>
      <c r="T271" s="2" t="str" cm="1">
        <f t="array" ref="T271">_xlfn.IFS(L271&gt;5,"High",L271=5,"Medium",L271&lt;5,"Low")</f>
        <v>High</v>
      </c>
      <c r="U271" s="2" t="str">
        <f t="shared" si="44"/>
        <v>High</v>
      </c>
      <c r="V271" s="14" t="str">
        <f t="shared" si="45"/>
        <v>Normal Discount</v>
      </c>
      <c r="W271" s="16" t="str">
        <f t="shared" si="46"/>
        <v>Excellent</v>
      </c>
      <c r="X271" s="18" t="str" cm="1">
        <f t="array" ref="X271">_xlfn.IFS(O271&gt;7000,"Excellent",O271&gt;4000,"Good",O271&lt;4000,"Average")</f>
        <v>Excellent</v>
      </c>
      <c r="AD271" s="23" t="str">
        <f t="shared" si="47"/>
        <v>Not Eligible</v>
      </c>
      <c r="AE271" s="24" t="str">
        <f t="shared" si="48"/>
        <v>Online</v>
      </c>
      <c r="AF271" s="27" t="str">
        <f t="shared" si="49"/>
        <v>Priority Order</v>
      </c>
    </row>
    <row r="272" spans="1:32" x14ac:dyDescent="0.3">
      <c r="A272" s="2">
        <v>10271</v>
      </c>
      <c r="B272" s="2">
        <v>1441</v>
      </c>
      <c r="C272" s="3">
        <v>45068</v>
      </c>
      <c r="D272" s="3">
        <v>45072</v>
      </c>
      <c r="E272" s="2" t="s">
        <v>46</v>
      </c>
      <c r="F272" s="2" t="s">
        <v>22</v>
      </c>
      <c r="G272" s="2" t="s">
        <v>36</v>
      </c>
      <c r="H272" s="2" t="s">
        <v>31</v>
      </c>
      <c r="I272" s="2" t="s">
        <v>25</v>
      </c>
      <c r="J272" s="2" t="s">
        <v>72</v>
      </c>
      <c r="K272" s="2" t="s">
        <v>53</v>
      </c>
      <c r="L272" s="2">
        <v>3</v>
      </c>
      <c r="M272" s="2">
        <v>2469.5100000000002</v>
      </c>
      <c r="N272" s="2">
        <v>0</v>
      </c>
      <c r="O272" s="2">
        <v>7408.53</v>
      </c>
      <c r="P272" s="2">
        <f t="shared" si="40"/>
        <v>7408.5300000000007</v>
      </c>
      <c r="Q272" s="2">
        <f t="shared" si="41"/>
        <v>0</v>
      </c>
      <c r="R272" s="2">
        <f t="shared" si="42"/>
        <v>7408.5300000000007</v>
      </c>
      <c r="S272" s="2" t="str">
        <f t="shared" si="43"/>
        <v>Low</v>
      </c>
      <c r="T272" s="2" t="str" cm="1">
        <f t="array" ref="T272">_xlfn.IFS(L272&gt;5,"High",L272=5,"Medium",L272&lt;5,"Low")</f>
        <v>Low</v>
      </c>
      <c r="U272" s="2" t="str">
        <f t="shared" si="44"/>
        <v>Low</v>
      </c>
      <c r="V272" s="14" t="str">
        <f t="shared" si="45"/>
        <v>Normal Discount</v>
      </c>
      <c r="W272" s="16" t="str">
        <f t="shared" si="46"/>
        <v>Excellent</v>
      </c>
      <c r="X272" s="18" t="str" cm="1">
        <f t="array" ref="X272">_xlfn.IFS(O272&gt;7000,"Excellent",O272&gt;4000,"Good",O272&lt;4000,"Average")</f>
        <v>Excellent</v>
      </c>
      <c r="AD272" s="23" t="str">
        <f t="shared" si="47"/>
        <v>Eligible</v>
      </c>
      <c r="AE272" s="24" t="str">
        <f t="shared" si="48"/>
        <v>Offline</v>
      </c>
      <c r="AF272" s="27" t="str">
        <f t="shared" si="49"/>
        <v>Priority Order</v>
      </c>
    </row>
    <row r="273" spans="1:32" x14ac:dyDescent="0.3">
      <c r="A273" s="2">
        <v>10272</v>
      </c>
      <c r="B273" s="2">
        <v>1563</v>
      </c>
      <c r="C273" s="3">
        <v>45239</v>
      </c>
      <c r="D273" s="3">
        <v>45241</v>
      </c>
      <c r="E273" s="2" t="s">
        <v>28</v>
      </c>
      <c r="F273" s="2" t="s">
        <v>22</v>
      </c>
      <c r="G273" s="2" t="s">
        <v>23</v>
      </c>
      <c r="H273" s="2" t="s">
        <v>48</v>
      </c>
      <c r="I273" s="2" t="s">
        <v>37</v>
      </c>
      <c r="J273" s="2" t="s">
        <v>54</v>
      </c>
      <c r="K273" s="2" t="s">
        <v>53</v>
      </c>
      <c r="L273" s="2">
        <v>9</v>
      </c>
      <c r="M273" s="2">
        <v>2119.81</v>
      </c>
      <c r="N273" s="2">
        <v>10</v>
      </c>
      <c r="O273" s="2">
        <v>17170.46</v>
      </c>
      <c r="P273" s="2">
        <f t="shared" si="40"/>
        <v>19078.29</v>
      </c>
      <c r="Q273" s="2">
        <f t="shared" si="41"/>
        <v>1907.8290000000002</v>
      </c>
      <c r="R273" s="2">
        <f t="shared" si="42"/>
        <v>17170.460999999999</v>
      </c>
      <c r="S273" s="2" t="str">
        <f t="shared" si="43"/>
        <v>High</v>
      </c>
      <c r="T273" s="2" t="str" cm="1">
        <f t="array" ref="T273">_xlfn.IFS(L273&gt;5,"High",L273=5,"Medium",L273&lt;5,"Low")</f>
        <v>High</v>
      </c>
      <c r="U273" s="2" t="str">
        <f t="shared" si="44"/>
        <v>High</v>
      </c>
      <c r="V273" s="14" t="str">
        <f t="shared" si="45"/>
        <v>Normal Discount</v>
      </c>
      <c r="W273" s="16" t="str">
        <f t="shared" si="46"/>
        <v>Excellent</v>
      </c>
      <c r="X273" s="18" t="str" cm="1">
        <f t="array" ref="X273">_xlfn.IFS(O273&gt;7000,"Excellent",O273&gt;4000,"Good",O273&lt;4000,"Average")</f>
        <v>Excellent</v>
      </c>
      <c r="AD273" s="23" t="str">
        <f t="shared" si="47"/>
        <v>Not Eligible</v>
      </c>
      <c r="AE273" s="24" t="str">
        <f t="shared" si="48"/>
        <v>Online</v>
      </c>
      <c r="AF273" s="27" t="str">
        <f t="shared" si="49"/>
        <v>Priority Order</v>
      </c>
    </row>
    <row r="274" spans="1:32" x14ac:dyDescent="0.3">
      <c r="A274" s="2">
        <v>10273</v>
      </c>
      <c r="B274" s="2">
        <v>1267</v>
      </c>
      <c r="C274" s="3">
        <v>45091</v>
      </c>
      <c r="D274" s="3">
        <v>45100</v>
      </c>
      <c r="E274" s="2" t="s">
        <v>52</v>
      </c>
      <c r="F274" s="2" t="s">
        <v>60</v>
      </c>
      <c r="G274" s="2" t="s">
        <v>36</v>
      </c>
      <c r="H274" s="2" t="s">
        <v>24</v>
      </c>
      <c r="I274" s="2" t="s">
        <v>37</v>
      </c>
      <c r="J274" s="2" t="s">
        <v>45</v>
      </c>
      <c r="K274" s="2" t="s">
        <v>51</v>
      </c>
      <c r="L274" s="2">
        <v>6</v>
      </c>
      <c r="M274" s="2">
        <v>384.88</v>
      </c>
      <c r="N274" s="2">
        <v>5</v>
      </c>
      <c r="O274" s="2">
        <v>2193.8200000000002</v>
      </c>
      <c r="P274" s="2">
        <f t="shared" si="40"/>
        <v>2309.2799999999997</v>
      </c>
      <c r="Q274" s="2">
        <f t="shared" si="41"/>
        <v>115.464</v>
      </c>
      <c r="R274" s="2">
        <f t="shared" si="42"/>
        <v>2193.8159999999998</v>
      </c>
      <c r="S274" s="2" t="str">
        <f t="shared" si="43"/>
        <v>High</v>
      </c>
      <c r="T274" s="2" t="str" cm="1">
        <f t="array" ref="T274">_xlfn.IFS(L274&gt;5,"High",L274=5,"Medium",L274&lt;5,"Low")</f>
        <v>High</v>
      </c>
      <c r="U274" s="2" t="str">
        <f t="shared" si="44"/>
        <v>High</v>
      </c>
      <c r="V274" s="14" t="str">
        <f t="shared" si="45"/>
        <v>Normal Discount</v>
      </c>
      <c r="W274" s="16" t="str">
        <f t="shared" si="46"/>
        <v>Average</v>
      </c>
      <c r="X274" s="18" t="str" cm="1">
        <f t="array" ref="X274">_xlfn.IFS(O274&gt;7000,"Excellent",O274&gt;4000,"Good",O274&lt;4000,"Average")</f>
        <v>Average</v>
      </c>
      <c r="AD274" s="23" t="str">
        <f t="shared" si="47"/>
        <v>Not Eligible</v>
      </c>
      <c r="AE274" s="24" t="str">
        <f t="shared" si="48"/>
        <v>Offline</v>
      </c>
      <c r="AF274" s="27" t="str">
        <f t="shared" si="49"/>
        <v>Priority Order</v>
      </c>
    </row>
    <row r="275" spans="1:32" x14ac:dyDescent="0.3">
      <c r="A275" s="2">
        <v>10274</v>
      </c>
      <c r="B275" s="2">
        <v>1509</v>
      </c>
      <c r="C275" s="3">
        <v>45240</v>
      </c>
      <c r="D275" s="3">
        <v>45241</v>
      </c>
      <c r="E275" s="2" t="s">
        <v>43</v>
      </c>
      <c r="F275" s="2" t="s">
        <v>22</v>
      </c>
      <c r="G275" s="2" t="s">
        <v>30</v>
      </c>
      <c r="H275" s="2" t="s">
        <v>50</v>
      </c>
      <c r="I275" s="2" t="s">
        <v>58</v>
      </c>
      <c r="J275" s="2" t="s">
        <v>66</v>
      </c>
      <c r="K275" s="2" t="s">
        <v>39</v>
      </c>
      <c r="L275" s="2">
        <v>4</v>
      </c>
      <c r="M275" s="2">
        <v>1258.1500000000001</v>
      </c>
      <c r="N275" s="2">
        <v>0</v>
      </c>
      <c r="O275" s="2">
        <v>5032.6000000000004</v>
      </c>
      <c r="P275" s="2">
        <f t="shared" si="40"/>
        <v>5032.6000000000004</v>
      </c>
      <c r="Q275" s="2">
        <f t="shared" si="41"/>
        <v>0</v>
      </c>
      <c r="R275" s="2">
        <f t="shared" si="42"/>
        <v>5032.6000000000004</v>
      </c>
      <c r="S275" s="2" t="str">
        <f t="shared" si="43"/>
        <v>Low</v>
      </c>
      <c r="T275" s="2" t="str" cm="1">
        <f t="array" ref="T275">_xlfn.IFS(L275&gt;5,"High",L275=5,"Medium",L275&lt;5,"Low")</f>
        <v>Low</v>
      </c>
      <c r="U275" s="2" t="str">
        <f t="shared" si="44"/>
        <v>Low</v>
      </c>
      <c r="V275" s="14" t="str">
        <f t="shared" si="45"/>
        <v>Normal Discount</v>
      </c>
      <c r="W275" s="16" t="str">
        <f t="shared" si="46"/>
        <v>Good</v>
      </c>
      <c r="X275" s="18" t="str" cm="1">
        <f t="array" ref="X275">_xlfn.IFS(O275&gt;7000,"Excellent",O275&gt;4000,"Good",O275&lt;4000,"Average")</f>
        <v>Good</v>
      </c>
      <c r="AD275" s="23" t="str">
        <f t="shared" si="47"/>
        <v>Eligible</v>
      </c>
      <c r="AE275" s="24" t="str">
        <f t="shared" si="48"/>
        <v>Online</v>
      </c>
      <c r="AF275" s="27" t="str">
        <f t="shared" si="49"/>
        <v>Normal Order</v>
      </c>
    </row>
    <row r="276" spans="1:32" x14ac:dyDescent="0.3">
      <c r="A276" s="2">
        <v>10275</v>
      </c>
      <c r="B276" s="2">
        <v>1806</v>
      </c>
      <c r="C276" s="3">
        <v>44947</v>
      </c>
      <c r="D276" s="3">
        <v>44951</v>
      </c>
      <c r="E276" s="2" t="s">
        <v>22</v>
      </c>
      <c r="F276" s="2" t="s">
        <v>60</v>
      </c>
      <c r="G276" s="2" t="s">
        <v>30</v>
      </c>
      <c r="H276" s="2" t="s">
        <v>31</v>
      </c>
      <c r="I276" s="2" t="s">
        <v>58</v>
      </c>
      <c r="J276" s="2" t="s">
        <v>70</v>
      </c>
      <c r="K276" s="2" t="s">
        <v>39</v>
      </c>
      <c r="L276" s="2">
        <v>7</v>
      </c>
      <c r="M276" s="2">
        <v>509.1</v>
      </c>
      <c r="N276" s="2">
        <v>15</v>
      </c>
      <c r="O276" s="2">
        <v>3029.14</v>
      </c>
      <c r="P276" s="2">
        <f t="shared" si="40"/>
        <v>3563.7000000000003</v>
      </c>
      <c r="Q276" s="2">
        <f t="shared" si="41"/>
        <v>534.55500000000006</v>
      </c>
      <c r="R276" s="2">
        <f t="shared" si="42"/>
        <v>3029.1450000000004</v>
      </c>
      <c r="S276" s="2" t="str">
        <f t="shared" si="43"/>
        <v>High</v>
      </c>
      <c r="T276" s="2" t="str" cm="1">
        <f t="array" ref="T276">_xlfn.IFS(L276&gt;5,"High",L276=5,"Medium",L276&lt;5,"Low")</f>
        <v>High</v>
      </c>
      <c r="U276" s="2" t="str">
        <f t="shared" si="44"/>
        <v>High</v>
      </c>
      <c r="V276" s="14" t="str">
        <f t="shared" si="45"/>
        <v>Heavy Discount</v>
      </c>
      <c r="W276" s="16" t="str">
        <f t="shared" si="46"/>
        <v>Average</v>
      </c>
      <c r="X276" s="18" t="str" cm="1">
        <f t="array" ref="X276">_xlfn.IFS(O276&gt;7000,"Excellent",O276&gt;4000,"Good",O276&lt;4000,"Average")</f>
        <v>Average</v>
      </c>
      <c r="AD276" s="23" t="str">
        <f t="shared" si="47"/>
        <v>Not Eligible</v>
      </c>
      <c r="AE276" s="24" t="str">
        <f t="shared" si="48"/>
        <v>Online</v>
      </c>
      <c r="AF276" s="27" t="str">
        <f t="shared" si="49"/>
        <v>Priority Order</v>
      </c>
    </row>
    <row r="277" spans="1:32" x14ac:dyDescent="0.3">
      <c r="A277" s="2">
        <v>10276</v>
      </c>
      <c r="B277" s="2">
        <v>1385</v>
      </c>
      <c r="C277" s="3">
        <v>45008</v>
      </c>
      <c r="D277" s="3">
        <v>45009</v>
      </c>
      <c r="E277" s="2" t="s">
        <v>28</v>
      </c>
      <c r="F277" s="2" t="s">
        <v>29</v>
      </c>
      <c r="G277" s="2" t="s">
        <v>30</v>
      </c>
      <c r="H277" s="2" t="s">
        <v>50</v>
      </c>
      <c r="I277" s="2" t="s">
        <v>58</v>
      </c>
      <c r="J277" s="2" t="s">
        <v>59</v>
      </c>
      <c r="K277" s="2" t="s">
        <v>53</v>
      </c>
      <c r="L277" s="2">
        <v>8</v>
      </c>
      <c r="M277" s="2">
        <v>3860.72</v>
      </c>
      <c r="N277" s="2">
        <v>20</v>
      </c>
      <c r="O277" s="2">
        <v>24708.61</v>
      </c>
      <c r="P277" s="2">
        <f t="shared" si="40"/>
        <v>30885.759999999998</v>
      </c>
      <c r="Q277" s="2">
        <f t="shared" si="41"/>
        <v>6177.152</v>
      </c>
      <c r="R277" s="2">
        <f t="shared" si="42"/>
        <v>24708.608</v>
      </c>
      <c r="S277" s="2" t="str">
        <f t="shared" si="43"/>
        <v>High</v>
      </c>
      <c r="T277" s="2" t="str" cm="1">
        <f t="array" ref="T277">_xlfn.IFS(L277&gt;5,"High",L277=5,"Medium",L277&lt;5,"Low")</f>
        <v>High</v>
      </c>
      <c r="U277" s="2" t="str">
        <f t="shared" si="44"/>
        <v>High</v>
      </c>
      <c r="V277" s="14" t="str">
        <f t="shared" si="45"/>
        <v>Heavy Discount</v>
      </c>
      <c r="W277" s="16" t="str">
        <f t="shared" si="46"/>
        <v>Excellent</v>
      </c>
      <c r="X277" s="18" t="str" cm="1">
        <f t="array" ref="X277">_xlfn.IFS(O277&gt;7000,"Excellent",O277&gt;4000,"Good",O277&lt;4000,"Average")</f>
        <v>Excellent</v>
      </c>
      <c r="AD277" s="23" t="str">
        <f t="shared" si="47"/>
        <v>Not Eligible</v>
      </c>
      <c r="AE277" s="24" t="str">
        <f t="shared" si="48"/>
        <v>Online</v>
      </c>
      <c r="AF277" s="27" t="str">
        <f t="shared" si="49"/>
        <v>Priority Order</v>
      </c>
    </row>
    <row r="278" spans="1:32" x14ac:dyDescent="0.3">
      <c r="A278" s="2">
        <v>10277</v>
      </c>
      <c r="B278" s="2">
        <v>1386</v>
      </c>
      <c r="C278" s="3">
        <v>44995</v>
      </c>
      <c r="D278" s="3">
        <v>45001</v>
      </c>
      <c r="E278" s="2" t="s">
        <v>46</v>
      </c>
      <c r="F278" s="2" t="s">
        <v>47</v>
      </c>
      <c r="G278" s="2" t="s">
        <v>36</v>
      </c>
      <c r="H278" s="2" t="s">
        <v>24</v>
      </c>
      <c r="I278" s="2" t="s">
        <v>32</v>
      </c>
      <c r="J278" s="2" t="s">
        <v>75</v>
      </c>
      <c r="K278" s="2" t="s">
        <v>51</v>
      </c>
      <c r="L278" s="2">
        <v>9</v>
      </c>
      <c r="M278" s="2">
        <v>670.06</v>
      </c>
      <c r="N278" s="2">
        <v>20</v>
      </c>
      <c r="O278" s="2">
        <v>4824.43</v>
      </c>
      <c r="P278" s="2">
        <f t="shared" si="40"/>
        <v>6030.5399999999991</v>
      </c>
      <c r="Q278" s="2">
        <f t="shared" si="41"/>
        <v>1206.1079999999999</v>
      </c>
      <c r="R278" s="2">
        <f t="shared" si="42"/>
        <v>4824.4319999999989</v>
      </c>
      <c r="S278" s="2" t="str">
        <f t="shared" si="43"/>
        <v>High</v>
      </c>
      <c r="T278" s="2" t="str" cm="1">
        <f t="array" ref="T278">_xlfn.IFS(L278&gt;5,"High",L278=5,"Medium",L278&lt;5,"Low")</f>
        <v>High</v>
      </c>
      <c r="U278" s="2" t="str">
        <f t="shared" si="44"/>
        <v>High</v>
      </c>
      <c r="V278" s="14" t="str">
        <f t="shared" si="45"/>
        <v>Heavy Discount</v>
      </c>
      <c r="W278" s="16" t="str">
        <f t="shared" si="46"/>
        <v>Good</v>
      </c>
      <c r="X278" s="18" t="str" cm="1">
        <f t="array" ref="X278">_xlfn.IFS(O278&gt;7000,"Excellent",O278&gt;4000,"Good",O278&lt;4000,"Average")</f>
        <v>Good</v>
      </c>
      <c r="AD278" s="23" t="str">
        <f t="shared" si="47"/>
        <v>Not Eligible</v>
      </c>
      <c r="AE278" s="24" t="str">
        <f t="shared" si="48"/>
        <v>Offline</v>
      </c>
      <c r="AF278" s="27" t="str">
        <f t="shared" si="49"/>
        <v>Priority Order</v>
      </c>
    </row>
    <row r="279" spans="1:32" x14ac:dyDescent="0.3">
      <c r="A279" s="2">
        <v>10278</v>
      </c>
      <c r="B279" s="2">
        <v>1112</v>
      </c>
      <c r="C279" s="3">
        <v>45057</v>
      </c>
      <c r="D279" s="3">
        <v>45061</v>
      </c>
      <c r="E279" s="2" t="s">
        <v>52</v>
      </c>
      <c r="F279" s="2" t="s">
        <v>60</v>
      </c>
      <c r="G279" s="2" t="s">
        <v>23</v>
      </c>
      <c r="H279" s="2" t="s">
        <v>24</v>
      </c>
      <c r="I279" s="2" t="s">
        <v>25</v>
      </c>
      <c r="J279" s="2" t="s">
        <v>49</v>
      </c>
      <c r="K279" s="2" t="s">
        <v>51</v>
      </c>
      <c r="L279" s="2">
        <v>6</v>
      </c>
      <c r="M279" s="2">
        <v>734.34</v>
      </c>
      <c r="N279" s="2">
        <v>10</v>
      </c>
      <c r="O279" s="2">
        <v>3965.44</v>
      </c>
      <c r="P279" s="2">
        <f t="shared" si="40"/>
        <v>4406.04</v>
      </c>
      <c r="Q279" s="2">
        <f t="shared" si="41"/>
        <v>440.60400000000004</v>
      </c>
      <c r="R279" s="2">
        <f t="shared" si="42"/>
        <v>3965.4359999999997</v>
      </c>
      <c r="S279" s="2" t="str">
        <f t="shared" si="43"/>
        <v>High</v>
      </c>
      <c r="T279" s="2" t="str" cm="1">
        <f t="array" ref="T279">_xlfn.IFS(L279&gt;5,"High",L279=5,"Medium",L279&lt;5,"Low")</f>
        <v>High</v>
      </c>
      <c r="U279" s="2" t="str">
        <f t="shared" si="44"/>
        <v>High</v>
      </c>
      <c r="V279" s="14" t="str">
        <f t="shared" si="45"/>
        <v>Normal Discount</v>
      </c>
      <c r="W279" s="16" t="str">
        <f t="shared" si="46"/>
        <v>Average</v>
      </c>
      <c r="X279" s="18" t="str" cm="1">
        <f t="array" ref="X279">_xlfn.IFS(O279&gt;7000,"Excellent",O279&gt;4000,"Good",O279&lt;4000,"Average")</f>
        <v>Average</v>
      </c>
      <c r="AD279" s="23" t="str">
        <f t="shared" si="47"/>
        <v>Not Eligible</v>
      </c>
      <c r="AE279" s="24" t="str">
        <f t="shared" si="48"/>
        <v>Online</v>
      </c>
      <c r="AF279" s="27" t="str">
        <f t="shared" si="49"/>
        <v>Priority Order</v>
      </c>
    </row>
    <row r="280" spans="1:32" x14ac:dyDescent="0.3">
      <c r="A280" s="2">
        <v>10279</v>
      </c>
      <c r="B280" s="2">
        <v>1612</v>
      </c>
      <c r="C280" s="3">
        <v>45013</v>
      </c>
      <c r="D280" s="3">
        <v>45018</v>
      </c>
      <c r="E280" s="2" t="s">
        <v>40</v>
      </c>
      <c r="F280" s="2" t="s">
        <v>35</v>
      </c>
      <c r="G280" s="2" t="s">
        <v>30</v>
      </c>
      <c r="H280" s="2" t="s">
        <v>41</v>
      </c>
      <c r="I280" s="2" t="s">
        <v>58</v>
      </c>
      <c r="J280" s="2" t="s">
        <v>66</v>
      </c>
      <c r="K280" s="2" t="s">
        <v>34</v>
      </c>
      <c r="L280" s="2">
        <v>6</v>
      </c>
      <c r="M280" s="2">
        <v>3574.87</v>
      </c>
      <c r="N280" s="2">
        <v>0</v>
      </c>
      <c r="O280" s="2">
        <v>21449.22</v>
      </c>
      <c r="P280" s="2">
        <f t="shared" si="40"/>
        <v>21449.22</v>
      </c>
      <c r="Q280" s="2">
        <f t="shared" si="41"/>
        <v>0</v>
      </c>
      <c r="R280" s="2">
        <f t="shared" si="42"/>
        <v>21449.22</v>
      </c>
      <c r="S280" s="2" t="str">
        <f t="shared" si="43"/>
        <v>High</v>
      </c>
      <c r="T280" s="2" t="str" cm="1">
        <f t="array" ref="T280">_xlfn.IFS(L280&gt;5,"High",L280=5,"Medium",L280&lt;5,"Low")</f>
        <v>High</v>
      </c>
      <c r="U280" s="2" t="str">
        <f t="shared" si="44"/>
        <v>High</v>
      </c>
      <c r="V280" s="14" t="str">
        <f t="shared" si="45"/>
        <v>Normal Discount</v>
      </c>
      <c r="W280" s="16" t="str">
        <f t="shared" si="46"/>
        <v>Excellent</v>
      </c>
      <c r="X280" s="18" t="str" cm="1">
        <f t="array" ref="X280">_xlfn.IFS(O280&gt;7000,"Excellent",O280&gt;4000,"Good",O280&lt;4000,"Average")</f>
        <v>Excellent</v>
      </c>
      <c r="AD280" s="23" t="str">
        <f t="shared" si="47"/>
        <v>Eligible</v>
      </c>
      <c r="AE280" s="24" t="str">
        <f t="shared" si="48"/>
        <v>Online</v>
      </c>
      <c r="AF280" s="27" t="str">
        <f t="shared" si="49"/>
        <v>Priority Order</v>
      </c>
    </row>
    <row r="281" spans="1:32" x14ac:dyDescent="0.3">
      <c r="A281" s="2">
        <v>10280</v>
      </c>
      <c r="B281" s="2">
        <v>1624</v>
      </c>
      <c r="C281" s="3">
        <v>45144</v>
      </c>
      <c r="D281" s="3">
        <v>45149</v>
      </c>
      <c r="E281" s="2" t="s">
        <v>52</v>
      </c>
      <c r="F281" s="2" t="s">
        <v>47</v>
      </c>
      <c r="G281" s="2" t="s">
        <v>30</v>
      </c>
      <c r="H281" s="2" t="s">
        <v>24</v>
      </c>
      <c r="I281" s="2" t="s">
        <v>55</v>
      </c>
      <c r="J281" s="2" t="s">
        <v>74</v>
      </c>
      <c r="K281" s="2" t="s">
        <v>39</v>
      </c>
      <c r="L281" s="2">
        <v>8</v>
      </c>
      <c r="M281" s="2">
        <v>3784.12</v>
      </c>
      <c r="N281" s="2">
        <v>15</v>
      </c>
      <c r="O281" s="2">
        <v>25732.02</v>
      </c>
      <c r="P281" s="2">
        <f t="shared" si="40"/>
        <v>30272.959999999999</v>
      </c>
      <c r="Q281" s="2">
        <f t="shared" si="41"/>
        <v>4540.9439999999995</v>
      </c>
      <c r="R281" s="2">
        <f t="shared" si="42"/>
        <v>25732.016</v>
      </c>
      <c r="S281" s="2" t="str">
        <f t="shared" si="43"/>
        <v>High</v>
      </c>
      <c r="T281" s="2" t="str" cm="1">
        <f t="array" ref="T281">_xlfn.IFS(L281&gt;5,"High",L281=5,"Medium",L281&lt;5,"Low")</f>
        <v>High</v>
      </c>
      <c r="U281" s="2" t="str">
        <f t="shared" si="44"/>
        <v>High</v>
      </c>
      <c r="V281" s="14" t="str">
        <f t="shared" si="45"/>
        <v>Heavy Discount</v>
      </c>
      <c r="W281" s="16" t="str">
        <f t="shared" si="46"/>
        <v>Excellent</v>
      </c>
      <c r="X281" s="18" t="str" cm="1">
        <f t="array" ref="X281">_xlfn.IFS(O281&gt;7000,"Excellent",O281&gt;4000,"Good",O281&lt;4000,"Average")</f>
        <v>Excellent</v>
      </c>
      <c r="AD281" s="23" t="str">
        <f t="shared" si="47"/>
        <v>Not Eligible</v>
      </c>
      <c r="AE281" s="24" t="str">
        <f t="shared" si="48"/>
        <v>Online</v>
      </c>
      <c r="AF281" s="27" t="str">
        <f t="shared" si="49"/>
        <v>Priority Order</v>
      </c>
    </row>
    <row r="282" spans="1:32" x14ac:dyDescent="0.3">
      <c r="A282" s="2">
        <v>10281</v>
      </c>
      <c r="B282" s="2">
        <v>1951</v>
      </c>
      <c r="C282" s="3">
        <v>45231</v>
      </c>
      <c r="D282" s="3">
        <v>45240</v>
      </c>
      <c r="E282" s="2" t="s">
        <v>52</v>
      </c>
      <c r="F282" s="2" t="s">
        <v>60</v>
      </c>
      <c r="G282" s="2" t="s">
        <v>36</v>
      </c>
      <c r="H282" s="2" t="s">
        <v>50</v>
      </c>
      <c r="I282" s="2" t="s">
        <v>32</v>
      </c>
      <c r="J282" s="2" t="s">
        <v>75</v>
      </c>
      <c r="K282" s="2" t="s">
        <v>27</v>
      </c>
      <c r="L282" s="2">
        <v>5</v>
      </c>
      <c r="M282" s="2">
        <v>3098.44</v>
      </c>
      <c r="N282" s="2">
        <v>0</v>
      </c>
      <c r="O282" s="2">
        <v>15492.2</v>
      </c>
      <c r="P282" s="2">
        <f t="shared" si="40"/>
        <v>15492.2</v>
      </c>
      <c r="Q282" s="2">
        <f t="shared" si="41"/>
        <v>0</v>
      </c>
      <c r="R282" s="2">
        <f t="shared" si="42"/>
        <v>15492.2</v>
      </c>
      <c r="S282" s="2" t="str">
        <f t="shared" si="43"/>
        <v>High</v>
      </c>
      <c r="T282" s="2" t="str" cm="1">
        <f t="array" ref="T282">_xlfn.IFS(L282&gt;5,"High",L282=5,"Medium",L282&lt;5,"Low")</f>
        <v>Medium</v>
      </c>
      <c r="U282" s="2" t="str">
        <f t="shared" si="44"/>
        <v>Medium</v>
      </c>
      <c r="V282" s="14" t="str">
        <f t="shared" si="45"/>
        <v>Normal Discount</v>
      </c>
      <c r="W282" s="16" t="str">
        <f t="shared" si="46"/>
        <v>Excellent</v>
      </c>
      <c r="X282" s="18" t="str" cm="1">
        <f t="array" ref="X282">_xlfn.IFS(O282&gt;7000,"Excellent",O282&gt;4000,"Good",O282&lt;4000,"Average")</f>
        <v>Excellent</v>
      </c>
      <c r="AD282" s="23" t="str">
        <f t="shared" si="47"/>
        <v>Eligible</v>
      </c>
      <c r="AE282" s="24" t="str">
        <f t="shared" si="48"/>
        <v>Offline</v>
      </c>
      <c r="AF282" s="27" t="str">
        <f t="shared" si="49"/>
        <v>Priority Order</v>
      </c>
    </row>
    <row r="283" spans="1:32" x14ac:dyDescent="0.3">
      <c r="A283" s="2">
        <v>10282</v>
      </c>
      <c r="B283" s="2">
        <v>1080</v>
      </c>
      <c r="C283" s="3">
        <v>45271</v>
      </c>
      <c r="D283" s="3">
        <v>45272</v>
      </c>
      <c r="E283" s="2" t="s">
        <v>43</v>
      </c>
      <c r="F283" s="2" t="s">
        <v>47</v>
      </c>
      <c r="G283" s="2" t="s">
        <v>23</v>
      </c>
      <c r="H283" s="2" t="s">
        <v>48</v>
      </c>
      <c r="I283" s="2" t="s">
        <v>63</v>
      </c>
      <c r="J283" s="2" t="s">
        <v>73</v>
      </c>
      <c r="K283" s="2" t="s">
        <v>39</v>
      </c>
      <c r="L283" s="2">
        <v>3</v>
      </c>
      <c r="M283" s="2">
        <v>170.81</v>
      </c>
      <c r="N283" s="2">
        <v>20</v>
      </c>
      <c r="O283" s="2">
        <v>409.94</v>
      </c>
      <c r="P283" s="2">
        <f t="shared" si="40"/>
        <v>512.43000000000006</v>
      </c>
      <c r="Q283" s="2">
        <f t="shared" si="41"/>
        <v>102.48600000000002</v>
      </c>
      <c r="R283" s="2">
        <f t="shared" si="42"/>
        <v>409.94400000000007</v>
      </c>
      <c r="S283" s="2" t="str">
        <f t="shared" si="43"/>
        <v>Low</v>
      </c>
      <c r="T283" s="2" t="str" cm="1">
        <f t="array" ref="T283">_xlfn.IFS(L283&gt;5,"High",L283=5,"Medium",L283&lt;5,"Low")</f>
        <v>Low</v>
      </c>
      <c r="U283" s="2" t="str">
        <f t="shared" si="44"/>
        <v>Low</v>
      </c>
      <c r="V283" s="14" t="str">
        <f t="shared" si="45"/>
        <v>Heavy Discount</v>
      </c>
      <c r="W283" s="16" t="str">
        <f t="shared" si="46"/>
        <v>Average</v>
      </c>
      <c r="X283" s="18" t="str" cm="1">
        <f t="array" ref="X283">_xlfn.IFS(O283&gt;7000,"Excellent",O283&gt;4000,"Good",O283&lt;4000,"Average")</f>
        <v>Average</v>
      </c>
      <c r="AD283" s="23" t="str">
        <f t="shared" si="47"/>
        <v>Not Eligible</v>
      </c>
      <c r="AE283" s="24" t="str">
        <f t="shared" si="48"/>
        <v>Online</v>
      </c>
      <c r="AF283" s="27" t="str">
        <f t="shared" si="49"/>
        <v>Normal Order</v>
      </c>
    </row>
    <row r="284" spans="1:32" x14ac:dyDescent="0.3">
      <c r="A284" s="2">
        <v>10283</v>
      </c>
      <c r="B284" s="2">
        <v>1698</v>
      </c>
      <c r="C284" s="3">
        <v>45267</v>
      </c>
      <c r="D284" s="3">
        <v>45269</v>
      </c>
      <c r="E284" s="2" t="s">
        <v>22</v>
      </c>
      <c r="F284" s="2" t="s">
        <v>47</v>
      </c>
      <c r="G284" s="2" t="s">
        <v>36</v>
      </c>
      <c r="H284" s="2" t="s">
        <v>48</v>
      </c>
      <c r="I284" s="2" t="s">
        <v>55</v>
      </c>
      <c r="J284" s="2" t="s">
        <v>69</v>
      </c>
      <c r="K284" s="2" t="s">
        <v>39</v>
      </c>
      <c r="L284" s="2">
        <v>3</v>
      </c>
      <c r="M284" s="2">
        <v>155.18</v>
      </c>
      <c r="N284" s="2">
        <v>0</v>
      </c>
      <c r="O284" s="2">
        <v>465.54</v>
      </c>
      <c r="P284" s="2">
        <f t="shared" si="40"/>
        <v>465.54</v>
      </c>
      <c r="Q284" s="2">
        <f t="shared" si="41"/>
        <v>0</v>
      </c>
      <c r="R284" s="2">
        <f t="shared" si="42"/>
        <v>465.54</v>
      </c>
      <c r="S284" s="2" t="str">
        <f t="shared" si="43"/>
        <v>Low</v>
      </c>
      <c r="T284" s="2" t="str" cm="1">
        <f t="array" ref="T284">_xlfn.IFS(L284&gt;5,"High",L284=5,"Medium",L284&lt;5,"Low")</f>
        <v>Low</v>
      </c>
      <c r="U284" s="2" t="str">
        <f t="shared" si="44"/>
        <v>Low</v>
      </c>
      <c r="V284" s="14" t="str">
        <f t="shared" si="45"/>
        <v>Normal Discount</v>
      </c>
      <c r="W284" s="16" t="str">
        <f t="shared" si="46"/>
        <v>Average</v>
      </c>
      <c r="X284" s="18" t="str" cm="1">
        <f t="array" ref="X284">_xlfn.IFS(O284&gt;7000,"Excellent",O284&gt;4000,"Good",O284&lt;4000,"Average")</f>
        <v>Average</v>
      </c>
      <c r="AD284" s="23" t="str">
        <f t="shared" si="47"/>
        <v>Not Eligible</v>
      </c>
      <c r="AE284" s="24" t="str">
        <f t="shared" si="48"/>
        <v>Offline</v>
      </c>
      <c r="AF284" s="27" t="str">
        <f t="shared" si="49"/>
        <v>Normal Order</v>
      </c>
    </row>
    <row r="285" spans="1:32" x14ac:dyDescent="0.3">
      <c r="A285" s="2">
        <v>10284</v>
      </c>
      <c r="B285" s="2">
        <v>1112</v>
      </c>
      <c r="C285" s="3">
        <v>45087</v>
      </c>
      <c r="D285" s="3">
        <v>45093</v>
      </c>
      <c r="E285" s="2" t="s">
        <v>40</v>
      </c>
      <c r="F285" s="2" t="s">
        <v>47</v>
      </c>
      <c r="G285" s="2" t="s">
        <v>30</v>
      </c>
      <c r="H285" s="2" t="s">
        <v>41</v>
      </c>
      <c r="I285" s="2" t="s">
        <v>55</v>
      </c>
      <c r="J285" s="2" t="s">
        <v>57</v>
      </c>
      <c r="K285" s="2" t="s">
        <v>34</v>
      </c>
      <c r="L285" s="2">
        <v>6</v>
      </c>
      <c r="M285" s="2">
        <v>1605.69</v>
      </c>
      <c r="N285" s="2">
        <v>15</v>
      </c>
      <c r="O285" s="2">
        <v>8189.02</v>
      </c>
      <c r="P285" s="2">
        <f t="shared" si="40"/>
        <v>9634.14</v>
      </c>
      <c r="Q285" s="2">
        <f t="shared" si="41"/>
        <v>1445.1209999999999</v>
      </c>
      <c r="R285" s="2">
        <f t="shared" si="42"/>
        <v>8189.0189999999993</v>
      </c>
      <c r="S285" s="2" t="str">
        <f t="shared" si="43"/>
        <v>High</v>
      </c>
      <c r="T285" s="2" t="str" cm="1">
        <f t="array" ref="T285">_xlfn.IFS(L285&gt;5,"High",L285=5,"Medium",L285&lt;5,"Low")</f>
        <v>High</v>
      </c>
      <c r="U285" s="2" t="str">
        <f t="shared" si="44"/>
        <v>High</v>
      </c>
      <c r="V285" s="14" t="str">
        <f t="shared" si="45"/>
        <v>Heavy Discount</v>
      </c>
      <c r="W285" s="16" t="str">
        <f t="shared" si="46"/>
        <v>Excellent</v>
      </c>
      <c r="X285" s="18" t="str" cm="1">
        <f t="array" ref="X285">_xlfn.IFS(O285&gt;7000,"Excellent",O285&gt;4000,"Good",O285&lt;4000,"Average")</f>
        <v>Excellent</v>
      </c>
      <c r="AD285" s="23" t="str">
        <f t="shared" si="47"/>
        <v>Not Eligible</v>
      </c>
      <c r="AE285" s="24" t="str">
        <f t="shared" si="48"/>
        <v>Online</v>
      </c>
      <c r="AF285" s="27" t="str">
        <f t="shared" si="49"/>
        <v>Priority Order</v>
      </c>
    </row>
    <row r="286" spans="1:32" x14ac:dyDescent="0.3">
      <c r="A286" s="2">
        <v>10285</v>
      </c>
      <c r="B286" s="2">
        <v>1001</v>
      </c>
      <c r="C286" s="3">
        <v>45104</v>
      </c>
      <c r="D286" s="3">
        <v>45109</v>
      </c>
      <c r="E286" s="2" t="s">
        <v>21</v>
      </c>
      <c r="F286" s="2" t="s">
        <v>29</v>
      </c>
      <c r="G286" s="2" t="s">
        <v>23</v>
      </c>
      <c r="H286" s="2" t="s">
        <v>50</v>
      </c>
      <c r="I286" s="2" t="s">
        <v>58</v>
      </c>
      <c r="J286" s="2" t="s">
        <v>62</v>
      </c>
      <c r="K286" s="2" t="s">
        <v>27</v>
      </c>
      <c r="L286" s="2">
        <v>2</v>
      </c>
      <c r="M286" s="2">
        <v>702.07</v>
      </c>
      <c r="N286" s="2">
        <v>10</v>
      </c>
      <c r="O286" s="2">
        <v>1263.73</v>
      </c>
      <c r="P286" s="2">
        <f t="shared" si="40"/>
        <v>1404.14</v>
      </c>
      <c r="Q286" s="2">
        <f t="shared" si="41"/>
        <v>140.41400000000002</v>
      </c>
      <c r="R286" s="2">
        <f t="shared" si="42"/>
        <v>1263.7260000000001</v>
      </c>
      <c r="S286" s="2" t="str">
        <f t="shared" si="43"/>
        <v>Low</v>
      </c>
      <c r="T286" s="2" t="str" cm="1">
        <f t="array" ref="T286">_xlfn.IFS(L286&gt;5,"High",L286=5,"Medium",L286&lt;5,"Low")</f>
        <v>Low</v>
      </c>
      <c r="U286" s="2" t="str">
        <f t="shared" si="44"/>
        <v>Low</v>
      </c>
      <c r="V286" s="14" t="str">
        <f t="shared" si="45"/>
        <v>Normal Discount</v>
      </c>
      <c r="W286" s="16" t="str">
        <f t="shared" si="46"/>
        <v>Average</v>
      </c>
      <c r="X286" s="18" t="str" cm="1">
        <f t="array" ref="X286">_xlfn.IFS(O286&gt;7000,"Excellent",O286&gt;4000,"Good",O286&lt;4000,"Average")</f>
        <v>Average</v>
      </c>
      <c r="AD286" s="23" t="str">
        <f t="shared" si="47"/>
        <v>Not Eligible</v>
      </c>
      <c r="AE286" s="24" t="str">
        <f t="shared" si="48"/>
        <v>Online</v>
      </c>
      <c r="AF286" s="27" t="str">
        <f t="shared" si="49"/>
        <v>Normal Order</v>
      </c>
    </row>
    <row r="287" spans="1:32" x14ac:dyDescent="0.3">
      <c r="A287" s="2">
        <v>10286</v>
      </c>
      <c r="B287" s="2">
        <v>1641</v>
      </c>
      <c r="C287" s="3">
        <v>45043</v>
      </c>
      <c r="D287" s="3">
        <v>45050</v>
      </c>
      <c r="E287" s="2" t="s">
        <v>21</v>
      </c>
      <c r="F287" s="2" t="s">
        <v>35</v>
      </c>
      <c r="G287" s="2" t="s">
        <v>23</v>
      </c>
      <c r="H287" s="2" t="s">
        <v>50</v>
      </c>
      <c r="I287" s="2" t="s">
        <v>63</v>
      </c>
      <c r="J287" s="2" t="s">
        <v>64</v>
      </c>
      <c r="K287" s="2" t="s">
        <v>34</v>
      </c>
      <c r="L287" s="2">
        <v>6</v>
      </c>
      <c r="M287" s="2">
        <v>220.79</v>
      </c>
      <c r="N287" s="2">
        <v>5</v>
      </c>
      <c r="O287" s="2">
        <v>1258.5</v>
      </c>
      <c r="P287" s="2">
        <f t="shared" si="40"/>
        <v>1324.74</v>
      </c>
      <c r="Q287" s="2">
        <f t="shared" si="41"/>
        <v>66.237000000000009</v>
      </c>
      <c r="R287" s="2">
        <f t="shared" si="42"/>
        <v>1258.5029999999999</v>
      </c>
      <c r="S287" s="2" t="str">
        <f t="shared" si="43"/>
        <v>High</v>
      </c>
      <c r="T287" s="2" t="str" cm="1">
        <f t="array" ref="T287">_xlfn.IFS(L287&gt;5,"High",L287=5,"Medium",L287&lt;5,"Low")</f>
        <v>High</v>
      </c>
      <c r="U287" s="2" t="str">
        <f t="shared" si="44"/>
        <v>High</v>
      </c>
      <c r="V287" s="14" t="str">
        <f t="shared" si="45"/>
        <v>Normal Discount</v>
      </c>
      <c r="W287" s="16" t="str">
        <f t="shared" si="46"/>
        <v>Average</v>
      </c>
      <c r="X287" s="18" t="str" cm="1">
        <f t="array" ref="X287">_xlfn.IFS(O287&gt;7000,"Excellent",O287&gt;4000,"Good",O287&lt;4000,"Average")</f>
        <v>Average</v>
      </c>
      <c r="AD287" s="23" t="str">
        <f t="shared" si="47"/>
        <v>Not Eligible</v>
      </c>
      <c r="AE287" s="24" t="str">
        <f t="shared" si="48"/>
        <v>Online</v>
      </c>
      <c r="AF287" s="27" t="str">
        <f t="shared" si="49"/>
        <v>Priority Order</v>
      </c>
    </row>
    <row r="288" spans="1:32" x14ac:dyDescent="0.3">
      <c r="A288" s="2">
        <v>10287</v>
      </c>
      <c r="B288" s="2">
        <v>1219</v>
      </c>
      <c r="C288" s="3">
        <v>45122</v>
      </c>
      <c r="D288" s="3">
        <v>45125</v>
      </c>
      <c r="E288" s="2" t="s">
        <v>28</v>
      </c>
      <c r="F288" s="2" t="s">
        <v>44</v>
      </c>
      <c r="G288" s="2" t="s">
        <v>30</v>
      </c>
      <c r="H288" s="2" t="s">
        <v>24</v>
      </c>
      <c r="I288" s="2" t="s">
        <v>63</v>
      </c>
      <c r="J288" s="2" t="s">
        <v>73</v>
      </c>
      <c r="K288" s="2" t="s">
        <v>27</v>
      </c>
      <c r="L288" s="2">
        <v>6</v>
      </c>
      <c r="M288" s="2">
        <v>1936.66</v>
      </c>
      <c r="N288" s="2">
        <v>0</v>
      </c>
      <c r="O288" s="2">
        <v>11619.96</v>
      </c>
      <c r="P288" s="2">
        <f t="shared" si="40"/>
        <v>11619.960000000001</v>
      </c>
      <c r="Q288" s="2">
        <f t="shared" si="41"/>
        <v>0</v>
      </c>
      <c r="R288" s="2">
        <f t="shared" si="42"/>
        <v>11619.960000000001</v>
      </c>
      <c r="S288" s="2" t="str">
        <f t="shared" si="43"/>
        <v>High</v>
      </c>
      <c r="T288" s="2" t="str" cm="1">
        <f t="array" ref="T288">_xlfn.IFS(L288&gt;5,"High",L288=5,"Medium",L288&lt;5,"Low")</f>
        <v>High</v>
      </c>
      <c r="U288" s="2" t="str">
        <f t="shared" si="44"/>
        <v>High</v>
      </c>
      <c r="V288" s="14" t="str">
        <f t="shared" si="45"/>
        <v>Normal Discount</v>
      </c>
      <c r="W288" s="16" t="str">
        <f t="shared" si="46"/>
        <v>Excellent</v>
      </c>
      <c r="X288" s="18" t="str" cm="1">
        <f t="array" ref="X288">_xlfn.IFS(O288&gt;7000,"Excellent",O288&gt;4000,"Good",O288&lt;4000,"Average")</f>
        <v>Excellent</v>
      </c>
      <c r="AD288" s="23" t="str">
        <f t="shared" si="47"/>
        <v>Eligible</v>
      </c>
      <c r="AE288" s="24" t="str">
        <f t="shared" si="48"/>
        <v>Online</v>
      </c>
      <c r="AF288" s="27" t="str">
        <f t="shared" si="49"/>
        <v>Priority Order</v>
      </c>
    </row>
    <row r="289" spans="1:32" x14ac:dyDescent="0.3">
      <c r="A289" s="2">
        <v>10288</v>
      </c>
      <c r="B289" s="2">
        <v>1565</v>
      </c>
      <c r="C289" s="3">
        <v>45253</v>
      </c>
      <c r="D289" s="3">
        <v>45256</v>
      </c>
      <c r="E289" s="2" t="s">
        <v>52</v>
      </c>
      <c r="F289" s="2" t="s">
        <v>44</v>
      </c>
      <c r="G289" s="2" t="s">
        <v>23</v>
      </c>
      <c r="H289" s="2" t="s">
        <v>50</v>
      </c>
      <c r="I289" s="2" t="s">
        <v>32</v>
      </c>
      <c r="J289" s="2" t="s">
        <v>42</v>
      </c>
      <c r="K289" s="2" t="s">
        <v>53</v>
      </c>
      <c r="L289" s="2">
        <v>8</v>
      </c>
      <c r="M289" s="2">
        <v>3780.79</v>
      </c>
      <c r="N289" s="2">
        <v>5</v>
      </c>
      <c r="O289" s="2">
        <v>28734</v>
      </c>
      <c r="P289" s="2">
        <f t="shared" si="40"/>
        <v>30246.32</v>
      </c>
      <c r="Q289" s="2">
        <f t="shared" si="41"/>
        <v>1512.316</v>
      </c>
      <c r="R289" s="2">
        <f t="shared" si="42"/>
        <v>28734.004000000001</v>
      </c>
      <c r="S289" s="2" t="str">
        <f t="shared" si="43"/>
        <v>High</v>
      </c>
      <c r="T289" s="2" t="str" cm="1">
        <f t="array" ref="T289">_xlfn.IFS(L289&gt;5,"High",L289=5,"Medium",L289&lt;5,"Low")</f>
        <v>High</v>
      </c>
      <c r="U289" s="2" t="str">
        <f t="shared" si="44"/>
        <v>High</v>
      </c>
      <c r="V289" s="14" t="str">
        <f t="shared" si="45"/>
        <v>Normal Discount</v>
      </c>
      <c r="W289" s="16" t="str">
        <f t="shared" si="46"/>
        <v>Excellent</v>
      </c>
      <c r="X289" s="18" t="str" cm="1">
        <f t="array" ref="X289">_xlfn.IFS(O289&gt;7000,"Excellent",O289&gt;4000,"Good",O289&lt;4000,"Average")</f>
        <v>Excellent</v>
      </c>
      <c r="AD289" s="23" t="str">
        <f t="shared" si="47"/>
        <v>Eligible</v>
      </c>
      <c r="AE289" s="24" t="str">
        <f t="shared" si="48"/>
        <v>Online</v>
      </c>
      <c r="AF289" s="27" t="str">
        <f t="shared" si="49"/>
        <v>Priority Order</v>
      </c>
    </row>
    <row r="290" spans="1:32" x14ac:dyDescent="0.3">
      <c r="A290" s="2">
        <v>10289</v>
      </c>
      <c r="B290" s="2">
        <v>1854</v>
      </c>
      <c r="C290" s="3">
        <v>45012</v>
      </c>
      <c r="D290" s="3">
        <v>45014</v>
      </c>
      <c r="E290" s="2" t="s">
        <v>43</v>
      </c>
      <c r="F290" s="2" t="s">
        <v>60</v>
      </c>
      <c r="G290" s="2" t="s">
        <v>23</v>
      </c>
      <c r="H290" s="2" t="s">
        <v>31</v>
      </c>
      <c r="I290" s="2" t="s">
        <v>63</v>
      </c>
      <c r="J290" s="2" t="s">
        <v>64</v>
      </c>
      <c r="K290" s="2" t="s">
        <v>27</v>
      </c>
      <c r="L290" s="2">
        <v>7</v>
      </c>
      <c r="M290" s="2">
        <v>1396.71</v>
      </c>
      <c r="N290" s="2">
        <v>20</v>
      </c>
      <c r="O290" s="2">
        <v>7821.58</v>
      </c>
      <c r="P290" s="2">
        <f t="shared" si="40"/>
        <v>9776.9700000000012</v>
      </c>
      <c r="Q290" s="2">
        <f t="shared" si="41"/>
        <v>1955.3940000000002</v>
      </c>
      <c r="R290" s="2">
        <f t="shared" si="42"/>
        <v>7821.5760000000009</v>
      </c>
      <c r="S290" s="2" t="str">
        <f t="shared" si="43"/>
        <v>High</v>
      </c>
      <c r="T290" s="2" t="str" cm="1">
        <f t="array" ref="T290">_xlfn.IFS(L290&gt;5,"High",L290=5,"Medium",L290&lt;5,"Low")</f>
        <v>High</v>
      </c>
      <c r="U290" s="2" t="str">
        <f t="shared" si="44"/>
        <v>High</v>
      </c>
      <c r="V290" s="14" t="str">
        <f t="shared" si="45"/>
        <v>Heavy Discount</v>
      </c>
      <c r="W290" s="16" t="str">
        <f t="shared" si="46"/>
        <v>Excellent</v>
      </c>
      <c r="X290" s="18" t="str" cm="1">
        <f t="array" ref="X290">_xlfn.IFS(O290&gt;7000,"Excellent",O290&gt;4000,"Good",O290&lt;4000,"Average")</f>
        <v>Excellent</v>
      </c>
      <c r="AD290" s="23" t="str">
        <f t="shared" si="47"/>
        <v>Not Eligible</v>
      </c>
      <c r="AE290" s="24" t="str">
        <f t="shared" si="48"/>
        <v>Online</v>
      </c>
      <c r="AF290" s="27" t="str">
        <f t="shared" si="49"/>
        <v>Priority Order</v>
      </c>
    </row>
    <row r="291" spans="1:32" x14ac:dyDescent="0.3">
      <c r="A291" s="2">
        <v>10290</v>
      </c>
      <c r="B291" s="2">
        <v>1996</v>
      </c>
      <c r="C291" s="3">
        <v>45215</v>
      </c>
      <c r="D291" s="3">
        <v>45218</v>
      </c>
      <c r="E291" s="2" t="s">
        <v>43</v>
      </c>
      <c r="F291" s="2" t="s">
        <v>47</v>
      </c>
      <c r="G291" s="2" t="s">
        <v>36</v>
      </c>
      <c r="H291" s="2" t="s">
        <v>24</v>
      </c>
      <c r="I291" s="2" t="s">
        <v>25</v>
      </c>
      <c r="J291" s="2" t="s">
        <v>26</v>
      </c>
      <c r="K291" s="2" t="s">
        <v>34</v>
      </c>
      <c r="L291" s="2">
        <v>8</v>
      </c>
      <c r="M291" s="2">
        <v>2695.39</v>
      </c>
      <c r="N291" s="2">
        <v>10</v>
      </c>
      <c r="O291" s="2">
        <v>19406.810000000001</v>
      </c>
      <c r="P291" s="2">
        <f t="shared" si="40"/>
        <v>21563.119999999999</v>
      </c>
      <c r="Q291" s="2">
        <f t="shared" si="41"/>
        <v>2156.3119999999999</v>
      </c>
      <c r="R291" s="2">
        <f t="shared" si="42"/>
        <v>19406.807999999997</v>
      </c>
      <c r="S291" s="2" t="str">
        <f t="shared" si="43"/>
        <v>High</v>
      </c>
      <c r="T291" s="2" t="str" cm="1">
        <f t="array" ref="T291">_xlfn.IFS(L291&gt;5,"High",L291=5,"Medium",L291&lt;5,"Low")</f>
        <v>High</v>
      </c>
      <c r="U291" s="2" t="str">
        <f t="shared" si="44"/>
        <v>High</v>
      </c>
      <c r="V291" s="14" t="str">
        <f t="shared" si="45"/>
        <v>Normal Discount</v>
      </c>
      <c r="W291" s="16" t="str">
        <f t="shared" si="46"/>
        <v>Excellent</v>
      </c>
      <c r="X291" s="18" t="str" cm="1">
        <f t="array" ref="X291">_xlfn.IFS(O291&gt;7000,"Excellent",O291&gt;4000,"Good",O291&lt;4000,"Average")</f>
        <v>Excellent</v>
      </c>
      <c r="AD291" s="23" t="str">
        <f t="shared" si="47"/>
        <v>Not Eligible</v>
      </c>
      <c r="AE291" s="24" t="str">
        <f t="shared" si="48"/>
        <v>Offline</v>
      </c>
      <c r="AF291" s="27" t="str">
        <f t="shared" si="49"/>
        <v>Priority Order</v>
      </c>
    </row>
    <row r="292" spans="1:32" x14ac:dyDescent="0.3">
      <c r="A292" s="2">
        <v>10291</v>
      </c>
      <c r="B292" s="2">
        <v>1735</v>
      </c>
      <c r="C292" s="3">
        <v>45007</v>
      </c>
      <c r="D292" s="3">
        <v>45008</v>
      </c>
      <c r="E292" s="2" t="s">
        <v>21</v>
      </c>
      <c r="F292" s="2" t="s">
        <v>60</v>
      </c>
      <c r="G292" s="2" t="s">
        <v>30</v>
      </c>
      <c r="H292" s="2" t="s">
        <v>31</v>
      </c>
      <c r="I292" s="2" t="s">
        <v>58</v>
      </c>
      <c r="J292" s="2" t="s">
        <v>59</v>
      </c>
      <c r="K292" s="2" t="s">
        <v>39</v>
      </c>
      <c r="L292" s="2">
        <v>9</v>
      </c>
      <c r="M292" s="2">
        <v>2661.11</v>
      </c>
      <c r="N292" s="2">
        <v>10</v>
      </c>
      <c r="O292" s="2">
        <v>21554.99</v>
      </c>
      <c r="P292" s="2">
        <f t="shared" si="40"/>
        <v>23949.99</v>
      </c>
      <c r="Q292" s="2">
        <f t="shared" si="41"/>
        <v>2394.9990000000003</v>
      </c>
      <c r="R292" s="2">
        <f t="shared" si="42"/>
        <v>21554.991000000002</v>
      </c>
      <c r="S292" s="2" t="str">
        <f t="shared" si="43"/>
        <v>High</v>
      </c>
      <c r="T292" s="2" t="str" cm="1">
        <f t="array" ref="T292">_xlfn.IFS(L292&gt;5,"High",L292=5,"Medium",L292&lt;5,"Low")</f>
        <v>High</v>
      </c>
      <c r="U292" s="2" t="str">
        <f t="shared" si="44"/>
        <v>High</v>
      </c>
      <c r="V292" s="14" t="str">
        <f t="shared" si="45"/>
        <v>Normal Discount</v>
      </c>
      <c r="W292" s="16" t="str">
        <f t="shared" si="46"/>
        <v>Excellent</v>
      </c>
      <c r="X292" s="18" t="str" cm="1">
        <f t="array" ref="X292">_xlfn.IFS(O292&gt;7000,"Excellent",O292&gt;4000,"Good",O292&lt;4000,"Average")</f>
        <v>Excellent</v>
      </c>
      <c r="AD292" s="23" t="str">
        <f t="shared" si="47"/>
        <v>Not Eligible</v>
      </c>
      <c r="AE292" s="24" t="str">
        <f t="shared" si="48"/>
        <v>Online</v>
      </c>
      <c r="AF292" s="27" t="str">
        <f t="shared" si="49"/>
        <v>Priority Order</v>
      </c>
    </row>
    <row r="293" spans="1:32" x14ac:dyDescent="0.3">
      <c r="A293" s="2">
        <v>10292</v>
      </c>
      <c r="B293" s="2">
        <v>1224</v>
      </c>
      <c r="C293" s="3">
        <v>45078</v>
      </c>
      <c r="D293" s="3">
        <v>45083</v>
      </c>
      <c r="E293" s="2" t="s">
        <v>28</v>
      </c>
      <c r="F293" s="2" t="s">
        <v>29</v>
      </c>
      <c r="G293" s="2" t="s">
        <v>30</v>
      </c>
      <c r="H293" s="2" t="s">
        <v>41</v>
      </c>
      <c r="I293" s="2" t="s">
        <v>63</v>
      </c>
      <c r="J293" s="2" t="s">
        <v>73</v>
      </c>
      <c r="K293" s="2" t="s">
        <v>27</v>
      </c>
      <c r="L293" s="2">
        <v>6</v>
      </c>
      <c r="M293" s="2">
        <v>1116.6600000000001</v>
      </c>
      <c r="N293" s="2">
        <v>0</v>
      </c>
      <c r="O293" s="2">
        <v>6699.96</v>
      </c>
      <c r="P293" s="2">
        <f t="shared" si="40"/>
        <v>6699.9600000000009</v>
      </c>
      <c r="Q293" s="2">
        <f t="shared" si="41"/>
        <v>0</v>
      </c>
      <c r="R293" s="2">
        <f t="shared" si="42"/>
        <v>6699.9600000000009</v>
      </c>
      <c r="S293" s="2" t="str">
        <f t="shared" si="43"/>
        <v>High</v>
      </c>
      <c r="T293" s="2" t="str" cm="1">
        <f t="array" ref="T293">_xlfn.IFS(L293&gt;5,"High",L293=5,"Medium",L293&lt;5,"Low")</f>
        <v>High</v>
      </c>
      <c r="U293" s="2" t="str">
        <f t="shared" si="44"/>
        <v>High</v>
      </c>
      <c r="V293" s="14" t="str">
        <f t="shared" si="45"/>
        <v>Normal Discount</v>
      </c>
      <c r="W293" s="16" t="str">
        <f t="shared" si="46"/>
        <v>Good</v>
      </c>
      <c r="X293" s="18" t="str" cm="1">
        <f t="array" ref="X293">_xlfn.IFS(O293&gt;7000,"Excellent",O293&gt;4000,"Good",O293&lt;4000,"Average")</f>
        <v>Good</v>
      </c>
      <c r="AD293" s="23" t="str">
        <f t="shared" si="47"/>
        <v>Eligible</v>
      </c>
      <c r="AE293" s="24" t="str">
        <f t="shared" si="48"/>
        <v>Online</v>
      </c>
      <c r="AF293" s="27" t="str">
        <f t="shared" si="49"/>
        <v>Priority Order</v>
      </c>
    </row>
    <row r="294" spans="1:32" x14ac:dyDescent="0.3">
      <c r="A294" s="2">
        <v>10293</v>
      </c>
      <c r="B294" s="2">
        <v>1384</v>
      </c>
      <c r="C294" s="3">
        <v>44987</v>
      </c>
      <c r="D294" s="3">
        <v>44992</v>
      </c>
      <c r="E294" s="2" t="s">
        <v>28</v>
      </c>
      <c r="F294" s="2" t="s">
        <v>29</v>
      </c>
      <c r="G294" s="2" t="s">
        <v>30</v>
      </c>
      <c r="H294" s="2" t="s">
        <v>48</v>
      </c>
      <c r="I294" s="2" t="s">
        <v>32</v>
      </c>
      <c r="J294" s="2" t="s">
        <v>33</v>
      </c>
      <c r="K294" s="2" t="s">
        <v>27</v>
      </c>
      <c r="L294" s="2">
        <v>3</v>
      </c>
      <c r="M294" s="2">
        <v>2654.14</v>
      </c>
      <c r="N294" s="2">
        <v>10</v>
      </c>
      <c r="O294" s="2">
        <v>7166.18</v>
      </c>
      <c r="P294" s="2">
        <f t="shared" si="40"/>
        <v>7962.42</v>
      </c>
      <c r="Q294" s="2">
        <f t="shared" si="41"/>
        <v>796.24200000000008</v>
      </c>
      <c r="R294" s="2">
        <f t="shared" si="42"/>
        <v>7166.1779999999999</v>
      </c>
      <c r="S294" s="2" t="str">
        <f t="shared" si="43"/>
        <v>Low</v>
      </c>
      <c r="T294" s="2" t="str" cm="1">
        <f t="array" ref="T294">_xlfn.IFS(L294&gt;5,"High",L294=5,"Medium",L294&lt;5,"Low")</f>
        <v>Low</v>
      </c>
      <c r="U294" s="2" t="str">
        <f t="shared" si="44"/>
        <v>Low</v>
      </c>
      <c r="V294" s="14" t="str">
        <f t="shared" si="45"/>
        <v>Normal Discount</v>
      </c>
      <c r="W294" s="16" t="str">
        <f t="shared" si="46"/>
        <v>Excellent</v>
      </c>
      <c r="X294" s="18" t="str" cm="1">
        <f t="array" ref="X294">_xlfn.IFS(O294&gt;7000,"Excellent",O294&gt;4000,"Good",O294&lt;4000,"Average")</f>
        <v>Excellent</v>
      </c>
      <c r="AD294" s="23" t="str">
        <f t="shared" si="47"/>
        <v>Not Eligible</v>
      </c>
      <c r="AE294" s="24" t="str">
        <f t="shared" si="48"/>
        <v>Online</v>
      </c>
      <c r="AF294" s="27" t="str">
        <f t="shared" si="49"/>
        <v>Priority Order</v>
      </c>
    </row>
    <row r="295" spans="1:32" x14ac:dyDescent="0.3">
      <c r="A295" s="2">
        <v>10294</v>
      </c>
      <c r="B295" s="2">
        <v>1402</v>
      </c>
      <c r="C295" s="3">
        <v>44987</v>
      </c>
      <c r="D295" s="3">
        <v>44994</v>
      </c>
      <c r="E295" s="2" t="s">
        <v>28</v>
      </c>
      <c r="F295" s="2" t="s">
        <v>22</v>
      </c>
      <c r="G295" s="2" t="s">
        <v>30</v>
      </c>
      <c r="H295" s="2" t="s">
        <v>41</v>
      </c>
      <c r="I295" s="2" t="s">
        <v>25</v>
      </c>
      <c r="J295" s="2" t="s">
        <v>49</v>
      </c>
      <c r="K295" s="2" t="s">
        <v>51</v>
      </c>
      <c r="L295" s="2">
        <v>3</v>
      </c>
      <c r="M295" s="2">
        <v>967.49</v>
      </c>
      <c r="N295" s="2">
        <v>0</v>
      </c>
      <c r="O295" s="2">
        <v>2902.47</v>
      </c>
      <c r="P295" s="2">
        <f t="shared" si="40"/>
        <v>2902.4700000000003</v>
      </c>
      <c r="Q295" s="2">
        <f t="shared" si="41"/>
        <v>0</v>
      </c>
      <c r="R295" s="2">
        <f t="shared" si="42"/>
        <v>2902.4700000000003</v>
      </c>
      <c r="S295" s="2" t="str">
        <f t="shared" si="43"/>
        <v>Low</v>
      </c>
      <c r="T295" s="2" t="str" cm="1">
        <f t="array" ref="T295">_xlfn.IFS(L295&gt;5,"High",L295=5,"Medium",L295&lt;5,"Low")</f>
        <v>Low</v>
      </c>
      <c r="U295" s="2" t="str">
        <f t="shared" si="44"/>
        <v>Low</v>
      </c>
      <c r="V295" s="14" t="str">
        <f t="shared" si="45"/>
        <v>Normal Discount</v>
      </c>
      <c r="W295" s="16" t="str">
        <f t="shared" si="46"/>
        <v>Average</v>
      </c>
      <c r="X295" s="18" t="str" cm="1">
        <f t="array" ref="X295">_xlfn.IFS(O295&gt;7000,"Excellent",O295&gt;4000,"Good",O295&lt;4000,"Average")</f>
        <v>Average</v>
      </c>
      <c r="AD295" s="23" t="str">
        <f t="shared" si="47"/>
        <v>Not Eligible</v>
      </c>
      <c r="AE295" s="24" t="str">
        <f t="shared" si="48"/>
        <v>Online</v>
      </c>
      <c r="AF295" s="27" t="str">
        <f t="shared" si="49"/>
        <v>Normal Order</v>
      </c>
    </row>
    <row r="296" spans="1:32" x14ac:dyDescent="0.3">
      <c r="A296" s="2">
        <v>10295</v>
      </c>
      <c r="B296" s="2">
        <v>1637</v>
      </c>
      <c r="C296" s="3">
        <v>45280</v>
      </c>
      <c r="D296" s="3">
        <v>45284</v>
      </c>
      <c r="E296" s="2" t="s">
        <v>40</v>
      </c>
      <c r="F296" s="2" t="s">
        <v>29</v>
      </c>
      <c r="G296" s="2" t="s">
        <v>30</v>
      </c>
      <c r="H296" s="2" t="s">
        <v>48</v>
      </c>
      <c r="I296" s="2" t="s">
        <v>37</v>
      </c>
      <c r="J296" s="2" t="s">
        <v>54</v>
      </c>
      <c r="K296" s="2" t="s">
        <v>39</v>
      </c>
      <c r="L296" s="2">
        <v>1</v>
      </c>
      <c r="M296" s="2">
        <v>619.73</v>
      </c>
      <c r="N296" s="2">
        <v>0</v>
      </c>
      <c r="O296" s="2">
        <v>619.73</v>
      </c>
      <c r="P296" s="2">
        <f t="shared" si="40"/>
        <v>619.73</v>
      </c>
      <c r="Q296" s="2">
        <f t="shared" si="41"/>
        <v>0</v>
      </c>
      <c r="R296" s="2">
        <f t="shared" si="42"/>
        <v>619.73</v>
      </c>
      <c r="S296" s="2" t="str">
        <f t="shared" si="43"/>
        <v>Low</v>
      </c>
      <c r="T296" s="2" t="str" cm="1">
        <f t="array" ref="T296">_xlfn.IFS(L296&gt;5,"High",L296=5,"Medium",L296&lt;5,"Low")</f>
        <v>Low</v>
      </c>
      <c r="U296" s="2" t="str">
        <f t="shared" si="44"/>
        <v>Low</v>
      </c>
      <c r="V296" s="14" t="str">
        <f t="shared" si="45"/>
        <v>Normal Discount</v>
      </c>
      <c r="W296" s="16" t="str">
        <f t="shared" si="46"/>
        <v>Average</v>
      </c>
      <c r="X296" s="18" t="str" cm="1">
        <f t="array" ref="X296">_xlfn.IFS(O296&gt;7000,"Excellent",O296&gt;4000,"Good",O296&lt;4000,"Average")</f>
        <v>Average</v>
      </c>
      <c r="AD296" s="23" t="str">
        <f t="shared" si="47"/>
        <v>Not Eligible</v>
      </c>
      <c r="AE296" s="24" t="str">
        <f t="shared" si="48"/>
        <v>Online</v>
      </c>
      <c r="AF296" s="27" t="str">
        <f t="shared" si="49"/>
        <v>Normal Order</v>
      </c>
    </row>
    <row r="297" spans="1:32" x14ac:dyDescent="0.3">
      <c r="A297" s="2">
        <v>10296</v>
      </c>
      <c r="B297" s="2">
        <v>1129</v>
      </c>
      <c r="C297" s="3">
        <v>44954</v>
      </c>
      <c r="D297" s="3">
        <v>44957</v>
      </c>
      <c r="E297" s="2" t="s">
        <v>22</v>
      </c>
      <c r="F297" s="2" t="s">
        <v>22</v>
      </c>
      <c r="G297" s="2" t="s">
        <v>23</v>
      </c>
      <c r="H297" s="2" t="s">
        <v>41</v>
      </c>
      <c r="I297" s="2" t="s">
        <v>37</v>
      </c>
      <c r="J297" s="2" t="s">
        <v>54</v>
      </c>
      <c r="K297" s="2" t="s">
        <v>53</v>
      </c>
      <c r="L297" s="2">
        <v>5</v>
      </c>
      <c r="M297" s="2">
        <v>2850.33</v>
      </c>
      <c r="N297" s="2">
        <v>5</v>
      </c>
      <c r="O297" s="2">
        <v>13539.07</v>
      </c>
      <c r="P297" s="2">
        <f t="shared" si="40"/>
        <v>14251.65</v>
      </c>
      <c r="Q297" s="2">
        <f t="shared" si="41"/>
        <v>712.58249999999998</v>
      </c>
      <c r="R297" s="2">
        <f t="shared" si="42"/>
        <v>13539.067499999999</v>
      </c>
      <c r="S297" s="2" t="str">
        <f t="shared" si="43"/>
        <v>High</v>
      </c>
      <c r="T297" s="2" t="str" cm="1">
        <f t="array" ref="T297">_xlfn.IFS(L297&gt;5,"High",L297=5,"Medium",L297&lt;5,"Low")</f>
        <v>Medium</v>
      </c>
      <c r="U297" s="2" t="str">
        <f t="shared" si="44"/>
        <v>Medium</v>
      </c>
      <c r="V297" s="14" t="str">
        <f t="shared" si="45"/>
        <v>Normal Discount</v>
      </c>
      <c r="W297" s="16" t="str">
        <f t="shared" si="46"/>
        <v>Excellent</v>
      </c>
      <c r="X297" s="18" t="str" cm="1">
        <f t="array" ref="X297">_xlfn.IFS(O297&gt;7000,"Excellent",O297&gt;4000,"Good",O297&lt;4000,"Average")</f>
        <v>Excellent</v>
      </c>
      <c r="AD297" s="23" t="str">
        <f t="shared" si="47"/>
        <v>Eligible</v>
      </c>
      <c r="AE297" s="24" t="str">
        <f t="shared" si="48"/>
        <v>Online</v>
      </c>
      <c r="AF297" s="27" t="str">
        <f t="shared" si="49"/>
        <v>Priority Order</v>
      </c>
    </row>
    <row r="298" spans="1:32" x14ac:dyDescent="0.3">
      <c r="A298" s="2">
        <v>10297</v>
      </c>
      <c r="B298" s="2">
        <v>1052</v>
      </c>
      <c r="C298" s="3">
        <v>44969</v>
      </c>
      <c r="D298" s="3">
        <v>44970</v>
      </c>
      <c r="E298" s="2" t="s">
        <v>40</v>
      </c>
      <c r="F298" s="2" t="s">
        <v>35</v>
      </c>
      <c r="G298" s="2" t="s">
        <v>36</v>
      </c>
      <c r="H298" s="2" t="s">
        <v>50</v>
      </c>
      <c r="I298" s="2" t="s">
        <v>25</v>
      </c>
      <c r="J298" s="2" t="s">
        <v>26</v>
      </c>
      <c r="K298" s="2" t="s">
        <v>34</v>
      </c>
      <c r="L298" s="2">
        <v>4</v>
      </c>
      <c r="M298" s="2">
        <v>586.75</v>
      </c>
      <c r="N298" s="2">
        <v>10</v>
      </c>
      <c r="O298" s="2">
        <v>2112.3000000000002</v>
      </c>
      <c r="P298" s="2">
        <f t="shared" si="40"/>
        <v>2347</v>
      </c>
      <c r="Q298" s="2">
        <f t="shared" si="41"/>
        <v>234.70000000000002</v>
      </c>
      <c r="R298" s="2">
        <f t="shared" si="42"/>
        <v>2112.3000000000002</v>
      </c>
      <c r="S298" s="2" t="str">
        <f t="shared" si="43"/>
        <v>Low</v>
      </c>
      <c r="T298" s="2" t="str" cm="1">
        <f t="array" ref="T298">_xlfn.IFS(L298&gt;5,"High",L298=5,"Medium",L298&lt;5,"Low")</f>
        <v>Low</v>
      </c>
      <c r="U298" s="2" t="str">
        <f t="shared" si="44"/>
        <v>Low</v>
      </c>
      <c r="V298" s="14" t="str">
        <f t="shared" si="45"/>
        <v>Normal Discount</v>
      </c>
      <c r="W298" s="16" t="str">
        <f t="shared" si="46"/>
        <v>Average</v>
      </c>
      <c r="X298" s="18" t="str" cm="1">
        <f t="array" ref="X298">_xlfn.IFS(O298&gt;7000,"Excellent",O298&gt;4000,"Good",O298&lt;4000,"Average")</f>
        <v>Average</v>
      </c>
      <c r="AD298" s="23" t="str">
        <f t="shared" si="47"/>
        <v>Not Eligible</v>
      </c>
      <c r="AE298" s="24" t="str">
        <f t="shared" si="48"/>
        <v>Offline</v>
      </c>
      <c r="AF298" s="27" t="str">
        <f t="shared" si="49"/>
        <v>Normal Order</v>
      </c>
    </row>
    <row r="299" spans="1:32" x14ac:dyDescent="0.3">
      <c r="A299" s="2">
        <v>10298</v>
      </c>
      <c r="B299" s="2">
        <v>1683</v>
      </c>
      <c r="C299" s="3">
        <v>45095</v>
      </c>
      <c r="D299" s="3">
        <v>45103</v>
      </c>
      <c r="E299" s="2" t="s">
        <v>46</v>
      </c>
      <c r="F299" s="2" t="s">
        <v>60</v>
      </c>
      <c r="G299" s="2" t="s">
        <v>30</v>
      </c>
      <c r="H299" s="2" t="s">
        <v>31</v>
      </c>
      <c r="I299" s="2" t="s">
        <v>32</v>
      </c>
      <c r="J299" s="2" t="s">
        <v>42</v>
      </c>
      <c r="K299" s="2" t="s">
        <v>53</v>
      </c>
      <c r="L299" s="2">
        <v>9</v>
      </c>
      <c r="M299" s="2">
        <v>3988.1</v>
      </c>
      <c r="N299" s="2">
        <v>0</v>
      </c>
      <c r="O299" s="2">
        <v>35892.9</v>
      </c>
      <c r="P299" s="2">
        <f t="shared" si="40"/>
        <v>35892.9</v>
      </c>
      <c r="Q299" s="2">
        <f t="shared" si="41"/>
        <v>0</v>
      </c>
      <c r="R299" s="2">
        <f t="shared" si="42"/>
        <v>35892.9</v>
      </c>
      <c r="S299" s="2" t="str">
        <f t="shared" si="43"/>
        <v>High</v>
      </c>
      <c r="T299" s="2" t="str" cm="1">
        <f t="array" ref="T299">_xlfn.IFS(L299&gt;5,"High",L299=5,"Medium",L299&lt;5,"Low")</f>
        <v>High</v>
      </c>
      <c r="U299" s="2" t="str">
        <f t="shared" si="44"/>
        <v>High</v>
      </c>
      <c r="V299" s="14" t="str">
        <f t="shared" si="45"/>
        <v>Normal Discount</v>
      </c>
      <c r="W299" s="16" t="str">
        <f t="shared" si="46"/>
        <v>Excellent</v>
      </c>
      <c r="X299" s="18" t="str" cm="1">
        <f t="array" ref="X299">_xlfn.IFS(O299&gt;7000,"Excellent",O299&gt;4000,"Good",O299&lt;4000,"Average")</f>
        <v>Excellent</v>
      </c>
      <c r="AD299" s="23" t="str">
        <f t="shared" si="47"/>
        <v>Eligible</v>
      </c>
      <c r="AE299" s="24" t="str">
        <f t="shared" si="48"/>
        <v>Online</v>
      </c>
      <c r="AF299" s="27" t="str">
        <f t="shared" si="49"/>
        <v>Priority Order</v>
      </c>
    </row>
    <row r="300" spans="1:32" x14ac:dyDescent="0.3">
      <c r="A300" s="2">
        <v>10299</v>
      </c>
      <c r="B300" s="2">
        <v>1729</v>
      </c>
      <c r="C300" s="3">
        <v>45012</v>
      </c>
      <c r="D300" s="3">
        <v>45015</v>
      </c>
      <c r="E300" s="2" t="s">
        <v>46</v>
      </c>
      <c r="F300" s="2" t="s">
        <v>35</v>
      </c>
      <c r="G300" s="2" t="s">
        <v>36</v>
      </c>
      <c r="H300" s="2" t="s">
        <v>48</v>
      </c>
      <c r="I300" s="2" t="s">
        <v>25</v>
      </c>
      <c r="J300" s="2" t="s">
        <v>49</v>
      </c>
      <c r="K300" s="2" t="s">
        <v>39</v>
      </c>
      <c r="L300" s="2">
        <v>9</v>
      </c>
      <c r="M300" s="2">
        <v>856.29</v>
      </c>
      <c r="N300" s="2">
        <v>5</v>
      </c>
      <c r="O300" s="2">
        <v>7321.28</v>
      </c>
      <c r="P300" s="2">
        <f t="shared" si="40"/>
        <v>7706.61</v>
      </c>
      <c r="Q300" s="2">
        <f t="shared" si="41"/>
        <v>385.33050000000003</v>
      </c>
      <c r="R300" s="2">
        <f t="shared" si="42"/>
        <v>7321.2794999999996</v>
      </c>
      <c r="S300" s="2" t="str">
        <f t="shared" si="43"/>
        <v>High</v>
      </c>
      <c r="T300" s="2" t="str" cm="1">
        <f t="array" ref="T300">_xlfn.IFS(L300&gt;5,"High",L300=5,"Medium",L300&lt;5,"Low")</f>
        <v>High</v>
      </c>
      <c r="U300" s="2" t="str">
        <f t="shared" si="44"/>
        <v>High</v>
      </c>
      <c r="V300" s="14" t="str">
        <f t="shared" si="45"/>
        <v>Normal Discount</v>
      </c>
      <c r="W300" s="16" t="str">
        <f t="shared" si="46"/>
        <v>Excellent</v>
      </c>
      <c r="X300" s="18" t="str" cm="1">
        <f t="array" ref="X300">_xlfn.IFS(O300&gt;7000,"Excellent",O300&gt;4000,"Good",O300&lt;4000,"Average")</f>
        <v>Excellent</v>
      </c>
      <c r="AD300" s="23" t="str">
        <f t="shared" si="47"/>
        <v>Eligible</v>
      </c>
      <c r="AE300" s="24" t="str">
        <f t="shared" si="48"/>
        <v>Offline</v>
      </c>
      <c r="AF300" s="27" t="str">
        <f t="shared" si="49"/>
        <v>Priority Order</v>
      </c>
    </row>
    <row r="301" spans="1:32" x14ac:dyDescent="0.3">
      <c r="A301" s="2">
        <v>10300</v>
      </c>
      <c r="B301" s="2">
        <v>1671</v>
      </c>
      <c r="C301" s="3">
        <v>45103</v>
      </c>
      <c r="D301" s="3">
        <v>45105</v>
      </c>
      <c r="E301" s="2" t="s">
        <v>22</v>
      </c>
      <c r="F301" s="2" t="s">
        <v>29</v>
      </c>
      <c r="G301" s="2" t="s">
        <v>36</v>
      </c>
      <c r="H301" s="2" t="s">
        <v>24</v>
      </c>
      <c r="I301" s="2" t="s">
        <v>58</v>
      </c>
      <c r="J301" s="2" t="s">
        <v>59</v>
      </c>
      <c r="K301" s="2" t="s">
        <v>27</v>
      </c>
      <c r="L301" s="2">
        <v>5</v>
      </c>
      <c r="M301" s="2">
        <v>2437.4499999999998</v>
      </c>
      <c r="N301" s="2">
        <v>15</v>
      </c>
      <c r="O301" s="2">
        <v>10359.16</v>
      </c>
      <c r="P301" s="2">
        <f t="shared" si="40"/>
        <v>12187.25</v>
      </c>
      <c r="Q301" s="2">
        <f t="shared" si="41"/>
        <v>1828.0874999999999</v>
      </c>
      <c r="R301" s="2">
        <f t="shared" si="42"/>
        <v>10359.1625</v>
      </c>
      <c r="S301" s="2" t="str">
        <f t="shared" si="43"/>
        <v>High</v>
      </c>
      <c r="T301" s="2" t="str" cm="1">
        <f t="array" ref="T301">_xlfn.IFS(L301&gt;5,"High",L301=5,"Medium",L301&lt;5,"Low")</f>
        <v>Medium</v>
      </c>
      <c r="U301" s="2" t="str">
        <f t="shared" si="44"/>
        <v>Medium</v>
      </c>
      <c r="V301" s="14" t="str">
        <f t="shared" si="45"/>
        <v>Heavy Discount</v>
      </c>
      <c r="W301" s="16" t="str">
        <f t="shared" si="46"/>
        <v>Excellent</v>
      </c>
      <c r="X301" s="18" t="str" cm="1">
        <f t="array" ref="X301">_xlfn.IFS(O301&gt;7000,"Excellent",O301&gt;4000,"Good",O301&lt;4000,"Average")</f>
        <v>Excellent</v>
      </c>
      <c r="AD301" s="23" t="str">
        <f t="shared" si="47"/>
        <v>Not Eligible</v>
      </c>
      <c r="AE301" s="24" t="str">
        <f t="shared" si="48"/>
        <v>Offline</v>
      </c>
      <c r="AF301" s="27" t="str">
        <f t="shared" si="49"/>
        <v>Priority Order</v>
      </c>
    </row>
    <row r="302" spans="1:32" x14ac:dyDescent="0.3">
      <c r="A302" s="2">
        <v>10301</v>
      </c>
      <c r="B302" s="2">
        <v>1709</v>
      </c>
      <c r="C302" s="3">
        <v>44943</v>
      </c>
      <c r="D302" s="3">
        <v>44947</v>
      </c>
      <c r="E302" s="2" t="s">
        <v>21</v>
      </c>
      <c r="F302" s="2" t="s">
        <v>35</v>
      </c>
      <c r="G302" s="2" t="s">
        <v>23</v>
      </c>
      <c r="H302" s="2" t="s">
        <v>31</v>
      </c>
      <c r="I302" s="2" t="s">
        <v>58</v>
      </c>
      <c r="J302" s="2" t="s">
        <v>59</v>
      </c>
      <c r="K302" s="2" t="s">
        <v>27</v>
      </c>
      <c r="L302" s="2">
        <v>4</v>
      </c>
      <c r="M302" s="2">
        <v>1733.79</v>
      </c>
      <c r="N302" s="2">
        <v>5</v>
      </c>
      <c r="O302" s="2">
        <v>6588.4</v>
      </c>
      <c r="P302" s="2">
        <f t="shared" si="40"/>
        <v>6935.16</v>
      </c>
      <c r="Q302" s="2">
        <f t="shared" si="41"/>
        <v>346.75800000000004</v>
      </c>
      <c r="R302" s="2">
        <f t="shared" si="42"/>
        <v>6588.402</v>
      </c>
      <c r="S302" s="2" t="str">
        <f t="shared" si="43"/>
        <v>Low</v>
      </c>
      <c r="T302" s="2" t="str" cm="1">
        <f t="array" ref="T302">_xlfn.IFS(L302&gt;5,"High",L302=5,"Medium",L302&lt;5,"Low")</f>
        <v>Low</v>
      </c>
      <c r="U302" s="2" t="str">
        <f t="shared" si="44"/>
        <v>Low</v>
      </c>
      <c r="V302" s="14" t="str">
        <f t="shared" si="45"/>
        <v>Normal Discount</v>
      </c>
      <c r="W302" s="16" t="str">
        <f t="shared" si="46"/>
        <v>Good</v>
      </c>
      <c r="X302" s="18" t="str" cm="1">
        <f t="array" ref="X302">_xlfn.IFS(O302&gt;7000,"Excellent",O302&gt;4000,"Good",O302&lt;4000,"Average")</f>
        <v>Good</v>
      </c>
      <c r="AD302" s="23" t="str">
        <f t="shared" si="47"/>
        <v>Eligible</v>
      </c>
      <c r="AE302" s="24" t="str">
        <f t="shared" si="48"/>
        <v>Online</v>
      </c>
      <c r="AF302" s="27" t="str">
        <f t="shared" si="49"/>
        <v>Normal Order</v>
      </c>
    </row>
    <row r="303" spans="1:32" x14ac:dyDescent="0.3">
      <c r="A303" s="2">
        <v>10302</v>
      </c>
      <c r="B303" s="2">
        <v>1415</v>
      </c>
      <c r="C303" s="3">
        <v>45024</v>
      </c>
      <c r="D303" s="3">
        <v>45027</v>
      </c>
      <c r="E303" s="2" t="s">
        <v>22</v>
      </c>
      <c r="F303" s="2" t="s">
        <v>35</v>
      </c>
      <c r="G303" s="2" t="s">
        <v>30</v>
      </c>
      <c r="H303" s="2" t="s">
        <v>24</v>
      </c>
      <c r="I303" s="2" t="s">
        <v>37</v>
      </c>
      <c r="J303" s="2" t="s">
        <v>71</v>
      </c>
      <c r="K303" s="2" t="s">
        <v>39</v>
      </c>
      <c r="L303" s="2">
        <v>7</v>
      </c>
      <c r="M303" s="2">
        <v>636.59</v>
      </c>
      <c r="N303" s="2">
        <v>5</v>
      </c>
      <c r="O303" s="2">
        <v>4233.32</v>
      </c>
      <c r="P303" s="2">
        <f t="shared" si="40"/>
        <v>4456.13</v>
      </c>
      <c r="Q303" s="2">
        <f t="shared" si="41"/>
        <v>222.80650000000003</v>
      </c>
      <c r="R303" s="2">
        <f t="shared" si="42"/>
        <v>4233.3235000000004</v>
      </c>
      <c r="S303" s="2" t="str">
        <f t="shared" si="43"/>
        <v>High</v>
      </c>
      <c r="T303" s="2" t="str" cm="1">
        <f t="array" ref="T303">_xlfn.IFS(L303&gt;5,"High",L303=5,"Medium",L303&lt;5,"Low")</f>
        <v>High</v>
      </c>
      <c r="U303" s="2" t="str">
        <f t="shared" si="44"/>
        <v>High</v>
      </c>
      <c r="V303" s="14" t="str">
        <f t="shared" si="45"/>
        <v>Normal Discount</v>
      </c>
      <c r="W303" s="16" t="str">
        <f t="shared" si="46"/>
        <v>Good</v>
      </c>
      <c r="X303" s="18" t="str" cm="1">
        <f t="array" ref="X303">_xlfn.IFS(O303&gt;7000,"Excellent",O303&gt;4000,"Good",O303&lt;4000,"Average")</f>
        <v>Good</v>
      </c>
      <c r="AD303" s="23" t="str">
        <f t="shared" si="47"/>
        <v>Not Eligible</v>
      </c>
      <c r="AE303" s="24" t="str">
        <f t="shared" si="48"/>
        <v>Online</v>
      </c>
      <c r="AF303" s="27" t="str">
        <f t="shared" si="49"/>
        <v>Priority Order</v>
      </c>
    </row>
    <row r="304" spans="1:32" x14ac:dyDescent="0.3">
      <c r="A304" s="2">
        <v>10303</v>
      </c>
      <c r="B304" s="2">
        <v>1246</v>
      </c>
      <c r="C304" s="3">
        <v>45124</v>
      </c>
      <c r="D304" s="3">
        <v>45125</v>
      </c>
      <c r="E304" s="2" t="s">
        <v>43</v>
      </c>
      <c r="F304" s="2" t="s">
        <v>35</v>
      </c>
      <c r="G304" s="2" t="s">
        <v>23</v>
      </c>
      <c r="H304" s="2" t="s">
        <v>31</v>
      </c>
      <c r="I304" s="2" t="s">
        <v>63</v>
      </c>
      <c r="J304" s="2" t="s">
        <v>73</v>
      </c>
      <c r="K304" s="2" t="s">
        <v>27</v>
      </c>
      <c r="L304" s="2">
        <v>6</v>
      </c>
      <c r="M304" s="2">
        <v>257.2</v>
      </c>
      <c r="N304" s="2">
        <v>0</v>
      </c>
      <c r="O304" s="2">
        <v>1543.2</v>
      </c>
      <c r="P304" s="2">
        <f t="shared" si="40"/>
        <v>1543.1999999999998</v>
      </c>
      <c r="Q304" s="2">
        <f t="shared" si="41"/>
        <v>0</v>
      </c>
      <c r="R304" s="2">
        <f t="shared" si="42"/>
        <v>1543.1999999999998</v>
      </c>
      <c r="S304" s="2" t="str">
        <f t="shared" si="43"/>
        <v>High</v>
      </c>
      <c r="T304" s="2" t="str" cm="1">
        <f t="array" ref="T304">_xlfn.IFS(L304&gt;5,"High",L304=5,"Medium",L304&lt;5,"Low")</f>
        <v>High</v>
      </c>
      <c r="U304" s="2" t="str">
        <f t="shared" si="44"/>
        <v>High</v>
      </c>
      <c r="V304" s="14" t="str">
        <f t="shared" si="45"/>
        <v>Normal Discount</v>
      </c>
      <c r="W304" s="16" t="str">
        <f t="shared" si="46"/>
        <v>Average</v>
      </c>
      <c r="X304" s="18" t="str" cm="1">
        <f t="array" ref="X304">_xlfn.IFS(O304&gt;7000,"Excellent",O304&gt;4000,"Good",O304&lt;4000,"Average")</f>
        <v>Average</v>
      </c>
      <c r="AD304" s="23" t="str">
        <f t="shared" si="47"/>
        <v>Not Eligible</v>
      </c>
      <c r="AE304" s="24" t="str">
        <f t="shared" si="48"/>
        <v>Online</v>
      </c>
      <c r="AF304" s="27" t="str">
        <f t="shared" si="49"/>
        <v>Priority Order</v>
      </c>
    </row>
    <row r="305" spans="1:32" x14ac:dyDescent="0.3">
      <c r="A305" s="2">
        <v>10304</v>
      </c>
      <c r="B305" s="2">
        <v>1835</v>
      </c>
      <c r="C305" s="3">
        <v>45024</v>
      </c>
      <c r="D305" s="3">
        <v>45027</v>
      </c>
      <c r="E305" s="2" t="s">
        <v>46</v>
      </c>
      <c r="F305" s="2" t="s">
        <v>29</v>
      </c>
      <c r="G305" s="2" t="s">
        <v>30</v>
      </c>
      <c r="H305" s="2" t="s">
        <v>31</v>
      </c>
      <c r="I305" s="2" t="s">
        <v>32</v>
      </c>
      <c r="J305" s="2" t="s">
        <v>67</v>
      </c>
      <c r="K305" s="2" t="s">
        <v>27</v>
      </c>
      <c r="L305" s="2">
        <v>4</v>
      </c>
      <c r="M305" s="2">
        <v>2547.52</v>
      </c>
      <c r="N305" s="2">
        <v>20</v>
      </c>
      <c r="O305" s="2">
        <v>8152.06</v>
      </c>
      <c r="P305" s="2">
        <f t="shared" si="40"/>
        <v>10190.08</v>
      </c>
      <c r="Q305" s="2">
        <f t="shared" si="41"/>
        <v>2038.0160000000001</v>
      </c>
      <c r="R305" s="2">
        <f t="shared" si="42"/>
        <v>8152.0640000000003</v>
      </c>
      <c r="S305" s="2" t="str">
        <f t="shared" si="43"/>
        <v>Low</v>
      </c>
      <c r="T305" s="2" t="str" cm="1">
        <f t="array" ref="T305">_xlfn.IFS(L305&gt;5,"High",L305=5,"Medium",L305&lt;5,"Low")</f>
        <v>Low</v>
      </c>
      <c r="U305" s="2" t="str">
        <f t="shared" si="44"/>
        <v>Low</v>
      </c>
      <c r="V305" s="14" t="str">
        <f t="shared" si="45"/>
        <v>Heavy Discount</v>
      </c>
      <c r="W305" s="16" t="str">
        <f t="shared" si="46"/>
        <v>Excellent</v>
      </c>
      <c r="X305" s="18" t="str" cm="1">
        <f t="array" ref="X305">_xlfn.IFS(O305&gt;7000,"Excellent",O305&gt;4000,"Good",O305&lt;4000,"Average")</f>
        <v>Excellent</v>
      </c>
      <c r="AD305" s="23" t="str">
        <f t="shared" si="47"/>
        <v>Not Eligible</v>
      </c>
      <c r="AE305" s="24" t="str">
        <f t="shared" si="48"/>
        <v>Online</v>
      </c>
      <c r="AF305" s="27" t="str">
        <f t="shared" si="49"/>
        <v>Priority Order</v>
      </c>
    </row>
    <row r="306" spans="1:32" x14ac:dyDescent="0.3">
      <c r="A306" s="2">
        <v>10305</v>
      </c>
      <c r="B306" s="2">
        <v>1438</v>
      </c>
      <c r="C306" s="3">
        <v>44991</v>
      </c>
      <c r="D306" s="3">
        <v>44993</v>
      </c>
      <c r="E306" s="2" t="s">
        <v>52</v>
      </c>
      <c r="F306" s="2" t="s">
        <v>47</v>
      </c>
      <c r="G306" s="2" t="s">
        <v>23</v>
      </c>
      <c r="H306" s="2" t="s">
        <v>41</v>
      </c>
      <c r="I306" s="2" t="s">
        <v>37</v>
      </c>
      <c r="J306" s="2" t="s">
        <v>54</v>
      </c>
      <c r="K306" s="2" t="s">
        <v>27</v>
      </c>
      <c r="L306" s="2">
        <v>2</v>
      </c>
      <c r="M306" s="2">
        <v>3256.02</v>
      </c>
      <c r="N306" s="2">
        <v>20</v>
      </c>
      <c r="O306" s="2">
        <v>5209.63</v>
      </c>
      <c r="P306" s="2">
        <f t="shared" si="40"/>
        <v>6512.04</v>
      </c>
      <c r="Q306" s="2">
        <f t="shared" si="41"/>
        <v>1302.4080000000001</v>
      </c>
      <c r="R306" s="2">
        <f t="shared" si="42"/>
        <v>5209.6319999999996</v>
      </c>
      <c r="S306" s="2" t="str">
        <f t="shared" si="43"/>
        <v>Low</v>
      </c>
      <c r="T306" s="2" t="str" cm="1">
        <f t="array" ref="T306">_xlfn.IFS(L306&gt;5,"High",L306=5,"Medium",L306&lt;5,"Low")</f>
        <v>Low</v>
      </c>
      <c r="U306" s="2" t="str">
        <f t="shared" si="44"/>
        <v>Low</v>
      </c>
      <c r="V306" s="14" t="str">
        <f t="shared" si="45"/>
        <v>Heavy Discount</v>
      </c>
      <c r="W306" s="16" t="str">
        <f t="shared" si="46"/>
        <v>Good</v>
      </c>
      <c r="X306" s="18" t="str" cm="1">
        <f t="array" ref="X306">_xlfn.IFS(O306&gt;7000,"Excellent",O306&gt;4000,"Good",O306&lt;4000,"Average")</f>
        <v>Good</v>
      </c>
      <c r="AD306" s="23" t="str">
        <f t="shared" si="47"/>
        <v>Not Eligible</v>
      </c>
      <c r="AE306" s="24" t="str">
        <f t="shared" si="48"/>
        <v>Online</v>
      </c>
      <c r="AF306" s="27" t="str">
        <f t="shared" si="49"/>
        <v>Normal Order</v>
      </c>
    </row>
    <row r="307" spans="1:32" x14ac:dyDescent="0.3">
      <c r="A307" s="2">
        <v>10306</v>
      </c>
      <c r="B307" s="2">
        <v>1202</v>
      </c>
      <c r="C307" s="3">
        <v>45256</v>
      </c>
      <c r="D307" s="3">
        <v>45264</v>
      </c>
      <c r="E307" s="2" t="s">
        <v>52</v>
      </c>
      <c r="F307" s="2" t="s">
        <v>35</v>
      </c>
      <c r="G307" s="2" t="s">
        <v>36</v>
      </c>
      <c r="H307" s="2" t="s">
        <v>48</v>
      </c>
      <c r="I307" s="2" t="s">
        <v>63</v>
      </c>
      <c r="J307" s="2" t="s">
        <v>68</v>
      </c>
      <c r="K307" s="2" t="s">
        <v>34</v>
      </c>
      <c r="L307" s="2">
        <v>1</v>
      </c>
      <c r="M307" s="2">
        <v>3391.76</v>
      </c>
      <c r="N307" s="2">
        <v>20</v>
      </c>
      <c r="O307" s="2">
        <v>2713.41</v>
      </c>
      <c r="P307" s="2">
        <f t="shared" si="40"/>
        <v>3391.76</v>
      </c>
      <c r="Q307" s="2">
        <f t="shared" si="41"/>
        <v>678.35200000000009</v>
      </c>
      <c r="R307" s="2">
        <f t="shared" si="42"/>
        <v>2713.4080000000004</v>
      </c>
      <c r="S307" s="2" t="str">
        <f t="shared" si="43"/>
        <v>Low</v>
      </c>
      <c r="T307" s="2" t="str" cm="1">
        <f t="array" ref="T307">_xlfn.IFS(L307&gt;5,"High",L307=5,"Medium",L307&lt;5,"Low")</f>
        <v>Low</v>
      </c>
      <c r="U307" s="2" t="str">
        <f t="shared" si="44"/>
        <v>Low</v>
      </c>
      <c r="V307" s="14" t="str">
        <f t="shared" si="45"/>
        <v>Heavy Discount</v>
      </c>
      <c r="W307" s="16" t="str">
        <f t="shared" si="46"/>
        <v>Average</v>
      </c>
      <c r="X307" s="18" t="str" cm="1">
        <f t="array" ref="X307">_xlfn.IFS(O307&gt;7000,"Excellent",O307&gt;4000,"Good",O307&lt;4000,"Average")</f>
        <v>Average</v>
      </c>
      <c r="AD307" s="23" t="str">
        <f t="shared" si="47"/>
        <v>Not Eligible</v>
      </c>
      <c r="AE307" s="24" t="str">
        <f t="shared" si="48"/>
        <v>Offline</v>
      </c>
      <c r="AF307" s="27" t="str">
        <f t="shared" si="49"/>
        <v>Normal Order</v>
      </c>
    </row>
    <row r="308" spans="1:32" x14ac:dyDescent="0.3">
      <c r="A308" s="2">
        <v>10307</v>
      </c>
      <c r="B308" s="2">
        <v>1183</v>
      </c>
      <c r="C308" s="3">
        <v>45267</v>
      </c>
      <c r="D308" s="3">
        <v>45273</v>
      </c>
      <c r="E308" s="2" t="s">
        <v>21</v>
      </c>
      <c r="F308" s="2" t="s">
        <v>22</v>
      </c>
      <c r="G308" s="2" t="s">
        <v>30</v>
      </c>
      <c r="H308" s="2" t="s">
        <v>48</v>
      </c>
      <c r="I308" s="2" t="s">
        <v>63</v>
      </c>
      <c r="J308" s="2" t="s">
        <v>64</v>
      </c>
      <c r="K308" s="2" t="s">
        <v>34</v>
      </c>
      <c r="L308" s="2">
        <v>4</v>
      </c>
      <c r="M308" s="2">
        <v>2008.45</v>
      </c>
      <c r="N308" s="2">
        <v>5</v>
      </c>
      <c r="O308" s="2">
        <v>7632.11</v>
      </c>
      <c r="P308" s="2">
        <f t="shared" si="40"/>
        <v>8033.8</v>
      </c>
      <c r="Q308" s="2">
        <f t="shared" si="41"/>
        <v>401.69000000000005</v>
      </c>
      <c r="R308" s="2">
        <f t="shared" si="42"/>
        <v>7632.1100000000006</v>
      </c>
      <c r="S308" s="2" t="str">
        <f t="shared" si="43"/>
        <v>Low</v>
      </c>
      <c r="T308" s="2" t="str" cm="1">
        <f t="array" ref="T308">_xlfn.IFS(L308&gt;5,"High",L308=5,"Medium",L308&lt;5,"Low")</f>
        <v>Low</v>
      </c>
      <c r="U308" s="2" t="str">
        <f t="shared" si="44"/>
        <v>Low</v>
      </c>
      <c r="V308" s="14" t="str">
        <f t="shared" si="45"/>
        <v>Normal Discount</v>
      </c>
      <c r="W308" s="16" t="str">
        <f t="shared" si="46"/>
        <v>Excellent</v>
      </c>
      <c r="X308" s="18" t="str" cm="1">
        <f t="array" ref="X308">_xlfn.IFS(O308&gt;7000,"Excellent",O308&gt;4000,"Good",O308&lt;4000,"Average")</f>
        <v>Excellent</v>
      </c>
      <c r="AD308" s="23" t="str">
        <f t="shared" si="47"/>
        <v>Eligible</v>
      </c>
      <c r="AE308" s="24" t="str">
        <f t="shared" si="48"/>
        <v>Online</v>
      </c>
      <c r="AF308" s="27" t="str">
        <f t="shared" si="49"/>
        <v>Priority Order</v>
      </c>
    </row>
    <row r="309" spans="1:32" x14ac:dyDescent="0.3">
      <c r="A309" s="2">
        <v>10308</v>
      </c>
      <c r="B309" s="2">
        <v>1122</v>
      </c>
      <c r="C309" s="3">
        <v>44931</v>
      </c>
      <c r="D309" s="3">
        <v>44940</v>
      </c>
      <c r="E309" s="2" t="s">
        <v>43</v>
      </c>
      <c r="F309" s="2" t="s">
        <v>29</v>
      </c>
      <c r="G309" s="2" t="s">
        <v>36</v>
      </c>
      <c r="H309" s="2" t="s">
        <v>31</v>
      </c>
      <c r="I309" s="2" t="s">
        <v>58</v>
      </c>
      <c r="J309" s="2" t="s">
        <v>59</v>
      </c>
      <c r="K309" s="2" t="s">
        <v>51</v>
      </c>
      <c r="L309" s="2">
        <v>4</v>
      </c>
      <c r="M309" s="2">
        <v>3143.2</v>
      </c>
      <c r="N309" s="2">
        <v>0</v>
      </c>
      <c r="O309" s="2">
        <v>12572.8</v>
      </c>
      <c r="P309" s="2">
        <f t="shared" si="40"/>
        <v>12572.8</v>
      </c>
      <c r="Q309" s="2">
        <f t="shared" si="41"/>
        <v>0</v>
      </c>
      <c r="R309" s="2">
        <f t="shared" si="42"/>
        <v>12572.8</v>
      </c>
      <c r="S309" s="2" t="str">
        <f t="shared" si="43"/>
        <v>Low</v>
      </c>
      <c r="T309" s="2" t="str" cm="1">
        <f t="array" ref="T309">_xlfn.IFS(L309&gt;5,"High",L309=5,"Medium",L309&lt;5,"Low")</f>
        <v>Low</v>
      </c>
      <c r="U309" s="2" t="str">
        <f t="shared" si="44"/>
        <v>Low</v>
      </c>
      <c r="V309" s="14" t="str">
        <f t="shared" si="45"/>
        <v>Normal Discount</v>
      </c>
      <c r="W309" s="16" t="str">
        <f t="shared" si="46"/>
        <v>Excellent</v>
      </c>
      <c r="X309" s="18" t="str" cm="1">
        <f t="array" ref="X309">_xlfn.IFS(O309&gt;7000,"Excellent",O309&gt;4000,"Good",O309&lt;4000,"Average")</f>
        <v>Excellent</v>
      </c>
      <c r="AD309" s="23" t="str">
        <f t="shared" si="47"/>
        <v>Eligible</v>
      </c>
      <c r="AE309" s="24" t="str">
        <f t="shared" si="48"/>
        <v>Offline</v>
      </c>
      <c r="AF309" s="27" t="str">
        <f t="shared" si="49"/>
        <v>Priority Order</v>
      </c>
    </row>
    <row r="310" spans="1:32" x14ac:dyDescent="0.3">
      <c r="A310" s="2">
        <v>10309</v>
      </c>
      <c r="B310" s="2">
        <v>1400</v>
      </c>
      <c r="C310" s="3">
        <v>44928</v>
      </c>
      <c r="D310" s="3">
        <v>44936</v>
      </c>
      <c r="E310" s="2" t="s">
        <v>40</v>
      </c>
      <c r="F310" s="2" t="s">
        <v>35</v>
      </c>
      <c r="G310" s="2" t="s">
        <v>36</v>
      </c>
      <c r="H310" s="2" t="s">
        <v>50</v>
      </c>
      <c r="I310" s="2" t="s">
        <v>55</v>
      </c>
      <c r="J310" s="2" t="s">
        <v>57</v>
      </c>
      <c r="K310" s="2" t="s">
        <v>53</v>
      </c>
      <c r="L310" s="2">
        <v>1</v>
      </c>
      <c r="M310" s="2">
        <v>2740.46</v>
      </c>
      <c r="N310" s="2">
        <v>10</v>
      </c>
      <c r="O310" s="2">
        <v>2466.41</v>
      </c>
      <c r="P310" s="2">
        <f t="shared" si="40"/>
        <v>2740.46</v>
      </c>
      <c r="Q310" s="2">
        <f t="shared" si="41"/>
        <v>274.04599999999999</v>
      </c>
      <c r="R310" s="2">
        <f t="shared" si="42"/>
        <v>2466.4140000000002</v>
      </c>
      <c r="S310" s="2" t="str">
        <f t="shared" si="43"/>
        <v>Low</v>
      </c>
      <c r="T310" s="2" t="str" cm="1">
        <f t="array" ref="T310">_xlfn.IFS(L310&gt;5,"High",L310=5,"Medium",L310&lt;5,"Low")</f>
        <v>Low</v>
      </c>
      <c r="U310" s="2" t="str">
        <f t="shared" si="44"/>
        <v>Low</v>
      </c>
      <c r="V310" s="14" t="str">
        <f t="shared" si="45"/>
        <v>Normal Discount</v>
      </c>
      <c r="W310" s="16" t="str">
        <f t="shared" si="46"/>
        <v>Average</v>
      </c>
      <c r="X310" s="18" t="str" cm="1">
        <f t="array" ref="X310">_xlfn.IFS(O310&gt;7000,"Excellent",O310&gt;4000,"Good",O310&lt;4000,"Average")</f>
        <v>Average</v>
      </c>
      <c r="AD310" s="23" t="str">
        <f t="shared" si="47"/>
        <v>Not Eligible</v>
      </c>
      <c r="AE310" s="24" t="str">
        <f t="shared" si="48"/>
        <v>Offline</v>
      </c>
      <c r="AF310" s="27" t="str">
        <f t="shared" si="49"/>
        <v>Normal Order</v>
      </c>
    </row>
    <row r="311" spans="1:32" x14ac:dyDescent="0.3">
      <c r="A311" s="2">
        <v>10310</v>
      </c>
      <c r="B311" s="2">
        <v>1766</v>
      </c>
      <c r="C311" s="3">
        <v>44948</v>
      </c>
      <c r="D311" s="3">
        <v>44951</v>
      </c>
      <c r="E311" s="2" t="s">
        <v>43</v>
      </c>
      <c r="F311" s="2" t="s">
        <v>47</v>
      </c>
      <c r="G311" s="2" t="s">
        <v>23</v>
      </c>
      <c r="H311" s="2" t="s">
        <v>50</v>
      </c>
      <c r="I311" s="2" t="s">
        <v>55</v>
      </c>
      <c r="J311" s="2" t="s">
        <v>57</v>
      </c>
      <c r="K311" s="2" t="s">
        <v>39</v>
      </c>
      <c r="L311" s="2">
        <v>6</v>
      </c>
      <c r="M311" s="2">
        <v>2938.38</v>
      </c>
      <c r="N311" s="2">
        <v>5</v>
      </c>
      <c r="O311" s="2">
        <v>16748.77</v>
      </c>
      <c r="P311" s="2">
        <f t="shared" si="40"/>
        <v>17630.28</v>
      </c>
      <c r="Q311" s="2">
        <f t="shared" si="41"/>
        <v>881.51400000000001</v>
      </c>
      <c r="R311" s="2">
        <f t="shared" si="42"/>
        <v>16748.766</v>
      </c>
      <c r="S311" s="2" t="str">
        <f t="shared" si="43"/>
        <v>High</v>
      </c>
      <c r="T311" s="2" t="str" cm="1">
        <f t="array" ref="T311">_xlfn.IFS(L311&gt;5,"High",L311=5,"Medium",L311&lt;5,"Low")</f>
        <v>High</v>
      </c>
      <c r="U311" s="2" t="str">
        <f t="shared" si="44"/>
        <v>High</v>
      </c>
      <c r="V311" s="14" t="str">
        <f t="shared" si="45"/>
        <v>Normal Discount</v>
      </c>
      <c r="W311" s="16" t="str">
        <f t="shared" si="46"/>
        <v>Excellent</v>
      </c>
      <c r="X311" s="18" t="str" cm="1">
        <f t="array" ref="X311">_xlfn.IFS(O311&gt;7000,"Excellent",O311&gt;4000,"Good",O311&lt;4000,"Average")</f>
        <v>Excellent</v>
      </c>
      <c r="AD311" s="23" t="str">
        <f t="shared" si="47"/>
        <v>Eligible</v>
      </c>
      <c r="AE311" s="24" t="str">
        <f t="shared" si="48"/>
        <v>Online</v>
      </c>
      <c r="AF311" s="27" t="str">
        <f t="shared" si="49"/>
        <v>Priority Order</v>
      </c>
    </row>
    <row r="312" spans="1:32" x14ac:dyDescent="0.3">
      <c r="A312" s="2">
        <v>10311</v>
      </c>
      <c r="B312" s="2">
        <v>1293</v>
      </c>
      <c r="C312" s="3">
        <v>45038</v>
      </c>
      <c r="D312" s="3">
        <v>45043</v>
      </c>
      <c r="E312" s="2" t="s">
        <v>52</v>
      </c>
      <c r="F312" s="2" t="s">
        <v>29</v>
      </c>
      <c r="G312" s="2" t="s">
        <v>30</v>
      </c>
      <c r="H312" s="2" t="s">
        <v>24</v>
      </c>
      <c r="I312" s="2" t="s">
        <v>25</v>
      </c>
      <c r="J312" s="2" t="s">
        <v>49</v>
      </c>
      <c r="K312" s="2" t="s">
        <v>39</v>
      </c>
      <c r="L312" s="2">
        <v>4</v>
      </c>
      <c r="M312" s="2">
        <v>2046.51</v>
      </c>
      <c r="N312" s="2">
        <v>5</v>
      </c>
      <c r="O312" s="2">
        <v>7776.74</v>
      </c>
      <c r="P312" s="2">
        <f t="shared" si="40"/>
        <v>8186.04</v>
      </c>
      <c r="Q312" s="2">
        <f t="shared" si="41"/>
        <v>409.30200000000002</v>
      </c>
      <c r="R312" s="2">
        <f t="shared" si="42"/>
        <v>7776.7380000000003</v>
      </c>
      <c r="S312" s="2" t="str">
        <f t="shared" si="43"/>
        <v>Low</v>
      </c>
      <c r="T312" s="2" t="str" cm="1">
        <f t="array" ref="T312">_xlfn.IFS(L312&gt;5,"High",L312=5,"Medium",L312&lt;5,"Low")</f>
        <v>Low</v>
      </c>
      <c r="U312" s="2" t="str">
        <f t="shared" si="44"/>
        <v>Low</v>
      </c>
      <c r="V312" s="14" t="str">
        <f t="shared" si="45"/>
        <v>Normal Discount</v>
      </c>
      <c r="W312" s="16" t="str">
        <f t="shared" si="46"/>
        <v>Excellent</v>
      </c>
      <c r="X312" s="18" t="str" cm="1">
        <f t="array" ref="X312">_xlfn.IFS(O312&gt;7000,"Excellent",O312&gt;4000,"Good",O312&lt;4000,"Average")</f>
        <v>Excellent</v>
      </c>
      <c r="AD312" s="23" t="str">
        <f t="shared" si="47"/>
        <v>Eligible</v>
      </c>
      <c r="AE312" s="24" t="str">
        <f t="shared" si="48"/>
        <v>Online</v>
      </c>
      <c r="AF312" s="27" t="str">
        <f t="shared" si="49"/>
        <v>Priority Order</v>
      </c>
    </row>
    <row r="313" spans="1:32" x14ac:dyDescent="0.3">
      <c r="A313" s="2">
        <v>10312</v>
      </c>
      <c r="B313" s="2">
        <v>1279</v>
      </c>
      <c r="C313" s="3">
        <v>44983</v>
      </c>
      <c r="D313" s="3">
        <v>44990</v>
      </c>
      <c r="E313" s="2" t="s">
        <v>52</v>
      </c>
      <c r="F313" s="2" t="s">
        <v>44</v>
      </c>
      <c r="G313" s="2" t="s">
        <v>36</v>
      </c>
      <c r="H313" s="2" t="s">
        <v>24</v>
      </c>
      <c r="I313" s="2" t="s">
        <v>58</v>
      </c>
      <c r="J313" s="2" t="s">
        <v>62</v>
      </c>
      <c r="K313" s="2" t="s">
        <v>39</v>
      </c>
      <c r="L313" s="2">
        <v>1</v>
      </c>
      <c r="M313" s="2">
        <v>2588.64</v>
      </c>
      <c r="N313" s="2">
        <v>0</v>
      </c>
      <c r="O313" s="2">
        <v>2588.64</v>
      </c>
      <c r="P313" s="2">
        <f t="shared" si="40"/>
        <v>2588.64</v>
      </c>
      <c r="Q313" s="2">
        <f t="shared" si="41"/>
        <v>0</v>
      </c>
      <c r="R313" s="2">
        <f t="shared" si="42"/>
        <v>2588.64</v>
      </c>
      <c r="S313" s="2" t="str">
        <f t="shared" si="43"/>
        <v>Low</v>
      </c>
      <c r="T313" s="2" t="str" cm="1">
        <f t="array" ref="T313">_xlfn.IFS(L313&gt;5,"High",L313=5,"Medium",L313&lt;5,"Low")</f>
        <v>Low</v>
      </c>
      <c r="U313" s="2" t="str">
        <f t="shared" si="44"/>
        <v>Low</v>
      </c>
      <c r="V313" s="14" t="str">
        <f t="shared" si="45"/>
        <v>Normal Discount</v>
      </c>
      <c r="W313" s="16" t="str">
        <f t="shared" si="46"/>
        <v>Average</v>
      </c>
      <c r="X313" s="18" t="str" cm="1">
        <f t="array" ref="X313">_xlfn.IFS(O313&gt;7000,"Excellent",O313&gt;4000,"Good",O313&lt;4000,"Average")</f>
        <v>Average</v>
      </c>
      <c r="AD313" s="23" t="str">
        <f t="shared" si="47"/>
        <v>Not Eligible</v>
      </c>
      <c r="AE313" s="24" t="str">
        <f t="shared" si="48"/>
        <v>Offline</v>
      </c>
      <c r="AF313" s="27" t="str">
        <f t="shared" si="49"/>
        <v>Normal Order</v>
      </c>
    </row>
    <row r="314" spans="1:32" x14ac:dyDescent="0.3">
      <c r="A314" s="2">
        <v>10313</v>
      </c>
      <c r="B314" s="2">
        <v>1836</v>
      </c>
      <c r="C314" s="3">
        <v>44992</v>
      </c>
      <c r="D314" s="3">
        <v>44997</v>
      </c>
      <c r="E314" s="2" t="s">
        <v>46</v>
      </c>
      <c r="F314" s="2" t="s">
        <v>47</v>
      </c>
      <c r="G314" s="2" t="s">
        <v>23</v>
      </c>
      <c r="H314" s="2" t="s">
        <v>41</v>
      </c>
      <c r="I314" s="2" t="s">
        <v>63</v>
      </c>
      <c r="J314" s="2" t="s">
        <v>68</v>
      </c>
      <c r="K314" s="2" t="s">
        <v>51</v>
      </c>
      <c r="L314" s="2">
        <v>1</v>
      </c>
      <c r="M314" s="2">
        <v>3251.27</v>
      </c>
      <c r="N314" s="2">
        <v>15</v>
      </c>
      <c r="O314" s="2">
        <v>2763.58</v>
      </c>
      <c r="P314" s="2">
        <f t="shared" si="40"/>
        <v>3251.27</v>
      </c>
      <c r="Q314" s="2">
        <f t="shared" si="41"/>
        <v>487.69049999999999</v>
      </c>
      <c r="R314" s="2">
        <f t="shared" si="42"/>
        <v>2763.5794999999998</v>
      </c>
      <c r="S314" s="2" t="str">
        <f t="shared" si="43"/>
        <v>Low</v>
      </c>
      <c r="T314" s="2" t="str" cm="1">
        <f t="array" ref="T314">_xlfn.IFS(L314&gt;5,"High",L314=5,"Medium",L314&lt;5,"Low")</f>
        <v>Low</v>
      </c>
      <c r="U314" s="2" t="str">
        <f t="shared" si="44"/>
        <v>Low</v>
      </c>
      <c r="V314" s="14" t="str">
        <f t="shared" si="45"/>
        <v>Heavy Discount</v>
      </c>
      <c r="W314" s="16" t="str">
        <f t="shared" si="46"/>
        <v>Average</v>
      </c>
      <c r="X314" s="18" t="str" cm="1">
        <f t="array" ref="X314">_xlfn.IFS(O314&gt;7000,"Excellent",O314&gt;4000,"Good",O314&lt;4000,"Average")</f>
        <v>Average</v>
      </c>
      <c r="AD314" s="23" t="str">
        <f t="shared" si="47"/>
        <v>Not Eligible</v>
      </c>
      <c r="AE314" s="24" t="str">
        <f t="shared" si="48"/>
        <v>Online</v>
      </c>
      <c r="AF314" s="27" t="str">
        <f t="shared" si="49"/>
        <v>Normal Order</v>
      </c>
    </row>
    <row r="315" spans="1:32" x14ac:dyDescent="0.3">
      <c r="A315" s="2">
        <v>10314</v>
      </c>
      <c r="B315" s="2">
        <v>1883</v>
      </c>
      <c r="C315" s="3">
        <v>45256</v>
      </c>
      <c r="D315" s="3">
        <v>45264</v>
      </c>
      <c r="E315" s="2" t="s">
        <v>43</v>
      </c>
      <c r="F315" s="2" t="s">
        <v>22</v>
      </c>
      <c r="G315" s="2" t="s">
        <v>30</v>
      </c>
      <c r="H315" s="2" t="s">
        <v>31</v>
      </c>
      <c r="I315" s="2" t="s">
        <v>32</v>
      </c>
      <c r="J315" s="2" t="s">
        <v>75</v>
      </c>
      <c r="K315" s="2" t="s">
        <v>34</v>
      </c>
      <c r="L315" s="2">
        <v>1</v>
      </c>
      <c r="M315" s="2">
        <v>1681.85</v>
      </c>
      <c r="N315" s="2">
        <v>5</v>
      </c>
      <c r="O315" s="2">
        <v>1597.76</v>
      </c>
      <c r="P315" s="2">
        <f t="shared" si="40"/>
        <v>1681.85</v>
      </c>
      <c r="Q315" s="2">
        <f t="shared" si="41"/>
        <v>84.092500000000001</v>
      </c>
      <c r="R315" s="2">
        <f t="shared" si="42"/>
        <v>1597.7574999999999</v>
      </c>
      <c r="S315" s="2" t="str">
        <f t="shared" si="43"/>
        <v>Low</v>
      </c>
      <c r="T315" s="2" t="str" cm="1">
        <f t="array" ref="T315">_xlfn.IFS(L315&gt;5,"High",L315=5,"Medium",L315&lt;5,"Low")</f>
        <v>Low</v>
      </c>
      <c r="U315" s="2" t="str">
        <f t="shared" si="44"/>
        <v>Low</v>
      </c>
      <c r="V315" s="14" t="str">
        <f t="shared" si="45"/>
        <v>Normal Discount</v>
      </c>
      <c r="W315" s="16" t="str">
        <f t="shared" si="46"/>
        <v>Average</v>
      </c>
      <c r="X315" s="18" t="str" cm="1">
        <f t="array" ref="X315">_xlfn.IFS(O315&gt;7000,"Excellent",O315&gt;4000,"Good",O315&lt;4000,"Average")</f>
        <v>Average</v>
      </c>
      <c r="AD315" s="23" t="str">
        <f t="shared" si="47"/>
        <v>Not Eligible</v>
      </c>
      <c r="AE315" s="24" t="str">
        <f t="shared" si="48"/>
        <v>Online</v>
      </c>
      <c r="AF315" s="27" t="str">
        <f t="shared" si="49"/>
        <v>Normal Order</v>
      </c>
    </row>
    <row r="316" spans="1:32" x14ac:dyDescent="0.3">
      <c r="A316" s="2">
        <v>10315</v>
      </c>
      <c r="B316" s="2">
        <v>1609</v>
      </c>
      <c r="C316" s="3">
        <v>45024</v>
      </c>
      <c r="D316" s="3">
        <v>45029</v>
      </c>
      <c r="E316" s="2" t="s">
        <v>43</v>
      </c>
      <c r="F316" s="2" t="s">
        <v>35</v>
      </c>
      <c r="G316" s="2" t="s">
        <v>30</v>
      </c>
      <c r="H316" s="2" t="s">
        <v>24</v>
      </c>
      <c r="I316" s="2" t="s">
        <v>55</v>
      </c>
      <c r="J316" s="2" t="s">
        <v>56</v>
      </c>
      <c r="K316" s="2" t="s">
        <v>51</v>
      </c>
      <c r="L316" s="2">
        <v>8</v>
      </c>
      <c r="M316" s="2">
        <v>3253.02</v>
      </c>
      <c r="N316" s="2">
        <v>15</v>
      </c>
      <c r="O316" s="2">
        <v>22120.54</v>
      </c>
      <c r="P316" s="2">
        <f t="shared" si="40"/>
        <v>26024.16</v>
      </c>
      <c r="Q316" s="2">
        <f t="shared" si="41"/>
        <v>3903.6239999999998</v>
      </c>
      <c r="R316" s="2">
        <f t="shared" si="42"/>
        <v>22120.536</v>
      </c>
      <c r="S316" s="2" t="str">
        <f t="shared" si="43"/>
        <v>High</v>
      </c>
      <c r="T316" s="2" t="str" cm="1">
        <f t="array" ref="T316">_xlfn.IFS(L316&gt;5,"High",L316=5,"Medium",L316&lt;5,"Low")</f>
        <v>High</v>
      </c>
      <c r="U316" s="2" t="str">
        <f t="shared" si="44"/>
        <v>High</v>
      </c>
      <c r="V316" s="14" t="str">
        <f t="shared" si="45"/>
        <v>Heavy Discount</v>
      </c>
      <c r="W316" s="16" t="str">
        <f t="shared" si="46"/>
        <v>Excellent</v>
      </c>
      <c r="X316" s="18" t="str" cm="1">
        <f t="array" ref="X316">_xlfn.IFS(O316&gt;7000,"Excellent",O316&gt;4000,"Good",O316&lt;4000,"Average")</f>
        <v>Excellent</v>
      </c>
      <c r="AD316" s="23" t="str">
        <f t="shared" si="47"/>
        <v>Not Eligible</v>
      </c>
      <c r="AE316" s="24" t="str">
        <f t="shared" si="48"/>
        <v>Online</v>
      </c>
      <c r="AF316" s="27" t="str">
        <f t="shared" si="49"/>
        <v>Priority Order</v>
      </c>
    </row>
    <row r="317" spans="1:32" x14ac:dyDescent="0.3">
      <c r="A317" s="2">
        <v>10316</v>
      </c>
      <c r="B317" s="2">
        <v>1197</v>
      </c>
      <c r="C317" s="3">
        <v>45070</v>
      </c>
      <c r="D317" s="3">
        <v>45071</v>
      </c>
      <c r="E317" s="2" t="s">
        <v>52</v>
      </c>
      <c r="F317" s="2" t="s">
        <v>44</v>
      </c>
      <c r="G317" s="2" t="s">
        <v>36</v>
      </c>
      <c r="H317" s="2" t="s">
        <v>24</v>
      </c>
      <c r="I317" s="2" t="s">
        <v>63</v>
      </c>
      <c r="J317" s="2" t="s">
        <v>64</v>
      </c>
      <c r="K317" s="2" t="s">
        <v>39</v>
      </c>
      <c r="L317" s="2">
        <v>8</v>
      </c>
      <c r="M317" s="2">
        <v>2429.2600000000002</v>
      </c>
      <c r="N317" s="2">
        <v>15</v>
      </c>
      <c r="O317" s="2">
        <v>16518.97</v>
      </c>
      <c r="P317" s="2">
        <f t="shared" si="40"/>
        <v>19434.080000000002</v>
      </c>
      <c r="Q317" s="2">
        <f t="shared" si="41"/>
        <v>2915.1120000000001</v>
      </c>
      <c r="R317" s="2">
        <f t="shared" si="42"/>
        <v>16518.968000000001</v>
      </c>
      <c r="S317" s="2" t="str">
        <f t="shared" si="43"/>
        <v>High</v>
      </c>
      <c r="T317" s="2" t="str" cm="1">
        <f t="array" ref="T317">_xlfn.IFS(L317&gt;5,"High",L317=5,"Medium",L317&lt;5,"Low")</f>
        <v>High</v>
      </c>
      <c r="U317" s="2" t="str">
        <f t="shared" si="44"/>
        <v>High</v>
      </c>
      <c r="V317" s="14" t="str">
        <f t="shared" si="45"/>
        <v>Heavy Discount</v>
      </c>
      <c r="W317" s="16" t="str">
        <f t="shared" si="46"/>
        <v>Excellent</v>
      </c>
      <c r="X317" s="18" t="str" cm="1">
        <f t="array" ref="X317">_xlfn.IFS(O317&gt;7000,"Excellent",O317&gt;4000,"Good",O317&lt;4000,"Average")</f>
        <v>Excellent</v>
      </c>
      <c r="AD317" s="23" t="str">
        <f t="shared" si="47"/>
        <v>Not Eligible</v>
      </c>
      <c r="AE317" s="24" t="str">
        <f t="shared" si="48"/>
        <v>Offline</v>
      </c>
      <c r="AF317" s="27" t="str">
        <f t="shared" si="49"/>
        <v>Priority Order</v>
      </c>
    </row>
    <row r="318" spans="1:32" x14ac:dyDescent="0.3">
      <c r="A318" s="2">
        <v>10317</v>
      </c>
      <c r="B318" s="2">
        <v>1981</v>
      </c>
      <c r="C318" s="3">
        <v>45051</v>
      </c>
      <c r="D318" s="3">
        <v>45056</v>
      </c>
      <c r="E318" s="2" t="s">
        <v>40</v>
      </c>
      <c r="F318" s="2" t="s">
        <v>44</v>
      </c>
      <c r="G318" s="2" t="s">
        <v>30</v>
      </c>
      <c r="H318" s="2" t="s">
        <v>31</v>
      </c>
      <c r="I318" s="2" t="s">
        <v>55</v>
      </c>
      <c r="J318" s="2" t="s">
        <v>69</v>
      </c>
      <c r="K318" s="2" t="s">
        <v>53</v>
      </c>
      <c r="L318" s="2">
        <v>2</v>
      </c>
      <c r="M318" s="2">
        <v>788.72</v>
      </c>
      <c r="N318" s="2">
        <v>20</v>
      </c>
      <c r="O318" s="2">
        <v>1261.95</v>
      </c>
      <c r="P318" s="2">
        <f t="shared" si="40"/>
        <v>1577.44</v>
      </c>
      <c r="Q318" s="2">
        <f t="shared" si="41"/>
        <v>315.48800000000006</v>
      </c>
      <c r="R318" s="2">
        <f t="shared" si="42"/>
        <v>1261.952</v>
      </c>
      <c r="S318" s="2" t="str">
        <f t="shared" si="43"/>
        <v>Low</v>
      </c>
      <c r="T318" s="2" t="str" cm="1">
        <f t="array" ref="T318">_xlfn.IFS(L318&gt;5,"High",L318=5,"Medium",L318&lt;5,"Low")</f>
        <v>Low</v>
      </c>
      <c r="U318" s="2" t="str">
        <f t="shared" si="44"/>
        <v>Low</v>
      </c>
      <c r="V318" s="14" t="str">
        <f t="shared" si="45"/>
        <v>Heavy Discount</v>
      </c>
      <c r="W318" s="16" t="str">
        <f t="shared" si="46"/>
        <v>Average</v>
      </c>
      <c r="X318" s="18" t="str" cm="1">
        <f t="array" ref="X318">_xlfn.IFS(O318&gt;7000,"Excellent",O318&gt;4000,"Good",O318&lt;4000,"Average")</f>
        <v>Average</v>
      </c>
      <c r="AD318" s="23" t="str">
        <f t="shared" si="47"/>
        <v>Not Eligible</v>
      </c>
      <c r="AE318" s="24" t="str">
        <f t="shared" si="48"/>
        <v>Online</v>
      </c>
      <c r="AF318" s="27" t="str">
        <f t="shared" si="49"/>
        <v>Normal Order</v>
      </c>
    </row>
    <row r="319" spans="1:32" x14ac:dyDescent="0.3">
      <c r="A319" s="2">
        <v>10318</v>
      </c>
      <c r="B319" s="2">
        <v>1906</v>
      </c>
      <c r="C319" s="3">
        <v>45093</v>
      </c>
      <c r="D319" s="3">
        <v>45097</v>
      </c>
      <c r="E319" s="2" t="s">
        <v>21</v>
      </c>
      <c r="F319" s="2" t="s">
        <v>29</v>
      </c>
      <c r="G319" s="2" t="s">
        <v>36</v>
      </c>
      <c r="H319" s="2" t="s">
        <v>41</v>
      </c>
      <c r="I319" s="2" t="s">
        <v>55</v>
      </c>
      <c r="J319" s="2" t="s">
        <v>74</v>
      </c>
      <c r="K319" s="2" t="s">
        <v>27</v>
      </c>
      <c r="L319" s="2">
        <v>7</v>
      </c>
      <c r="M319" s="2">
        <v>245.03</v>
      </c>
      <c r="N319" s="2">
        <v>0</v>
      </c>
      <c r="O319" s="2">
        <v>1715.21</v>
      </c>
      <c r="P319" s="2">
        <f t="shared" si="40"/>
        <v>1715.21</v>
      </c>
      <c r="Q319" s="2">
        <f t="shared" si="41"/>
        <v>0</v>
      </c>
      <c r="R319" s="2">
        <f t="shared" si="42"/>
        <v>1715.21</v>
      </c>
      <c r="S319" s="2" t="str">
        <f t="shared" si="43"/>
        <v>High</v>
      </c>
      <c r="T319" s="2" t="str" cm="1">
        <f t="array" ref="T319">_xlfn.IFS(L319&gt;5,"High",L319=5,"Medium",L319&lt;5,"Low")</f>
        <v>High</v>
      </c>
      <c r="U319" s="2" t="str">
        <f t="shared" si="44"/>
        <v>High</v>
      </c>
      <c r="V319" s="14" t="str">
        <f t="shared" si="45"/>
        <v>Normal Discount</v>
      </c>
      <c r="W319" s="16" t="str">
        <f t="shared" si="46"/>
        <v>Average</v>
      </c>
      <c r="X319" s="18" t="str" cm="1">
        <f t="array" ref="X319">_xlfn.IFS(O319&gt;7000,"Excellent",O319&gt;4000,"Good",O319&lt;4000,"Average")</f>
        <v>Average</v>
      </c>
      <c r="AD319" s="23" t="str">
        <f t="shared" si="47"/>
        <v>Not Eligible</v>
      </c>
      <c r="AE319" s="24" t="str">
        <f t="shared" si="48"/>
        <v>Offline</v>
      </c>
      <c r="AF319" s="27" t="str">
        <f t="shared" si="49"/>
        <v>Priority Order</v>
      </c>
    </row>
    <row r="320" spans="1:32" x14ac:dyDescent="0.3">
      <c r="A320" s="2">
        <v>10319</v>
      </c>
      <c r="B320" s="2">
        <v>1510</v>
      </c>
      <c r="C320" s="3">
        <v>45012</v>
      </c>
      <c r="D320" s="3">
        <v>45018</v>
      </c>
      <c r="E320" s="2" t="s">
        <v>28</v>
      </c>
      <c r="F320" s="2" t="s">
        <v>44</v>
      </c>
      <c r="G320" s="2" t="s">
        <v>30</v>
      </c>
      <c r="H320" s="2" t="s">
        <v>24</v>
      </c>
      <c r="I320" s="2" t="s">
        <v>55</v>
      </c>
      <c r="J320" s="2" t="s">
        <v>56</v>
      </c>
      <c r="K320" s="2" t="s">
        <v>34</v>
      </c>
      <c r="L320" s="2">
        <v>8</v>
      </c>
      <c r="M320" s="2">
        <v>1546.6</v>
      </c>
      <c r="N320" s="2">
        <v>15</v>
      </c>
      <c r="O320" s="2">
        <v>10516.88</v>
      </c>
      <c r="P320" s="2">
        <f t="shared" si="40"/>
        <v>12372.8</v>
      </c>
      <c r="Q320" s="2">
        <f t="shared" si="41"/>
        <v>1855.9199999999998</v>
      </c>
      <c r="R320" s="2">
        <f t="shared" si="42"/>
        <v>10516.88</v>
      </c>
      <c r="S320" s="2" t="str">
        <f t="shared" si="43"/>
        <v>High</v>
      </c>
      <c r="T320" s="2" t="str" cm="1">
        <f t="array" ref="T320">_xlfn.IFS(L320&gt;5,"High",L320=5,"Medium",L320&lt;5,"Low")</f>
        <v>High</v>
      </c>
      <c r="U320" s="2" t="str">
        <f t="shared" si="44"/>
        <v>High</v>
      </c>
      <c r="V320" s="14" t="str">
        <f t="shared" si="45"/>
        <v>Heavy Discount</v>
      </c>
      <c r="W320" s="16" t="str">
        <f t="shared" si="46"/>
        <v>Excellent</v>
      </c>
      <c r="X320" s="18" t="str" cm="1">
        <f t="array" ref="X320">_xlfn.IFS(O320&gt;7000,"Excellent",O320&gt;4000,"Good",O320&lt;4000,"Average")</f>
        <v>Excellent</v>
      </c>
      <c r="AD320" s="23" t="str">
        <f t="shared" si="47"/>
        <v>Not Eligible</v>
      </c>
      <c r="AE320" s="24" t="str">
        <f t="shared" si="48"/>
        <v>Online</v>
      </c>
      <c r="AF320" s="27" t="str">
        <f t="shared" si="49"/>
        <v>Priority Order</v>
      </c>
    </row>
    <row r="321" spans="1:32" x14ac:dyDescent="0.3">
      <c r="A321" s="2">
        <v>10320</v>
      </c>
      <c r="B321" s="2">
        <v>1751</v>
      </c>
      <c r="C321" s="3">
        <v>45002</v>
      </c>
      <c r="D321" s="3">
        <v>45005</v>
      </c>
      <c r="E321" s="2" t="s">
        <v>21</v>
      </c>
      <c r="F321" s="2" t="s">
        <v>22</v>
      </c>
      <c r="G321" s="2" t="s">
        <v>23</v>
      </c>
      <c r="H321" s="2" t="s">
        <v>41</v>
      </c>
      <c r="I321" s="2" t="s">
        <v>32</v>
      </c>
      <c r="J321" s="2" t="s">
        <v>42</v>
      </c>
      <c r="K321" s="2" t="s">
        <v>34</v>
      </c>
      <c r="L321" s="2">
        <v>8</v>
      </c>
      <c r="M321" s="2">
        <v>2254.7800000000002</v>
      </c>
      <c r="N321" s="2">
        <v>0</v>
      </c>
      <c r="O321" s="2">
        <v>18038.240000000002</v>
      </c>
      <c r="P321" s="2">
        <f t="shared" si="40"/>
        <v>18038.240000000002</v>
      </c>
      <c r="Q321" s="2">
        <f t="shared" si="41"/>
        <v>0</v>
      </c>
      <c r="R321" s="2">
        <f t="shared" si="42"/>
        <v>18038.240000000002</v>
      </c>
      <c r="S321" s="2" t="str">
        <f t="shared" si="43"/>
        <v>High</v>
      </c>
      <c r="T321" s="2" t="str" cm="1">
        <f t="array" ref="T321">_xlfn.IFS(L321&gt;5,"High",L321=5,"Medium",L321&lt;5,"Low")</f>
        <v>High</v>
      </c>
      <c r="U321" s="2" t="str">
        <f t="shared" si="44"/>
        <v>High</v>
      </c>
      <c r="V321" s="14" t="str">
        <f t="shared" si="45"/>
        <v>Normal Discount</v>
      </c>
      <c r="W321" s="16" t="str">
        <f t="shared" si="46"/>
        <v>Excellent</v>
      </c>
      <c r="X321" s="18" t="str" cm="1">
        <f t="array" ref="X321">_xlfn.IFS(O321&gt;7000,"Excellent",O321&gt;4000,"Good",O321&lt;4000,"Average")</f>
        <v>Excellent</v>
      </c>
      <c r="AD321" s="23" t="str">
        <f t="shared" si="47"/>
        <v>Eligible</v>
      </c>
      <c r="AE321" s="24" t="str">
        <f t="shared" si="48"/>
        <v>Online</v>
      </c>
      <c r="AF321" s="27" t="str">
        <f t="shared" si="49"/>
        <v>Priority Order</v>
      </c>
    </row>
    <row r="322" spans="1:32" x14ac:dyDescent="0.3">
      <c r="A322" s="2">
        <v>10321</v>
      </c>
      <c r="B322" s="2">
        <v>1143</v>
      </c>
      <c r="C322" s="3">
        <v>45270</v>
      </c>
      <c r="D322" s="3">
        <v>45275</v>
      </c>
      <c r="E322" s="2" t="s">
        <v>43</v>
      </c>
      <c r="F322" s="2" t="s">
        <v>22</v>
      </c>
      <c r="G322" s="2" t="s">
        <v>36</v>
      </c>
      <c r="H322" s="2" t="s">
        <v>48</v>
      </c>
      <c r="I322" s="2" t="s">
        <v>58</v>
      </c>
      <c r="J322" s="2" t="s">
        <v>66</v>
      </c>
      <c r="K322" s="2" t="s">
        <v>51</v>
      </c>
      <c r="L322" s="2">
        <v>7</v>
      </c>
      <c r="M322" s="2">
        <v>3383.31</v>
      </c>
      <c r="N322" s="2">
        <v>20</v>
      </c>
      <c r="O322" s="2">
        <v>18946.54</v>
      </c>
      <c r="P322" s="2">
        <f t="shared" si="40"/>
        <v>23683.17</v>
      </c>
      <c r="Q322" s="2">
        <f t="shared" si="41"/>
        <v>4736.634</v>
      </c>
      <c r="R322" s="2">
        <f t="shared" si="42"/>
        <v>18946.536</v>
      </c>
      <c r="S322" s="2" t="str">
        <f t="shared" si="43"/>
        <v>High</v>
      </c>
      <c r="T322" s="2" t="str" cm="1">
        <f t="array" ref="T322">_xlfn.IFS(L322&gt;5,"High",L322=5,"Medium",L322&lt;5,"Low")</f>
        <v>High</v>
      </c>
      <c r="U322" s="2" t="str">
        <f t="shared" si="44"/>
        <v>High</v>
      </c>
      <c r="V322" s="14" t="str">
        <f t="shared" si="45"/>
        <v>Heavy Discount</v>
      </c>
      <c r="W322" s="16" t="str">
        <f t="shared" si="46"/>
        <v>Excellent</v>
      </c>
      <c r="X322" s="18" t="str" cm="1">
        <f t="array" ref="X322">_xlfn.IFS(O322&gt;7000,"Excellent",O322&gt;4000,"Good",O322&lt;4000,"Average")</f>
        <v>Excellent</v>
      </c>
      <c r="AD322" s="23" t="str">
        <f t="shared" si="47"/>
        <v>Not Eligible</v>
      </c>
      <c r="AE322" s="24" t="str">
        <f t="shared" si="48"/>
        <v>Offline</v>
      </c>
      <c r="AF322" s="27" t="str">
        <f t="shared" si="49"/>
        <v>Priority Order</v>
      </c>
    </row>
    <row r="323" spans="1:32" x14ac:dyDescent="0.3">
      <c r="A323" s="2">
        <v>10322</v>
      </c>
      <c r="B323" s="2">
        <v>1608</v>
      </c>
      <c r="C323" s="3">
        <v>45220</v>
      </c>
      <c r="D323" s="3">
        <v>45222</v>
      </c>
      <c r="E323" s="2" t="s">
        <v>21</v>
      </c>
      <c r="F323" s="2" t="s">
        <v>60</v>
      </c>
      <c r="G323" s="2" t="s">
        <v>36</v>
      </c>
      <c r="H323" s="2" t="s">
        <v>41</v>
      </c>
      <c r="I323" s="2" t="s">
        <v>32</v>
      </c>
      <c r="J323" s="2" t="s">
        <v>67</v>
      </c>
      <c r="K323" s="2" t="s">
        <v>34</v>
      </c>
      <c r="L323" s="2">
        <v>5</v>
      </c>
      <c r="M323" s="2">
        <v>640.82000000000005</v>
      </c>
      <c r="N323" s="2">
        <v>0</v>
      </c>
      <c r="O323" s="2">
        <v>3204.1</v>
      </c>
      <c r="P323" s="2">
        <f t="shared" ref="P323:P386" si="50">M323*L323</f>
        <v>3204.1000000000004</v>
      </c>
      <c r="Q323" s="2">
        <f t="shared" ref="Q323:Q386" si="51">P323*N323%</f>
        <v>0</v>
      </c>
      <c r="R323" s="2">
        <f t="shared" ref="R323:R386" si="52">P323-Q323</f>
        <v>3204.1000000000004</v>
      </c>
      <c r="S323" s="2" t="str">
        <f t="shared" ref="S323:S386" si="53">IF(L323&gt;=5,"High","Low")</f>
        <v>High</v>
      </c>
      <c r="T323" s="2" t="str" cm="1">
        <f t="array" ref="T323">_xlfn.IFS(L323&gt;5,"High",L323=5,"Medium",L323&lt;5,"Low")</f>
        <v>Medium</v>
      </c>
      <c r="U323" s="2" t="str">
        <f t="shared" ref="U323:U386" si="54">IF(L323&gt;5,"High",IF(L323=5,"Medium","Low"))</f>
        <v>Medium</v>
      </c>
      <c r="V323" s="14" t="str">
        <f t="shared" ref="V323:V386" si="55">IF(N323&gt;10,"Heavy Discount","Normal Discount")</f>
        <v>Normal Discount</v>
      </c>
      <c r="W323" s="16" t="str">
        <f t="shared" ref="W323:W386" si="56">IF(O323&gt;7000,"Excellent",IF(O323&gt;4000,"Good","Average"))</f>
        <v>Average</v>
      </c>
      <c r="X323" s="18" t="str" cm="1">
        <f t="array" ref="X323">_xlfn.IFS(O323&gt;7000,"Excellent",O323&gt;4000,"Good",O323&lt;4000,"Average")</f>
        <v>Average</v>
      </c>
      <c r="AD323" s="23" t="str">
        <f t="shared" ref="AD323:AD386" si="57">IF(AND(O323&gt;5000,N323&lt;10),"Eligible","Not Eligible")</f>
        <v>Not Eligible</v>
      </c>
      <c r="AE323" s="24" t="str">
        <f t="shared" ref="AE323:AE386" si="58">IF(G323&lt;&gt;"Marketplace","Online","Offline")</f>
        <v>Offline</v>
      </c>
      <c r="AF323" s="27" t="str">
        <f t="shared" ref="AF323:AF386" si="59">IF(OR(O323&gt;7000,L323&gt;5),"Priority Order","Normal Order")</f>
        <v>Normal Order</v>
      </c>
    </row>
    <row r="324" spans="1:32" x14ac:dyDescent="0.3">
      <c r="A324" s="2">
        <v>10323</v>
      </c>
      <c r="B324" s="2">
        <v>1200</v>
      </c>
      <c r="C324" s="3">
        <v>44985</v>
      </c>
      <c r="D324" s="3">
        <v>44991</v>
      </c>
      <c r="E324" s="2" t="s">
        <v>52</v>
      </c>
      <c r="F324" s="2" t="s">
        <v>22</v>
      </c>
      <c r="G324" s="2" t="s">
        <v>30</v>
      </c>
      <c r="H324" s="2" t="s">
        <v>50</v>
      </c>
      <c r="I324" s="2" t="s">
        <v>37</v>
      </c>
      <c r="J324" s="2" t="s">
        <v>54</v>
      </c>
      <c r="K324" s="2" t="s">
        <v>39</v>
      </c>
      <c r="L324" s="2">
        <v>1</v>
      </c>
      <c r="M324" s="2">
        <v>3230.79</v>
      </c>
      <c r="N324" s="2">
        <v>5</v>
      </c>
      <c r="O324" s="2">
        <v>3069.25</v>
      </c>
      <c r="P324" s="2">
        <f t="shared" si="50"/>
        <v>3230.79</v>
      </c>
      <c r="Q324" s="2">
        <f t="shared" si="51"/>
        <v>161.5395</v>
      </c>
      <c r="R324" s="2">
        <f t="shared" si="52"/>
        <v>3069.2505000000001</v>
      </c>
      <c r="S324" s="2" t="str">
        <f t="shared" si="53"/>
        <v>Low</v>
      </c>
      <c r="T324" s="2" t="str" cm="1">
        <f t="array" ref="T324">_xlfn.IFS(L324&gt;5,"High",L324=5,"Medium",L324&lt;5,"Low")</f>
        <v>Low</v>
      </c>
      <c r="U324" s="2" t="str">
        <f t="shared" si="54"/>
        <v>Low</v>
      </c>
      <c r="V324" s="14" t="str">
        <f t="shared" si="55"/>
        <v>Normal Discount</v>
      </c>
      <c r="W324" s="16" t="str">
        <f t="shared" si="56"/>
        <v>Average</v>
      </c>
      <c r="X324" s="18" t="str" cm="1">
        <f t="array" ref="X324">_xlfn.IFS(O324&gt;7000,"Excellent",O324&gt;4000,"Good",O324&lt;4000,"Average")</f>
        <v>Average</v>
      </c>
      <c r="AD324" s="23" t="str">
        <f t="shared" si="57"/>
        <v>Not Eligible</v>
      </c>
      <c r="AE324" s="24" t="str">
        <f t="shared" si="58"/>
        <v>Online</v>
      </c>
      <c r="AF324" s="27" t="str">
        <f t="shared" si="59"/>
        <v>Normal Order</v>
      </c>
    </row>
    <row r="325" spans="1:32" x14ac:dyDescent="0.3">
      <c r="A325" s="2">
        <v>10324</v>
      </c>
      <c r="B325" s="2">
        <v>1123</v>
      </c>
      <c r="C325" s="3">
        <v>45064</v>
      </c>
      <c r="D325" s="3">
        <v>45070</v>
      </c>
      <c r="E325" s="2" t="s">
        <v>52</v>
      </c>
      <c r="F325" s="2" t="s">
        <v>47</v>
      </c>
      <c r="G325" s="2" t="s">
        <v>30</v>
      </c>
      <c r="H325" s="2" t="s">
        <v>50</v>
      </c>
      <c r="I325" s="2" t="s">
        <v>63</v>
      </c>
      <c r="J325" s="2" t="s">
        <v>64</v>
      </c>
      <c r="K325" s="2" t="s">
        <v>39</v>
      </c>
      <c r="L325" s="2">
        <v>9</v>
      </c>
      <c r="M325" s="2">
        <v>3472.58</v>
      </c>
      <c r="N325" s="2">
        <v>15</v>
      </c>
      <c r="O325" s="2">
        <v>26565.24</v>
      </c>
      <c r="P325" s="2">
        <f t="shared" si="50"/>
        <v>31253.22</v>
      </c>
      <c r="Q325" s="2">
        <f t="shared" si="51"/>
        <v>4687.9830000000002</v>
      </c>
      <c r="R325" s="2">
        <f t="shared" si="52"/>
        <v>26565.237000000001</v>
      </c>
      <c r="S325" s="2" t="str">
        <f t="shared" si="53"/>
        <v>High</v>
      </c>
      <c r="T325" s="2" t="str" cm="1">
        <f t="array" ref="T325">_xlfn.IFS(L325&gt;5,"High",L325=5,"Medium",L325&lt;5,"Low")</f>
        <v>High</v>
      </c>
      <c r="U325" s="2" t="str">
        <f t="shared" si="54"/>
        <v>High</v>
      </c>
      <c r="V325" s="14" t="str">
        <f t="shared" si="55"/>
        <v>Heavy Discount</v>
      </c>
      <c r="W325" s="16" t="str">
        <f t="shared" si="56"/>
        <v>Excellent</v>
      </c>
      <c r="X325" s="18" t="str" cm="1">
        <f t="array" ref="X325">_xlfn.IFS(O325&gt;7000,"Excellent",O325&gt;4000,"Good",O325&lt;4000,"Average")</f>
        <v>Excellent</v>
      </c>
      <c r="AD325" s="23" t="str">
        <f t="shared" si="57"/>
        <v>Not Eligible</v>
      </c>
      <c r="AE325" s="24" t="str">
        <f t="shared" si="58"/>
        <v>Online</v>
      </c>
      <c r="AF325" s="27" t="str">
        <f t="shared" si="59"/>
        <v>Priority Order</v>
      </c>
    </row>
    <row r="326" spans="1:32" x14ac:dyDescent="0.3">
      <c r="A326" s="2">
        <v>10325</v>
      </c>
      <c r="B326" s="2">
        <v>1186</v>
      </c>
      <c r="C326" s="3">
        <v>45025</v>
      </c>
      <c r="D326" s="3">
        <v>45030</v>
      </c>
      <c r="E326" s="2" t="s">
        <v>43</v>
      </c>
      <c r="F326" s="2" t="s">
        <v>44</v>
      </c>
      <c r="G326" s="2" t="s">
        <v>36</v>
      </c>
      <c r="H326" s="2" t="s">
        <v>41</v>
      </c>
      <c r="I326" s="2" t="s">
        <v>58</v>
      </c>
      <c r="J326" s="2" t="s">
        <v>70</v>
      </c>
      <c r="K326" s="2" t="s">
        <v>51</v>
      </c>
      <c r="L326" s="2">
        <v>7</v>
      </c>
      <c r="M326" s="2">
        <v>730.15</v>
      </c>
      <c r="N326" s="2">
        <v>0</v>
      </c>
      <c r="O326" s="2">
        <v>5111.05</v>
      </c>
      <c r="P326" s="2">
        <f t="shared" si="50"/>
        <v>5111.05</v>
      </c>
      <c r="Q326" s="2">
        <f t="shared" si="51"/>
        <v>0</v>
      </c>
      <c r="R326" s="2">
        <f t="shared" si="52"/>
        <v>5111.05</v>
      </c>
      <c r="S326" s="2" t="str">
        <f t="shared" si="53"/>
        <v>High</v>
      </c>
      <c r="T326" s="2" t="str" cm="1">
        <f t="array" ref="T326">_xlfn.IFS(L326&gt;5,"High",L326=5,"Medium",L326&lt;5,"Low")</f>
        <v>High</v>
      </c>
      <c r="U326" s="2" t="str">
        <f t="shared" si="54"/>
        <v>High</v>
      </c>
      <c r="V326" s="14" t="str">
        <f t="shared" si="55"/>
        <v>Normal Discount</v>
      </c>
      <c r="W326" s="16" t="str">
        <f t="shared" si="56"/>
        <v>Good</v>
      </c>
      <c r="X326" s="18" t="str" cm="1">
        <f t="array" ref="X326">_xlfn.IFS(O326&gt;7000,"Excellent",O326&gt;4000,"Good",O326&lt;4000,"Average")</f>
        <v>Good</v>
      </c>
      <c r="AD326" s="23" t="str">
        <f t="shared" si="57"/>
        <v>Eligible</v>
      </c>
      <c r="AE326" s="24" t="str">
        <f t="shared" si="58"/>
        <v>Offline</v>
      </c>
      <c r="AF326" s="27" t="str">
        <f t="shared" si="59"/>
        <v>Priority Order</v>
      </c>
    </row>
    <row r="327" spans="1:32" x14ac:dyDescent="0.3">
      <c r="A327" s="2">
        <v>10326</v>
      </c>
      <c r="B327" s="2">
        <v>1325</v>
      </c>
      <c r="C327" s="3">
        <v>45118</v>
      </c>
      <c r="D327" s="3">
        <v>45124</v>
      </c>
      <c r="E327" s="2" t="s">
        <v>43</v>
      </c>
      <c r="F327" s="2" t="s">
        <v>22</v>
      </c>
      <c r="G327" s="2" t="s">
        <v>30</v>
      </c>
      <c r="H327" s="2" t="s">
        <v>50</v>
      </c>
      <c r="I327" s="2" t="s">
        <v>58</v>
      </c>
      <c r="J327" s="2" t="s">
        <v>66</v>
      </c>
      <c r="K327" s="2" t="s">
        <v>39</v>
      </c>
      <c r="L327" s="2">
        <v>2</v>
      </c>
      <c r="M327" s="2">
        <v>3428.64</v>
      </c>
      <c r="N327" s="2">
        <v>10</v>
      </c>
      <c r="O327" s="2">
        <v>6171.55</v>
      </c>
      <c r="P327" s="2">
        <f t="shared" si="50"/>
        <v>6857.28</v>
      </c>
      <c r="Q327" s="2">
        <f t="shared" si="51"/>
        <v>685.72800000000007</v>
      </c>
      <c r="R327" s="2">
        <f t="shared" si="52"/>
        <v>6171.5519999999997</v>
      </c>
      <c r="S327" s="2" t="str">
        <f t="shared" si="53"/>
        <v>Low</v>
      </c>
      <c r="T327" s="2" t="str" cm="1">
        <f t="array" ref="T327">_xlfn.IFS(L327&gt;5,"High",L327=5,"Medium",L327&lt;5,"Low")</f>
        <v>Low</v>
      </c>
      <c r="U327" s="2" t="str">
        <f t="shared" si="54"/>
        <v>Low</v>
      </c>
      <c r="V327" s="14" t="str">
        <f t="shared" si="55"/>
        <v>Normal Discount</v>
      </c>
      <c r="W327" s="16" t="str">
        <f t="shared" si="56"/>
        <v>Good</v>
      </c>
      <c r="X327" s="18" t="str" cm="1">
        <f t="array" ref="X327">_xlfn.IFS(O327&gt;7000,"Excellent",O327&gt;4000,"Good",O327&lt;4000,"Average")</f>
        <v>Good</v>
      </c>
      <c r="AD327" s="23" t="str">
        <f t="shared" si="57"/>
        <v>Not Eligible</v>
      </c>
      <c r="AE327" s="24" t="str">
        <f t="shared" si="58"/>
        <v>Online</v>
      </c>
      <c r="AF327" s="27" t="str">
        <f t="shared" si="59"/>
        <v>Normal Order</v>
      </c>
    </row>
    <row r="328" spans="1:32" x14ac:dyDescent="0.3">
      <c r="A328" s="2">
        <v>10327</v>
      </c>
      <c r="B328" s="2">
        <v>1463</v>
      </c>
      <c r="C328" s="3">
        <v>45169</v>
      </c>
      <c r="D328" s="3">
        <v>45176</v>
      </c>
      <c r="E328" s="2" t="s">
        <v>28</v>
      </c>
      <c r="F328" s="2" t="s">
        <v>29</v>
      </c>
      <c r="G328" s="2" t="s">
        <v>23</v>
      </c>
      <c r="H328" s="2" t="s">
        <v>48</v>
      </c>
      <c r="I328" s="2" t="s">
        <v>58</v>
      </c>
      <c r="J328" s="2" t="s">
        <v>66</v>
      </c>
      <c r="K328" s="2" t="s">
        <v>53</v>
      </c>
      <c r="L328" s="2">
        <v>6</v>
      </c>
      <c r="M328" s="2">
        <v>3967.1</v>
      </c>
      <c r="N328" s="2">
        <v>0</v>
      </c>
      <c r="O328" s="2">
        <v>23802.6</v>
      </c>
      <c r="P328" s="2">
        <f t="shared" si="50"/>
        <v>23802.6</v>
      </c>
      <c r="Q328" s="2">
        <f t="shared" si="51"/>
        <v>0</v>
      </c>
      <c r="R328" s="2">
        <f t="shared" si="52"/>
        <v>23802.6</v>
      </c>
      <c r="S328" s="2" t="str">
        <f t="shared" si="53"/>
        <v>High</v>
      </c>
      <c r="T328" s="2" t="str" cm="1">
        <f t="array" ref="T328">_xlfn.IFS(L328&gt;5,"High",L328=5,"Medium",L328&lt;5,"Low")</f>
        <v>High</v>
      </c>
      <c r="U328" s="2" t="str">
        <f t="shared" si="54"/>
        <v>High</v>
      </c>
      <c r="V328" s="14" t="str">
        <f t="shared" si="55"/>
        <v>Normal Discount</v>
      </c>
      <c r="W328" s="16" t="str">
        <f t="shared" si="56"/>
        <v>Excellent</v>
      </c>
      <c r="X328" s="18" t="str" cm="1">
        <f t="array" ref="X328">_xlfn.IFS(O328&gt;7000,"Excellent",O328&gt;4000,"Good",O328&lt;4000,"Average")</f>
        <v>Excellent</v>
      </c>
      <c r="AD328" s="23" t="str">
        <f t="shared" si="57"/>
        <v>Eligible</v>
      </c>
      <c r="AE328" s="24" t="str">
        <f t="shared" si="58"/>
        <v>Online</v>
      </c>
      <c r="AF328" s="27" t="str">
        <f t="shared" si="59"/>
        <v>Priority Order</v>
      </c>
    </row>
    <row r="329" spans="1:32" x14ac:dyDescent="0.3">
      <c r="A329" s="2">
        <v>10328</v>
      </c>
      <c r="B329" s="2">
        <v>1348</v>
      </c>
      <c r="C329" s="3">
        <v>45245</v>
      </c>
      <c r="D329" s="3">
        <v>45250</v>
      </c>
      <c r="E329" s="2" t="s">
        <v>28</v>
      </c>
      <c r="F329" s="2" t="s">
        <v>60</v>
      </c>
      <c r="G329" s="2" t="s">
        <v>30</v>
      </c>
      <c r="H329" s="2" t="s">
        <v>31</v>
      </c>
      <c r="I329" s="2" t="s">
        <v>58</v>
      </c>
      <c r="J329" s="2" t="s">
        <v>59</v>
      </c>
      <c r="K329" s="2" t="s">
        <v>51</v>
      </c>
      <c r="L329" s="2">
        <v>2</v>
      </c>
      <c r="M329" s="2">
        <v>2948.33</v>
      </c>
      <c r="N329" s="2">
        <v>15</v>
      </c>
      <c r="O329" s="2">
        <v>5012.16</v>
      </c>
      <c r="P329" s="2">
        <f t="shared" si="50"/>
        <v>5896.66</v>
      </c>
      <c r="Q329" s="2">
        <f t="shared" si="51"/>
        <v>884.49899999999991</v>
      </c>
      <c r="R329" s="2">
        <f t="shared" si="52"/>
        <v>5012.1610000000001</v>
      </c>
      <c r="S329" s="2" t="str">
        <f t="shared" si="53"/>
        <v>Low</v>
      </c>
      <c r="T329" s="2" t="str" cm="1">
        <f t="array" ref="T329">_xlfn.IFS(L329&gt;5,"High",L329=5,"Medium",L329&lt;5,"Low")</f>
        <v>Low</v>
      </c>
      <c r="U329" s="2" t="str">
        <f t="shared" si="54"/>
        <v>Low</v>
      </c>
      <c r="V329" s="14" t="str">
        <f t="shared" si="55"/>
        <v>Heavy Discount</v>
      </c>
      <c r="W329" s="16" t="str">
        <f t="shared" si="56"/>
        <v>Good</v>
      </c>
      <c r="X329" s="18" t="str" cm="1">
        <f t="array" ref="X329">_xlfn.IFS(O329&gt;7000,"Excellent",O329&gt;4000,"Good",O329&lt;4000,"Average")</f>
        <v>Good</v>
      </c>
      <c r="AD329" s="23" t="str">
        <f t="shared" si="57"/>
        <v>Not Eligible</v>
      </c>
      <c r="AE329" s="24" t="str">
        <f t="shared" si="58"/>
        <v>Online</v>
      </c>
      <c r="AF329" s="27" t="str">
        <f t="shared" si="59"/>
        <v>Normal Order</v>
      </c>
    </row>
    <row r="330" spans="1:32" x14ac:dyDescent="0.3">
      <c r="A330" s="2">
        <v>10329</v>
      </c>
      <c r="B330" s="2">
        <v>1770</v>
      </c>
      <c r="C330" s="3">
        <v>44975</v>
      </c>
      <c r="D330" s="3">
        <v>44976</v>
      </c>
      <c r="E330" s="2" t="s">
        <v>46</v>
      </c>
      <c r="F330" s="2" t="s">
        <v>44</v>
      </c>
      <c r="G330" s="2" t="s">
        <v>23</v>
      </c>
      <c r="H330" s="2" t="s">
        <v>50</v>
      </c>
      <c r="I330" s="2" t="s">
        <v>32</v>
      </c>
      <c r="J330" s="2" t="s">
        <v>33</v>
      </c>
      <c r="K330" s="2" t="s">
        <v>53</v>
      </c>
      <c r="L330" s="2">
        <v>1</v>
      </c>
      <c r="M330" s="2">
        <v>3171.36</v>
      </c>
      <c r="N330" s="2">
        <v>20</v>
      </c>
      <c r="O330" s="2">
        <v>2537.09</v>
      </c>
      <c r="P330" s="2">
        <f t="shared" si="50"/>
        <v>3171.36</v>
      </c>
      <c r="Q330" s="2">
        <f t="shared" si="51"/>
        <v>634.27200000000005</v>
      </c>
      <c r="R330" s="2">
        <f t="shared" si="52"/>
        <v>2537.0880000000002</v>
      </c>
      <c r="S330" s="2" t="str">
        <f t="shared" si="53"/>
        <v>Low</v>
      </c>
      <c r="T330" s="2" t="str" cm="1">
        <f t="array" ref="T330">_xlfn.IFS(L330&gt;5,"High",L330=5,"Medium",L330&lt;5,"Low")</f>
        <v>Low</v>
      </c>
      <c r="U330" s="2" t="str">
        <f t="shared" si="54"/>
        <v>Low</v>
      </c>
      <c r="V330" s="14" t="str">
        <f t="shared" si="55"/>
        <v>Heavy Discount</v>
      </c>
      <c r="W330" s="16" t="str">
        <f t="shared" si="56"/>
        <v>Average</v>
      </c>
      <c r="X330" s="18" t="str" cm="1">
        <f t="array" ref="X330">_xlfn.IFS(O330&gt;7000,"Excellent",O330&gt;4000,"Good",O330&lt;4000,"Average")</f>
        <v>Average</v>
      </c>
      <c r="AD330" s="23" t="str">
        <f t="shared" si="57"/>
        <v>Not Eligible</v>
      </c>
      <c r="AE330" s="24" t="str">
        <f t="shared" si="58"/>
        <v>Online</v>
      </c>
      <c r="AF330" s="27" t="str">
        <f t="shared" si="59"/>
        <v>Normal Order</v>
      </c>
    </row>
    <row r="331" spans="1:32" x14ac:dyDescent="0.3">
      <c r="A331" s="2">
        <v>10330</v>
      </c>
      <c r="B331" s="2">
        <v>1659</v>
      </c>
      <c r="C331" s="3">
        <v>44958</v>
      </c>
      <c r="D331" s="3">
        <v>44966</v>
      </c>
      <c r="E331" s="2" t="s">
        <v>43</v>
      </c>
      <c r="F331" s="2" t="s">
        <v>60</v>
      </c>
      <c r="G331" s="2" t="s">
        <v>23</v>
      </c>
      <c r="H331" s="2" t="s">
        <v>50</v>
      </c>
      <c r="I331" s="2" t="s">
        <v>58</v>
      </c>
      <c r="J331" s="2" t="s">
        <v>70</v>
      </c>
      <c r="K331" s="2" t="s">
        <v>27</v>
      </c>
      <c r="L331" s="2">
        <v>7</v>
      </c>
      <c r="M331" s="2">
        <v>3978.5</v>
      </c>
      <c r="N331" s="2">
        <v>20</v>
      </c>
      <c r="O331" s="2">
        <v>22279.599999999999</v>
      </c>
      <c r="P331" s="2">
        <f t="shared" si="50"/>
        <v>27849.5</v>
      </c>
      <c r="Q331" s="2">
        <f t="shared" si="51"/>
        <v>5569.9000000000005</v>
      </c>
      <c r="R331" s="2">
        <f t="shared" si="52"/>
        <v>22279.599999999999</v>
      </c>
      <c r="S331" s="2" t="str">
        <f t="shared" si="53"/>
        <v>High</v>
      </c>
      <c r="T331" s="2" t="str" cm="1">
        <f t="array" ref="T331">_xlfn.IFS(L331&gt;5,"High",L331=5,"Medium",L331&lt;5,"Low")</f>
        <v>High</v>
      </c>
      <c r="U331" s="2" t="str">
        <f t="shared" si="54"/>
        <v>High</v>
      </c>
      <c r="V331" s="14" t="str">
        <f t="shared" si="55"/>
        <v>Heavy Discount</v>
      </c>
      <c r="W331" s="16" t="str">
        <f t="shared" si="56"/>
        <v>Excellent</v>
      </c>
      <c r="X331" s="18" t="str" cm="1">
        <f t="array" ref="X331">_xlfn.IFS(O331&gt;7000,"Excellent",O331&gt;4000,"Good",O331&lt;4000,"Average")</f>
        <v>Excellent</v>
      </c>
      <c r="AD331" s="23" t="str">
        <f t="shared" si="57"/>
        <v>Not Eligible</v>
      </c>
      <c r="AE331" s="24" t="str">
        <f t="shared" si="58"/>
        <v>Online</v>
      </c>
      <c r="AF331" s="27" t="str">
        <f t="shared" si="59"/>
        <v>Priority Order</v>
      </c>
    </row>
    <row r="332" spans="1:32" x14ac:dyDescent="0.3">
      <c r="A332" s="2">
        <v>10331</v>
      </c>
      <c r="B332" s="2">
        <v>1763</v>
      </c>
      <c r="C332" s="3">
        <v>45203</v>
      </c>
      <c r="D332" s="3">
        <v>45207</v>
      </c>
      <c r="E332" s="2" t="s">
        <v>40</v>
      </c>
      <c r="F332" s="2" t="s">
        <v>44</v>
      </c>
      <c r="G332" s="2" t="s">
        <v>23</v>
      </c>
      <c r="H332" s="2" t="s">
        <v>41</v>
      </c>
      <c r="I332" s="2" t="s">
        <v>25</v>
      </c>
      <c r="J332" s="2" t="s">
        <v>61</v>
      </c>
      <c r="K332" s="2" t="s">
        <v>53</v>
      </c>
      <c r="L332" s="2">
        <v>2</v>
      </c>
      <c r="M332" s="2">
        <v>2481.1</v>
      </c>
      <c r="N332" s="2">
        <v>15</v>
      </c>
      <c r="O332" s="2">
        <v>4217.87</v>
      </c>
      <c r="P332" s="2">
        <f t="shared" si="50"/>
        <v>4962.2</v>
      </c>
      <c r="Q332" s="2">
        <f t="shared" si="51"/>
        <v>744.32999999999993</v>
      </c>
      <c r="R332" s="2">
        <f t="shared" si="52"/>
        <v>4217.87</v>
      </c>
      <c r="S332" s="2" t="str">
        <f t="shared" si="53"/>
        <v>Low</v>
      </c>
      <c r="T332" s="2" t="str" cm="1">
        <f t="array" ref="T332">_xlfn.IFS(L332&gt;5,"High",L332=5,"Medium",L332&lt;5,"Low")</f>
        <v>Low</v>
      </c>
      <c r="U332" s="2" t="str">
        <f t="shared" si="54"/>
        <v>Low</v>
      </c>
      <c r="V332" s="14" t="str">
        <f t="shared" si="55"/>
        <v>Heavy Discount</v>
      </c>
      <c r="W332" s="16" t="str">
        <f t="shared" si="56"/>
        <v>Good</v>
      </c>
      <c r="X332" s="18" t="str" cm="1">
        <f t="array" ref="X332">_xlfn.IFS(O332&gt;7000,"Excellent",O332&gt;4000,"Good",O332&lt;4000,"Average")</f>
        <v>Good</v>
      </c>
      <c r="AD332" s="23" t="str">
        <f t="shared" si="57"/>
        <v>Not Eligible</v>
      </c>
      <c r="AE332" s="24" t="str">
        <f t="shared" si="58"/>
        <v>Online</v>
      </c>
      <c r="AF332" s="27" t="str">
        <f t="shared" si="59"/>
        <v>Normal Order</v>
      </c>
    </row>
    <row r="333" spans="1:32" x14ac:dyDescent="0.3">
      <c r="A333" s="2">
        <v>10332</v>
      </c>
      <c r="B333" s="2">
        <v>1954</v>
      </c>
      <c r="C333" s="3">
        <v>44946</v>
      </c>
      <c r="D333" s="3">
        <v>44955</v>
      </c>
      <c r="E333" s="2" t="s">
        <v>21</v>
      </c>
      <c r="F333" s="2" t="s">
        <v>29</v>
      </c>
      <c r="G333" s="2" t="s">
        <v>23</v>
      </c>
      <c r="H333" s="2" t="s">
        <v>48</v>
      </c>
      <c r="I333" s="2" t="s">
        <v>63</v>
      </c>
      <c r="J333" s="2" t="s">
        <v>73</v>
      </c>
      <c r="K333" s="2" t="s">
        <v>27</v>
      </c>
      <c r="L333" s="2">
        <v>2</v>
      </c>
      <c r="M333" s="2">
        <v>1335.36</v>
      </c>
      <c r="N333" s="2">
        <v>5</v>
      </c>
      <c r="O333" s="2">
        <v>2537.1799999999998</v>
      </c>
      <c r="P333" s="2">
        <f t="shared" si="50"/>
        <v>2670.72</v>
      </c>
      <c r="Q333" s="2">
        <f t="shared" si="51"/>
        <v>133.536</v>
      </c>
      <c r="R333" s="2">
        <f t="shared" si="52"/>
        <v>2537.1839999999997</v>
      </c>
      <c r="S333" s="2" t="str">
        <f t="shared" si="53"/>
        <v>Low</v>
      </c>
      <c r="T333" s="2" t="str" cm="1">
        <f t="array" ref="T333">_xlfn.IFS(L333&gt;5,"High",L333=5,"Medium",L333&lt;5,"Low")</f>
        <v>Low</v>
      </c>
      <c r="U333" s="2" t="str">
        <f t="shared" si="54"/>
        <v>Low</v>
      </c>
      <c r="V333" s="14" t="str">
        <f t="shared" si="55"/>
        <v>Normal Discount</v>
      </c>
      <c r="W333" s="16" t="str">
        <f t="shared" si="56"/>
        <v>Average</v>
      </c>
      <c r="X333" s="18" t="str" cm="1">
        <f t="array" ref="X333">_xlfn.IFS(O333&gt;7000,"Excellent",O333&gt;4000,"Good",O333&lt;4000,"Average")</f>
        <v>Average</v>
      </c>
      <c r="AD333" s="23" t="str">
        <f t="shared" si="57"/>
        <v>Not Eligible</v>
      </c>
      <c r="AE333" s="24" t="str">
        <f t="shared" si="58"/>
        <v>Online</v>
      </c>
      <c r="AF333" s="27" t="str">
        <f t="shared" si="59"/>
        <v>Normal Order</v>
      </c>
    </row>
    <row r="334" spans="1:32" x14ac:dyDescent="0.3">
      <c r="A334" s="2">
        <v>10333</v>
      </c>
      <c r="B334" s="2">
        <v>1931</v>
      </c>
      <c r="C334" s="3">
        <v>45080</v>
      </c>
      <c r="D334" s="3">
        <v>45086</v>
      </c>
      <c r="E334" s="2" t="s">
        <v>43</v>
      </c>
      <c r="F334" s="2" t="s">
        <v>60</v>
      </c>
      <c r="G334" s="2" t="s">
        <v>23</v>
      </c>
      <c r="H334" s="2" t="s">
        <v>31</v>
      </c>
      <c r="I334" s="2" t="s">
        <v>58</v>
      </c>
      <c r="J334" s="2" t="s">
        <v>66</v>
      </c>
      <c r="K334" s="2" t="s">
        <v>27</v>
      </c>
      <c r="L334" s="2">
        <v>5</v>
      </c>
      <c r="M334" s="2">
        <v>3374.49</v>
      </c>
      <c r="N334" s="2">
        <v>5</v>
      </c>
      <c r="O334" s="2">
        <v>16028.83</v>
      </c>
      <c r="P334" s="2">
        <f t="shared" si="50"/>
        <v>16872.449999999997</v>
      </c>
      <c r="Q334" s="2">
        <f t="shared" si="51"/>
        <v>843.62249999999995</v>
      </c>
      <c r="R334" s="2">
        <f t="shared" si="52"/>
        <v>16028.827499999998</v>
      </c>
      <c r="S334" s="2" t="str">
        <f t="shared" si="53"/>
        <v>High</v>
      </c>
      <c r="T334" s="2" t="str" cm="1">
        <f t="array" ref="T334">_xlfn.IFS(L334&gt;5,"High",L334=5,"Medium",L334&lt;5,"Low")</f>
        <v>Medium</v>
      </c>
      <c r="U334" s="2" t="str">
        <f t="shared" si="54"/>
        <v>Medium</v>
      </c>
      <c r="V334" s="14" t="str">
        <f t="shared" si="55"/>
        <v>Normal Discount</v>
      </c>
      <c r="W334" s="16" t="str">
        <f t="shared" si="56"/>
        <v>Excellent</v>
      </c>
      <c r="X334" s="18" t="str" cm="1">
        <f t="array" ref="X334">_xlfn.IFS(O334&gt;7000,"Excellent",O334&gt;4000,"Good",O334&lt;4000,"Average")</f>
        <v>Excellent</v>
      </c>
      <c r="AD334" s="23" t="str">
        <f t="shared" si="57"/>
        <v>Eligible</v>
      </c>
      <c r="AE334" s="24" t="str">
        <f t="shared" si="58"/>
        <v>Online</v>
      </c>
      <c r="AF334" s="27" t="str">
        <f t="shared" si="59"/>
        <v>Priority Order</v>
      </c>
    </row>
    <row r="335" spans="1:32" x14ac:dyDescent="0.3">
      <c r="A335" s="2">
        <v>10334</v>
      </c>
      <c r="B335" s="2">
        <v>1402</v>
      </c>
      <c r="C335" s="3">
        <v>44994</v>
      </c>
      <c r="D335" s="3">
        <v>44995</v>
      </c>
      <c r="E335" s="2" t="s">
        <v>22</v>
      </c>
      <c r="F335" s="2" t="s">
        <v>35</v>
      </c>
      <c r="G335" s="2" t="s">
        <v>30</v>
      </c>
      <c r="H335" s="2" t="s">
        <v>41</v>
      </c>
      <c r="I335" s="2" t="s">
        <v>63</v>
      </c>
      <c r="J335" s="2" t="s">
        <v>65</v>
      </c>
      <c r="K335" s="2" t="s">
        <v>53</v>
      </c>
      <c r="L335" s="2">
        <v>5</v>
      </c>
      <c r="M335" s="2">
        <v>2515.77</v>
      </c>
      <c r="N335" s="2">
        <v>20</v>
      </c>
      <c r="O335" s="2">
        <v>10063.08</v>
      </c>
      <c r="P335" s="2">
        <f t="shared" si="50"/>
        <v>12578.85</v>
      </c>
      <c r="Q335" s="2">
        <f t="shared" si="51"/>
        <v>2515.7700000000004</v>
      </c>
      <c r="R335" s="2">
        <f t="shared" si="52"/>
        <v>10063.08</v>
      </c>
      <c r="S335" s="2" t="str">
        <f t="shared" si="53"/>
        <v>High</v>
      </c>
      <c r="T335" s="2" t="str" cm="1">
        <f t="array" ref="T335">_xlfn.IFS(L335&gt;5,"High",L335=5,"Medium",L335&lt;5,"Low")</f>
        <v>Medium</v>
      </c>
      <c r="U335" s="2" t="str">
        <f t="shared" si="54"/>
        <v>Medium</v>
      </c>
      <c r="V335" s="14" t="str">
        <f t="shared" si="55"/>
        <v>Heavy Discount</v>
      </c>
      <c r="W335" s="16" t="str">
        <f t="shared" si="56"/>
        <v>Excellent</v>
      </c>
      <c r="X335" s="18" t="str" cm="1">
        <f t="array" ref="X335">_xlfn.IFS(O335&gt;7000,"Excellent",O335&gt;4000,"Good",O335&lt;4000,"Average")</f>
        <v>Excellent</v>
      </c>
      <c r="AD335" s="23" t="str">
        <f t="shared" si="57"/>
        <v>Not Eligible</v>
      </c>
      <c r="AE335" s="24" t="str">
        <f t="shared" si="58"/>
        <v>Online</v>
      </c>
      <c r="AF335" s="27" t="str">
        <f t="shared" si="59"/>
        <v>Priority Order</v>
      </c>
    </row>
    <row r="336" spans="1:32" x14ac:dyDescent="0.3">
      <c r="A336" s="2">
        <v>10335</v>
      </c>
      <c r="B336" s="2">
        <v>1345</v>
      </c>
      <c r="C336" s="3">
        <v>45140</v>
      </c>
      <c r="D336" s="3">
        <v>45143</v>
      </c>
      <c r="E336" s="2" t="s">
        <v>46</v>
      </c>
      <c r="F336" s="2" t="s">
        <v>47</v>
      </c>
      <c r="G336" s="2" t="s">
        <v>23</v>
      </c>
      <c r="H336" s="2" t="s">
        <v>41</v>
      </c>
      <c r="I336" s="2" t="s">
        <v>25</v>
      </c>
      <c r="J336" s="2" t="s">
        <v>49</v>
      </c>
      <c r="K336" s="2" t="s">
        <v>51</v>
      </c>
      <c r="L336" s="2">
        <v>7</v>
      </c>
      <c r="M336" s="2">
        <v>2387.6</v>
      </c>
      <c r="N336" s="2">
        <v>20</v>
      </c>
      <c r="O336" s="2">
        <v>13370.56</v>
      </c>
      <c r="P336" s="2">
        <f t="shared" si="50"/>
        <v>16713.2</v>
      </c>
      <c r="Q336" s="2">
        <f t="shared" si="51"/>
        <v>3342.6400000000003</v>
      </c>
      <c r="R336" s="2">
        <f t="shared" si="52"/>
        <v>13370.560000000001</v>
      </c>
      <c r="S336" s="2" t="str">
        <f t="shared" si="53"/>
        <v>High</v>
      </c>
      <c r="T336" s="2" t="str" cm="1">
        <f t="array" ref="T336">_xlfn.IFS(L336&gt;5,"High",L336=5,"Medium",L336&lt;5,"Low")</f>
        <v>High</v>
      </c>
      <c r="U336" s="2" t="str">
        <f t="shared" si="54"/>
        <v>High</v>
      </c>
      <c r="V336" s="14" t="str">
        <f t="shared" si="55"/>
        <v>Heavy Discount</v>
      </c>
      <c r="W336" s="16" t="str">
        <f t="shared" si="56"/>
        <v>Excellent</v>
      </c>
      <c r="X336" s="18" t="str" cm="1">
        <f t="array" ref="X336">_xlfn.IFS(O336&gt;7000,"Excellent",O336&gt;4000,"Good",O336&lt;4000,"Average")</f>
        <v>Excellent</v>
      </c>
      <c r="AD336" s="23" t="str">
        <f t="shared" si="57"/>
        <v>Not Eligible</v>
      </c>
      <c r="AE336" s="24" t="str">
        <f t="shared" si="58"/>
        <v>Online</v>
      </c>
      <c r="AF336" s="27" t="str">
        <f t="shared" si="59"/>
        <v>Priority Order</v>
      </c>
    </row>
    <row r="337" spans="1:32" x14ac:dyDescent="0.3">
      <c r="A337" s="2">
        <v>10336</v>
      </c>
      <c r="B337" s="2">
        <v>1962</v>
      </c>
      <c r="C337" s="3">
        <v>45069</v>
      </c>
      <c r="D337" s="3">
        <v>45072</v>
      </c>
      <c r="E337" s="2" t="s">
        <v>22</v>
      </c>
      <c r="F337" s="2" t="s">
        <v>47</v>
      </c>
      <c r="G337" s="2" t="s">
        <v>30</v>
      </c>
      <c r="H337" s="2" t="s">
        <v>48</v>
      </c>
      <c r="I337" s="2" t="s">
        <v>25</v>
      </c>
      <c r="J337" s="2" t="s">
        <v>72</v>
      </c>
      <c r="K337" s="2" t="s">
        <v>39</v>
      </c>
      <c r="L337" s="2">
        <v>1</v>
      </c>
      <c r="M337" s="2">
        <v>1126.5</v>
      </c>
      <c r="N337" s="2">
        <v>15</v>
      </c>
      <c r="O337" s="2">
        <v>957.52</v>
      </c>
      <c r="P337" s="2">
        <f t="shared" si="50"/>
        <v>1126.5</v>
      </c>
      <c r="Q337" s="2">
        <f t="shared" si="51"/>
        <v>168.97499999999999</v>
      </c>
      <c r="R337" s="2">
        <f t="shared" si="52"/>
        <v>957.52499999999998</v>
      </c>
      <c r="S337" s="2" t="str">
        <f t="shared" si="53"/>
        <v>Low</v>
      </c>
      <c r="T337" s="2" t="str" cm="1">
        <f t="array" ref="T337">_xlfn.IFS(L337&gt;5,"High",L337=5,"Medium",L337&lt;5,"Low")</f>
        <v>Low</v>
      </c>
      <c r="U337" s="2" t="str">
        <f t="shared" si="54"/>
        <v>Low</v>
      </c>
      <c r="V337" s="14" t="str">
        <f t="shared" si="55"/>
        <v>Heavy Discount</v>
      </c>
      <c r="W337" s="16" t="str">
        <f t="shared" si="56"/>
        <v>Average</v>
      </c>
      <c r="X337" s="18" t="str" cm="1">
        <f t="array" ref="X337">_xlfn.IFS(O337&gt;7000,"Excellent",O337&gt;4000,"Good",O337&lt;4000,"Average")</f>
        <v>Average</v>
      </c>
      <c r="AD337" s="23" t="str">
        <f t="shared" si="57"/>
        <v>Not Eligible</v>
      </c>
      <c r="AE337" s="24" t="str">
        <f t="shared" si="58"/>
        <v>Online</v>
      </c>
      <c r="AF337" s="27" t="str">
        <f t="shared" si="59"/>
        <v>Normal Order</v>
      </c>
    </row>
    <row r="338" spans="1:32" x14ac:dyDescent="0.3">
      <c r="A338" s="2">
        <v>10337</v>
      </c>
      <c r="B338" s="2">
        <v>1510</v>
      </c>
      <c r="C338" s="3">
        <v>45158</v>
      </c>
      <c r="D338" s="3">
        <v>45162</v>
      </c>
      <c r="E338" s="2" t="s">
        <v>52</v>
      </c>
      <c r="F338" s="2" t="s">
        <v>44</v>
      </c>
      <c r="G338" s="2" t="s">
        <v>23</v>
      </c>
      <c r="H338" s="2" t="s">
        <v>31</v>
      </c>
      <c r="I338" s="2" t="s">
        <v>63</v>
      </c>
      <c r="J338" s="2" t="s">
        <v>68</v>
      </c>
      <c r="K338" s="2" t="s">
        <v>39</v>
      </c>
      <c r="L338" s="2">
        <v>8</v>
      </c>
      <c r="M338" s="2">
        <v>3061.89</v>
      </c>
      <c r="N338" s="2">
        <v>5</v>
      </c>
      <c r="O338" s="2">
        <v>23270.36</v>
      </c>
      <c r="P338" s="2">
        <f t="shared" si="50"/>
        <v>24495.119999999999</v>
      </c>
      <c r="Q338" s="2">
        <f t="shared" si="51"/>
        <v>1224.7560000000001</v>
      </c>
      <c r="R338" s="2">
        <f t="shared" si="52"/>
        <v>23270.363999999998</v>
      </c>
      <c r="S338" s="2" t="str">
        <f t="shared" si="53"/>
        <v>High</v>
      </c>
      <c r="T338" s="2" t="str" cm="1">
        <f t="array" ref="T338">_xlfn.IFS(L338&gt;5,"High",L338=5,"Medium",L338&lt;5,"Low")</f>
        <v>High</v>
      </c>
      <c r="U338" s="2" t="str">
        <f t="shared" si="54"/>
        <v>High</v>
      </c>
      <c r="V338" s="14" t="str">
        <f t="shared" si="55"/>
        <v>Normal Discount</v>
      </c>
      <c r="W338" s="16" t="str">
        <f t="shared" si="56"/>
        <v>Excellent</v>
      </c>
      <c r="X338" s="18" t="str" cm="1">
        <f t="array" ref="X338">_xlfn.IFS(O338&gt;7000,"Excellent",O338&gt;4000,"Good",O338&lt;4000,"Average")</f>
        <v>Excellent</v>
      </c>
      <c r="AD338" s="23" t="str">
        <f t="shared" si="57"/>
        <v>Eligible</v>
      </c>
      <c r="AE338" s="24" t="str">
        <f t="shared" si="58"/>
        <v>Online</v>
      </c>
      <c r="AF338" s="27" t="str">
        <f t="shared" si="59"/>
        <v>Priority Order</v>
      </c>
    </row>
    <row r="339" spans="1:32" x14ac:dyDescent="0.3">
      <c r="A339" s="2">
        <v>10338</v>
      </c>
      <c r="B339" s="2">
        <v>1146</v>
      </c>
      <c r="C339" s="3">
        <v>45139</v>
      </c>
      <c r="D339" s="3">
        <v>45145</v>
      </c>
      <c r="E339" s="2" t="s">
        <v>28</v>
      </c>
      <c r="F339" s="2" t="s">
        <v>35</v>
      </c>
      <c r="G339" s="2" t="s">
        <v>36</v>
      </c>
      <c r="H339" s="2" t="s">
        <v>48</v>
      </c>
      <c r="I339" s="2" t="s">
        <v>55</v>
      </c>
      <c r="J339" s="2" t="s">
        <v>56</v>
      </c>
      <c r="K339" s="2" t="s">
        <v>27</v>
      </c>
      <c r="L339" s="2">
        <v>3</v>
      </c>
      <c r="M339" s="2">
        <v>464.42</v>
      </c>
      <c r="N339" s="2">
        <v>20</v>
      </c>
      <c r="O339" s="2">
        <v>1114.6099999999999</v>
      </c>
      <c r="P339" s="2">
        <f t="shared" si="50"/>
        <v>1393.26</v>
      </c>
      <c r="Q339" s="2">
        <f t="shared" si="51"/>
        <v>278.65199999999999</v>
      </c>
      <c r="R339" s="2">
        <f t="shared" si="52"/>
        <v>1114.6079999999999</v>
      </c>
      <c r="S339" s="2" t="str">
        <f t="shared" si="53"/>
        <v>Low</v>
      </c>
      <c r="T339" s="2" t="str" cm="1">
        <f t="array" ref="T339">_xlfn.IFS(L339&gt;5,"High",L339=5,"Medium",L339&lt;5,"Low")</f>
        <v>Low</v>
      </c>
      <c r="U339" s="2" t="str">
        <f t="shared" si="54"/>
        <v>Low</v>
      </c>
      <c r="V339" s="14" t="str">
        <f t="shared" si="55"/>
        <v>Heavy Discount</v>
      </c>
      <c r="W339" s="16" t="str">
        <f t="shared" si="56"/>
        <v>Average</v>
      </c>
      <c r="X339" s="18" t="str" cm="1">
        <f t="array" ref="X339">_xlfn.IFS(O339&gt;7000,"Excellent",O339&gt;4000,"Good",O339&lt;4000,"Average")</f>
        <v>Average</v>
      </c>
      <c r="AD339" s="23" t="str">
        <f t="shared" si="57"/>
        <v>Not Eligible</v>
      </c>
      <c r="AE339" s="24" t="str">
        <f t="shared" si="58"/>
        <v>Offline</v>
      </c>
      <c r="AF339" s="27" t="str">
        <f t="shared" si="59"/>
        <v>Normal Order</v>
      </c>
    </row>
    <row r="340" spans="1:32" x14ac:dyDescent="0.3">
      <c r="A340" s="2">
        <v>10339</v>
      </c>
      <c r="B340" s="2">
        <v>1147</v>
      </c>
      <c r="C340" s="3">
        <v>45005</v>
      </c>
      <c r="D340" s="3">
        <v>45012</v>
      </c>
      <c r="E340" s="2" t="s">
        <v>21</v>
      </c>
      <c r="F340" s="2" t="s">
        <v>60</v>
      </c>
      <c r="G340" s="2" t="s">
        <v>23</v>
      </c>
      <c r="H340" s="2" t="s">
        <v>31</v>
      </c>
      <c r="I340" s="2" t="s">
        <v>37</v>
      </c>
      <c r="J340" s="2" t="s">
        <v>38</v>
      </c>
      <c r="K340" s="2" t="s">
        <v>27</v>
      </c>
      <c r="L340" s="2">
        <v>4</v>
      </c>
      <c r="M340" s="2">
        <v>3708.51</v>
      </c>
      <c r="N340" s="2">
        <v>5</v>
      </c>
      <c r="O340" s="2">
        <v>14092.34</v>
      </c>
      <c r="P340" s="2">
        <f t="shared" si="50"/>
        <v>14834.04</v>
      </c>
      <c r="Q340" s="2">
        <f t="shared" si="51"/>
        <v>741.70200000000011</v>
      </c>
      <c r="R340" s="2">
        <f t="shared" si="52"/>
        <v>14092.338000000002</v>
      </c>
      <c r="S340" s="2" t="str">
        <f t="shared" si="53"/>
        <v>Low</v>
      </c>
      <c r="T340" s="2" t="str" cm="1">
        <f t="array" ref="T340">_xlfn.IFS(L340&gt;5,"High",L340=5,"Medium",L340&lt;5,"Low")</f>
        <v>Low</v>
      </c>
      <c r="U340" s="2" t="str">
        <f t="shared" si="54"/>
        <v>Low</v>
      </c>
      <c r="V340" s="14" t="str">
        <f t="shared" si="55"/>
        <v>Normal Discount</v>
      </c>
      <c r="W340" s="16" t="str">
        <f t="shared" si="56"/>
        <v>Excellent</v>
      </c>
      <c r="X340" s="18" t="str" cm="1">
        <f t="array" ref="X340">_xlfn.IFS(O340&gt;7000,"Excellent",O340&gt;4000,"Good",O340&lt;4000,"Average")</f>
        <v>Excellent</v>
      </c>
      <c r="AD340" s="23" t="str">
        <f t="shared" si="57"/>
        <v>Eligible</v>
      </c>
      <c r="AE340" s="24" t="str">
        <f t="shared" si="58"/>
        <v>Online</v>
      </c>
      <c r="AF340" s="27" t="str">
        <f t="shared" si="59"/>
        <v>Priority Order</v>
      </c>
    </row>
    <row r="341" spans="1:32" x14ac:dyDescent="0.3">
      <c r="A341" s="2">
        <v>10340</v>
      </c>
      <c r="B341" s="2">
        <v>1863</v>
      </c>
      <c r="C341" s="3">
        <v>45140</v>
      </c>
      <c r="D341" s="3">
        <v>45144</v>
      </c>
      <c r="E341" s="2" t="s">
        <v>43</v>
      </c>
      <c r="F341" s="2" t="s">
        <v>35</v>
      </c>
      <c r="G341" s="2" t="s">
        <v>36</v>
      </c>
      <c r="H341" s="2" t="s">
        <v>48</v>
      </c>
      <c r="I341" s="2" t="s">
        <v>55</v>
      </c>
      <c r="J341" s="2" t="s">
        <v>56</v>
      </c>
      <c r="K341" s="2" t="s">
        <v>51</v>
      </c>
      <c r="L341" s="2">
        <v>9</v>
      </c>
      <c r="M341" s="2">
        <v>1404.42</v>
      </c>
      <c r="N341" s="2">
        <v>20</v>
      </c>
      <c r="O341" s="2">
        <v>10111.82</v>
      </c>
      <c r="P341" s="2">
        <f t="shared" si="50"/>
        <v>12639.78</v>
      </c>
      <c r="Q341" s="2">
        <f t="shared" si="51"/>
        <v>2527.9560000000001</v>
      </c>
      <c r="R341" s="2">
        <f t="shared" si="52"/>
        <v>10111.824000000001</v>
      </c>
      <c r="S341" s="2" t="str">
        <f t="shared" si="53"/>
        <v>High</v>
      </c>
      <c r="T341" s="2" t="str" cm="1">
        <f t="array" ref="T341">_xlfn.IFS(L341&gt;5,"High",L341=5,"Medium",L341&lt;5,"Low")</f>
        <v>High</v>
      </c>
      <c r="U341" s="2" t="str">
        <f t="shared" si="54"/>
        <v>High</v>
      </c>
      <c r="V341" s="14" t="str">
        <f t="shared" si="55"/>
        <v>Heavy Discount</v>
      </c>
      <c r="W341" s="16" t="str">
        <f t="shared" si="56"/>
        <v>Excellent</v>
      </c>
      <c r="X341" s="18" t="str" cm="1">
        <f t="array" ref="X341">_xlfn.IFS(O341&gt;7000,"Excellent",O341&gt;4000,"Good",O341&lt;4000,"Average")</f>
        <v>Excellent</v>
      </c>
      <c r="AD341" s="23" t="str">
        <f t="shared" si="57"/>
        <v>Not Eligible</v>
      </c>
      <c r="AE341" s="24" t="str">
        <f t="shared" si="58"/>
        <v>Offline</v>
      </c>
      <c r="AF341" s="27" t="str">
        <f t="shared" si="59"/>
        <v>Priority Order</v>
      </c>
    </row>
    <row r="342" spans="1:32" x14ac:dyDescent="0.3">
      <c r="A342" s="2">
        <v>10341</v>
      </c>
      <c r="B342" s="2">
        <v>1710</v>
      </c>
      <c r="C342" s="3">
        <v>45042</v>
      </c>
      <c r="D342" s="3">
        <v>45048</v>
      </c>
      <c r="E342" s="2" t="s">
        <v>22</v>
      </c>
      <c r="F342" s="2" t="s">
        <v>35</v>
      </c>
      <c r="G342" s="2" t="s">
        <v>23</v>
      </c>
      <c r="H342" s="2" t="s">
        <v>41</v>
      </c>
      <c r="I342" s="2" t="s">
        <v>55</v>
      </c>
      <c r="J342" s="2" t="s">
        <v>57</v>
      </c>
      <c r="K342" s="2" t="s">
        <v>34</v>
      </c>
      <c r="L342" s="2">
        <v>4</v>
      </c>
      <c r="M342" s="2">
        <v>641.92999999999995</v>
      </c>
      <c r="N342" s="2">
        <v>0</v>
      </c>
      <c r="O342" s="2">
        <v>2567.7199999999998</v>
      </c>
      <c r="P342" s="2">
        <f t="shared" si="50"/>
        <v>2567.7199999999998</v>
      </c>
      <c r="Q342" s="2">
        <f t="shared" si="51"/>
        <v>0</v>
      </c>
      <c r="R342" s="2">
        <f t="shared" si="52"/>
        <v>2567.7199999999998</v>
      </c>
      <c r="S342" s="2" t="str">
        <f t="shared" si="53"/>
        <v>Low</v>
      </c>
      <c r="T342" s="2" t="str" cm="1">
        <f t="array" ref="T342">_xlfn.IFS(L342&gt;5,"High",L342=5,"Medium",L342&lt;5,"Low")</f>
        <v>Low</v>
      </c>
      <c r="U342" s="2" t="str">
        <f t="shared" si="54"/>
        <v>Low</v>
      </c>
      <c r="V342" s="14" t="str">
        <f t="shared" si="55"/>
        <v>Normal Discount</v>
      </c>
      <c r="W342" s="16" t="str">
        <f t="shared" si="56"/>
        <v>Average</v>
      </c>
      <c r="X342" s="18" t="str" cm="1">
        <f t="array" ref="X342">_xlfn.IFS(O342&gt;7000,"Excellent",O342&gt;4000,"Good",O342&lt;4000,"Average")</f>
        <v>Average</v>
      </c>
      <c r="AD342" s="23" t="str">
        <f t="shared" si="57"/>
        <v>Not Eligible</v>
      </c>
      <c r="AE342" s="24" t="str">
        <f t="shared" si="58"/>
        <v>Online</v>
      </c>
      <c r="AF342" s="27" t="str">
        <f t="shared" si="59"/>
        <v>Normal Order</v>
      </c>
    </row>
    <row r="343" spans="1:32" x14ac:dyDescent="0.3">
      <c r="A343" s="2">
        <v>10342</v>
      </c>
      <c r="B343" s="2">
        <v>1819</v>
      </c>
      <c r="C343" s="3">
        <v>45018</v>
      </c>
      <c r="D343" s="3">
        <v>45019</v>
      </c>
      <c r="E343" s="2" t="s">
        <v>21</v>
      </c>
      <c r="F343" s="2" t="s">
        <v>60</v>
      </c>
      <c r="G343" s="2" t="s">
        <v>23</v>
      </c>
      <c r="H343" s="2" t="s">
        <v>41</v>
      </c>
      <c r="I343" s="2" t="s">
        <v>32</v>
      </c>
      <c r="J343" s="2" t="s">
        <v>33</v>
      </c>
      <c r="K343" s="2" t="s">
        <v>53</v>
      </c>
      <c r="L343" s="2">
        <v>5</v>
      </c>
      <c r="M343" s="2">
        <v>1853.11</v>
      </c>
      <c r="N343" s="2">
        <v>10</v>
      </c>
      <c r="O343" s="2">
        <v>8338.99</v>
      </c>
      <c r="P343" s="2">
        <f t="shared" si="50"/>
        <v>9265.5499999999993</v>
      </c>
      <c r="Q343" s="2">
        <f t="shared" si="51"/>
        <v>926.55499999999995</v>
      </c>
      <c r="R343" s="2">
        <f t="shared" si="52"/>
        <v>8338.994999999999</v>
      </c>
      <c r="S343" s="2" t="str">
        <f t="shared" si="53"/>
        <v>High</v>
      </c>
      <c r="T343" s="2" t="str" cm="1">
        <f t="array" ref="T343">_xlfn.IFS(L343&gt;5,"High",L343=5,"Medium",L343&lt;5,"Low")</f>
        <v>Medium</v>
      </c>
      <c r="U343" s="2" t="str">
        <f t="shared" si="54"/>
        <v>Medium</v>
      </c>
      <c r="V343" s="14" t="str">
        <f t="shared" si="55"/>
        <v>Normal Discount</v>
      </c>
      <c r="W343" s="16" t="str">
        <f t="shared" si="56"/>
        <v>Excellent</v>
      </c>
      <c r="X343" s="18" t="str" cm="1">
        <f t="array" ref="X343">_xlfn.IFS(O343&gt;7000,"Excellent",O343&gt;4000,"Good",O343&lt;4000,"Average")</f>
        <v>Excellent</v>
      </c>
      <c r="AD343" s="23" t="str">
        <f t="shared" si="57"/>
        <v>Not Eligible</v>
      </c>
      <c r="AE343" s="24" t="str">
        <f t="shared" si="58"/>
        <v>Online</v>
      </c>
      <c r="AF343" s="27" t="str">
        <f t="shared" si="59"/>
        <v>Priority Order</v>
      </c>
    </row>
    <row r="344" spans="1:32" x14ac:dyDescent="0.3">
      <c r="A344" s="2">
        <v>10343</v>
      </c>
      <c r="B344" s="2">
        <v>1488</v>
      </c>
      <c r="C344" s="3">
        <v>45196</v>
      </c>
      <c r="D344" s="3">
        <v>45204</v>
      </c>
      <c r="E344" s="2" t="s">
        <v>52</v>
      </c>
      <c r="F344" s="2" t="s">
        <v>29</v>
      </c>
      <c r="G344" s="2" t="s">
        <v>23</v>
      </c>
      <c r="H344" s="2" t="s">
        <v>24</v>
      </c>
      <c r="I344" s="2" t="s">
        <v>55</v>
      </c>
      <c r="J344" s="2" t="s">
        <v>57</v>
      </c>
      <c r="K344" s="2" t="s">
        <v>27</v>
      </c>
      <c r="L344" s="2">
        <v>7</v>
      </c>
      <c r="M344" s="2">
        <v>313.51</v>
      </c>
      <c r="N344" s="2">
        <v>0</v>
      </c>
      <c r="O344" s="2">
        <v>2194.5700000000002</v>
      </c>
      <c r="P344" s="2">
        <f t="shared" si="50"/>
        <v>2194.5699999999997</v>
      </c>
      <c r="Q344" s="2">
        <f t="shared" si="51"/>
        <v>0</v>
      </c>
      <c r="R344" s="2">
        <f t="shared" si="52"/>
        <v>2194.5699999999997</v>
      </c>
      <c r="S344" s="2" t="str">
        <f t="shared" si="53"/>
        <v>High</v>
      </c>
      <c r="T344" s="2" t="str" cm="1">
        <f t="array" ref="T344">_xlfn.IFS(L344&gt;5,"High",L344=5,"Medium",L344&lt;5,"Low")</f>
        <v>High</v>
      </c>
      <c r="U344" s="2" t="str">
        <f t="shared" si="54"/>
        <v>High</v>
      </c>
      <c r="V344" s="14" t="str">
        <f t="shared" si="55"/>
        <v>Normal Discount</v>
      </c>
      <c r="W344" s="16" t="str">
        <f t="shared" si="56"/>
        <v>Average</v>
      </c>
      <c r="X344" s="18" t="str" cm="1">
        <f t="array" ref="X344">_xlfn.IFS(O344&gt;7000,"Excellent",O344&gt;4000,"Good",O344&lt;4000,"Average")</f>
        <v>Average</v>
      </c>
      <c r="AD344" s="23" t="str">
        <f t="shared" si="57"/>
        <v>Not Eligible</v>
      </c>
      <c r="AE344" s="24" t="str">
        <f t="shared" si="58"/>
        <v>Online</v>
      </c>
      <c r="AF344" s="27" t="str">
        <f t="shared" si="59"/>
        <v>Priority Order</v>
      </c>
    </row>
    <row r="345" spans="1:32" x14ac:dyDescent="0.3">
      <c r="A345" s="2">
        <v>10344</v>
      </c>
      <c r="B345" s="2">
        <v>1928</v>
      </c>
      <c r="C345" s="3">
        <v>45094</v>
      </c>
      <c r="D345" s="3">
        <v>45101</v>
      </c>
      <c r="E345" s="2" t="s">
        <v>28</v>
      </c>
      <c r="F345" s="2" t="s">
        <v>35</v>
      </c>
      <c r="G345" s="2" t="s">
        <v>36</v>
      </c>
      <c r="H345" s="2" t="s">
        <v>50</v>
      </c>
      <c r="I345" s="2" t="s">
        <v>58</v>
      </c>
      <c r="J345" s="2" t="s">
        <v>62</v>
      </c>
      <c r="K345" s="2" t="s">
        <v>39</v>
      </c>
      <c r="L345" s="2">
        <v>4</v>
      </c>
      <c r="M345" s="2">
        <v>2785.81</v>
      </c>
      <c r="N345" s="2">
        <v>20</v>
      </c>
      <c r="O345" s="2">
        <v>8914.59</v>
      </c>
      <c r="P345" s="2">
        <f t="shared" si="50"/>
        <v>11143.24</v>
      </c>
      <c r="Q345" s="2">
        <f t="shared" si="51"/>
        <v>2228.6480000000001</v>
      </c>
      <c r="R345" s="2">
        <f t="shared" si="52"/>
        <v>8914.5920000000006</v>
      </c>
      <c r="S345" s="2" t="str">
        <f t="shared" si="53"/>
        <v>Low</v>
      </c>
      <c r="T345" s="2" t="str" cm="1">
        <f t="array" ref="T345">_xlfn.IFS(L345&gt;5,"High",L345=5,"Medium",L345&lt;5,"Low")</f>
        <v>Low</v>
      </c>
      <c r="U345" s="2" t="str">
        <f t="shared" si="54"/>
        <v>Low</v>
      </c>
      <c r="V345" s="14" t="str">
        <f t="shared" si="55"/>
        <v>Heavy Discount</v>
      </c>
      <c r="W345" s="16" t="str">
        <f t="shared" si="56"/>
        <v>Excellent</v>
      </c>
      <c r="X345" s="18" t="str" cm="1">
        <f t="array" ref="X345">_xlfn.IFS(O345&gt;7000,"Excellent",O345&gt;4000,"Good",O345&lt;4000,"Average")</f>
        <v>Excellent</v>
      </c>
      <c r="AD345" s="23" t="str">
        <f t="shared" si="57"/>
        <v>Not Eligible</v>
      </c>
      <c r="AE345" s="24" t="str">
        <f t="shared" si="58"/>
        <v>Offline</v>
      </c>
      <c r="AF345" s="27" t="str">
        <f t="shared" si="59"/>
        <v>Priority Order</v>
      </c>
    </row>
    <row r="346" spans="1:32" x14ac:dyDescent="0.3">
      <c r="A346" s="2">
        <v>10345</v>
      </c>
      <c r="B346" s="2">
        <v>1935</v>
      </c>
      <c r="C346" s="3">
        <v>44984</v>
      </c>
      <c r="D346" s="3">
        <v>44993</v>
      </c>
      <c r="E346" s="2" t="s">
        <v>40</v>
      </c>
      <c r="F346" s="2" t="s">
        <v>35</v>
      </c>
      <c r="G346" s="2" t="s">
        <v>36</v>
      </c>
      <c r="H346" s="2" t="s">
        <v>48</v>
      </c>
      <c r="I346" s="2" t="s">
        <v>32</v>
      </c>
      <c r="J346" s="2" t="s">
        <v>42</v>
      </c>
      <c r="K346" s="2" t="s">
        <v>51</v>
      </c>
      <c r="L346" s="2">
        <v>1</v>
      </c>
      <c r="M346" s="2">
        <v>3625.42</v>
      </c>
      <c r="N346" s="2">
        <v>10</v>
      </c>
      <c r="O346" s="2">
        <v>3262.88</v>
      </c>
      <c r="P346" s="2">
        <f t="shared" si="50"/>
        <v>3625.42</v>
      </c>
      <c r="Q346" s="2">
        <f t="shared" si="51"/>
        <v>362.54200000000003</v>
      </c>
      <c r="R346" s="2">
        <f t="shared" si="52"/>
        <v>3262.8780000000002</v>
      </c>
      <c r="S346" s="2" t="str">
        <f t="shared" si="53"/>
        <v>Low</v>
      </c>
      <c r="T346" s="2" t="str" cm="1">
        <f t="array" ref="T346">_xlfn.IFS(L346&gt;5,"High",L346=5,"Medium",L346&lt;5,"Low")</f>
        <v>Low</v>
      </c>
      <c r="U346" s="2" t="str">
        <f t="shared" si="54"/>
        <v>Low</v>
      </c>
      <c r="V346" s="14" t="str">
        <f t="shared" si="55"/>
        <v>Normal Discount</v>
      </c>
      <c r="W346" s="16" t="str">
        <f t="shared" si="56"/>
        <v>Average</v>
      </c>
      <c r="X346" s="18" t="str" cm="1">
        <f t="array" ref="X346">_xlfn.IFS(O346&gt;7000,"Excellent",O346&gt;4000,"Good",O346&lt;4000,"Average")</f>
        <v>Average</v>
      </c>
      <c r="AD346" s="23" t="str">
        <f t="shared" si="57"/>
        <v>Not Eligible</v>
      </c>
      <c r="AE346" s="24" t="str">
        <f t="shared" si="58"/>
        <v>Offline</v>
      </c>
      <c r="AF346" s="27" t="str">
        <f t="shared" si="59"/>
        <v>Normal Order</v>
      </c>
    </row>
    <row r="347" spans="1:32" x14ac:dyDescent="0.3">
      <c r="A347" s="2">
        <v>10346</v>
      </c>
      <c r="B347" s="2">
        <v>1639</v>
      </c>
      <c r="C347" s="3">
        <v>45210</v>
      </c>
      <c r="D347" s="3">
        <v>45213</v>
      </c>
      <c r="E347" s="2" t="s">
        <v>46</v>
      </c>
      <c r="F347" s="2" t="s">
        <v>29</v>
      </c>
      <c r="G347" s="2" t="s">
        <v>23</v>
      </c>
      <c r="H347" s="2" t="s">
        <v>24</v>
      </c>
      <c r="I347" s="2" t="s">
        <v>32</v>
      </c>
      <c r="J347" s="2" t="s">
        <v>42</v>
      </c>
      <c r="K347" s="2" t="s">
        <v>53</v>
      </c>
      <c r="L347" s="2">
        <v>9</v>
      </c>
      <c r="M347" s="2">
        <v>3373.46</v>
      </c>
      <c r="N347" s="2">
        <v>10</v>
      </c>
      <c r="O347" s="2">
        <v>27325.03</v>
      </c>
      <c r="P347" s="2">
        <f t="shared" si="50"/>
        <v>30361.14</v>
      </c>
      <c r="Q347" s="2">
        <f t="shared" si="51"/>
        <v>3036.114</v>
      </c>
      <c r="R347" s="2">
        <f t="shared" si="52"/>
        <v>27325.025999999998</v>
      </c>
      <c r="S347" s="2" t="str">
        <f t="shared" si="53"/>
        <v>High</v>
      </c>
      <c r="T347" s="2" t="str" cm="1">
        <f t="array" ref="T347">_xlfn.IFS(L347&gt;5,"High",L347=5,"Medium",L347&lt;5,"Low")</f>
        <v>High</v>
      </c>
      <c r="U347" s="2" t="str">
        <f t="shared" si="54"/>
        <v>High</v>
      </c>
      <c r="V347" s="14" t="str">
        <f t="shared" si="55"/>
        <v>Normal Discount</v>
      </c>
      <c r="W347" s="16" t="str">
        <f t="shared" si="56"/>
        <v>Excellent</v>
      </c>
      <c r="X347" s="18" t="str" cm="1">
        <f t="array" ref="X347">_xlfn.IFS(O347&gt;7000,"Excellent",O347&gt;4000,"Good",O347&lt;4000,"Average")</f>
        <v>Excellent</v>
      </c>
      <c r="AD347" s="23" t="str">
        <f t="shared" si="57"/>
        <v>Not Eligible</v>
      </c>
      <c r="AE347" s="24" t="str">
        <f t="shared" si="58"/>
        <v>Online</v>
      </c>
      <c r="AF347" s="27" t="str">
        <f t="shared" si="59"/>
        <v>Priority Order</v>
      </c>
    </row>
    <row r="348" spans="1:32" x14ac:dyDescent="0.3">
      <c r="A348" s="2">
        <v>10347</v>
      </c>
      <c r="B348" s="2">
        <v>1550</v>
      </c>
      <c r="C348" s="3">
        <v>44952</v>
      </c>
      <c r="D348" s="3">
        <v>44954</v>
      </c>
      <c r="E348" s="2" t="s">
        <v>21</v>
      </c>
      <c r="F348" s="2" t="s">
        <v>35</v>
      </c>
      <c r="G348" s="2" t="s">
        <v>30</v>
      </c>
      <c r="H348" s="2" t="s">
        <v>50</v>
      </c>
      <c r="I348" s="2" t="s">
        <v>25</v>
      </c>
      <c r="J348" s="2" t="s">
        <v>26</v>
      </c>
      <c r="K348" s="2" t="s">
        <v>51</v>
      </c>
      <c r="L348" s="2">
        <v>4</v>
      </c>
      <c r="M348" s="2">
        <v>640.37</v>
      </c>
      <c r="N348" s="2">
        <v>20</v>
      </c>
      <c r="O348" s="2">
        <v>2049.1799999999998</v>
      </c>
      <c r="P348" s="2">
        <f t="shared" si="50"/>
        <v>2561.48</v>
      </c>
      <c r="Q348" s="2">
        <f t="shared" si="51"/>
        <v>512.29600000000005</v>
      </c>
      <c r="R348" s="2">
        <f t="shared" si="52"/>
        <v>2049.1840000000002</v>
      </c>
      <c r="S348" s="2" t="str">
        <f t="shared" si="53"/>
        <v>Low</v>
      </c>
      <c r="T348" s="2" t="str" cm="1">
        <f t="array" ref="T348">_xlfn.IFS(L348&gt;5,"High",L348=5,"Medium",L348&lt;5,"Low")</f>
        <v>Low</v>
      </c>
      <c r="U348" s="2" t="str">
        <f t="shared" si="54"/>
        <v>Low</v>
      </c>
      <c r="V348" s="14" t="str">
        <f t="shared" si="55"/>
        <v>Heavy Discount</v>
      </c>
      <c r="W348" s="16" t="str">
        <f t="shared" si="56"/>
        <v>Average</v>
      </c>
      <c r="X348" s="18" t="str" cm="1">
        <f t="array" ref="X348">_xlfn.IFS(O348&gt;7000,"Excellent",O348&gt;4000,"Good",O348&lt;4000,"Average")</f>
        <v>Average</v>
      </c>
      <c r="AD348" s="23" t="str">
        <f t="shared" si="57"/>
        <v>Not Eligible</v>
      </c>
      <c r="AE348" s="24" t="str">
        <f t="shared" si="58"/>
        <v>Online</v>
      </c>
      <c r="AF348" s="27" t="str">
        <f t="shared" si="59"/>
        <v>Normal Order</v>
      </c>
    </row>
    <row r="349" spans="1:32" x14ac:dyDescent="0.3">
      <c r="A349" s="2">
        <v>10348</v>
      </c>
      <c r="B349" s="2">
        <v>1337</v>
      </c>
      <c r="C349" s="3">
        <v>44992</v>
      </c>
      <c r="D349" s="3">
        <v>44993</v>
      </c>
      <c r="E349" s="2" t="s">
        <v>21</v>
      </c>
      <c r="F349" s="2" t="s">
        <v>35</v>
      </c>
      <c r="G349" s="2" t="s">
        <v>23</v>
      </c>
      <c r="H349" s="2" t="s">
        <v>48</v>
      </c>
      <c r="I349" s="2" t="s">
        <v>55</v>
      </c>
      <c r="J349" s="2" t="s">
        <v>74</v>
      </c>
      <c r="K349" s="2" t="s">
        <v>53</v>
      </c>
      <c r="L349" s="2">
        <v>9</v>
      </c>
      <c r="M349" s="2">
        <v>636.14</v>
      </c>
      <c r="N349" s="2">
        <v>20</v>
      </c>
      <c r="O349" s="2">
        <v>4580.21</v>
      </c>
      <c r="P349" s="2">
        <f t="shared" si="50"/>
        <v>5725.26</v>
      </c>
      <c r="Q349" s="2">
        <f t="shared" si="51"/>
        <v>1145.0520000000001</v>
      </c>
      <c r="R349" s="2">
        <f t="shared" si="52"/>
        <v>4580.2080000000005</v>
      </c>
      <c r="S349" s="2" t="str">
        <f t="shared" si="53"/>
        <v>High</v>
      </c>
      <c r="T349" s="2" t="str" cm="1">
        <f t="array" ref="T349">_xlfn.IFS(L349&gt;5,"High",L349=5,"Medium",L349&lt;5,"Low")</f>
        <v>High</v>
      </c>
      <c r="U349" s="2" t="str">
        <f t="shared" si="54"/>
        <v>High</v>
      </c>
      <c r="V349" s="14" t="str">
        <f t="shared" si="55"/>
        <v>Heavy Discount</v>
      </c>
      <c r="W349" s="16" t="str">
        <f t="shared" si="56"/>
        <v>Good</v>
      </c>
      <c r="X349" s="18" t="str" cm="1">
        <f t="array" ref="X349">_xlfn.IFS(O349&gt;7000,"Excellent",O349&gt;4000,"Good",O349&lt;4000,"Average")</f>
        <v>Good</v>
      </c>
      <c r="AD349" s="23" t="str">
        <f t="shared" si="57"/>
        <v>Not Eligible</v>
      </c>
      <c r="AE349" s="24" t="str">
        <f t="shared" si="58"/>
        <v>Online</v>
      </c>
      <c r="AF349" s="27" t="str">
        <f t="shared" si="59"/>
        <v>Priority Order</v>
      </c>
    </row>
    <row r="350" spans="1:32" x14ac:dyDescent="0.3">
      <c r="A350" s="2">
        <v>10349</v>
      </c>
      <c r="B350" s="2">
        <v>1871</v>
      </c>
      <c r="C350" s="3">
        <v>45174</v>
      </c>
      <c r="D350" s="3">
        <v>45177</v>
      </c>
      <c r="E350" s="2" t="s">
        <v>40</v>
      </c>
      <c r="F350" s="2" t="s">
        <v>35</v>
      </c>
      <c r="G350" s="2" t="s">
        <v>36</v>
      </c>
      <c r="H350" s="2" t="s">
        <v>31</v>
      </c>
      <c r="I350" s="2" t="s">
        <v>25</v>
      </c>
      <c r="J350" s="2" t="s">
        <v>61</v>
      </c>
      <c r="K350" s="2" t="s">
        <v>53</v>
      </c>
      <c r="L350" s="2">
        <v>6</v>
      </c>
      <c r="M350" s="2">
        <v>3281.72</v>
      </c>
      <c r="N350" s="2">
        <v>5</v>
      </c>
      <c r="O350" s="2">
        <v>18705.8</v>
      </c>
      <c r="P350" s="2">
        <f t="shared" si="50"/>
        <v>19690.32</v>
      </c>
      <c r="Q350" s="2">
        <f t="shared" si="51"/>
        <v>984.51600000000008</v>
      </c>
      <c r="R350" s="2">
        <f t="shared" si="52"/>
        <v>18705.804</v>
      </c>
      <c r="S350" s="2" t="str">
        <f t="shared" si="53"/>
        <v>High</v>
      </c>
      <c r="T350" s="2" t="str" cm="1">
        <f t="array" ref="T350">_xlfn.IFS(L350&gt;5,"High",L350=5,"Medium",L350&lt;5,"Low")</f>
        <v>High</v>
      </c>
      <c r="U350" s="2" t="str">
        <f t="shared" si="54"/>
        <v>High</v>
      </c>
      <c r="V350" s="14" t="str">
        <f t="shared" si="55"/>
        <v>Normal Discount</v>
      </c>
      <c r="W350" s="16" t="str">
        <f t="shared" si="56"/>
        <v>Excellent</v>
      </c>
      <c r="X350" s="18" t="str" cm="1">
        <f t="array" ref="X350">_xlfn.IFS(O350&gt;7000,"Excellent",O350&gt;4000,"Good",O350&lt;4000,"Average")</f>
        <v>Excellent</v>
      </c>
      <c r="AD350" s="23" t="str">
        <f t="shared" si="57"/>
        <v>Eligible</v>
      </c>
      <c r="AE350" s="24" t="str">
        <f t="shared" si="58"/>
        <v>Offline</v>
      </c>
      <c r="AF350" s="27" t="str">
        <f t="shared" si="59"/>
        <v>Priority Order</v>
      </c>
    </row>
    <row r="351" spans="1:32" x14ac:dyDescent="0.3">
      <c r="A351" s="2">
        <v>10350</v>
      </c>
      <c r="B351" s="2">
        <v>1640</v>
      </c>
      <c r="C351" s="3">
        <v>45180</v>
      </c>
      <c r="D351" s="3">
        <v>45185</v>
      </c>
      <c r="E351" s="2" t="s">
        <v>21</v>
      </c>
      <c r="F351" s="2" t="s">
        <v>47</v>
      </c>
      <c r="G351" s="2" t="s">
        <v>23</v>
      </c>
      <c r="H351" s="2" t="s">
        <v>50</v>
      </c>
      <c r="I351" s="2" t="s">
        <v>63</v>
      </c>
      <c r="J351" s="2" t="s">
        <v>68</v>
      </c>
      <c r="K351" s="2" t="s">
        <v>27</v>
      </c>
      <c r="L351" s="2">
        <v>1</v>
      </c>
      <c r="M351" s="2">
        <v>3708.38</v>
      </c>
      <c r="N351" s="2">
        <v>20</v>
      </c>
      <c r="O351" s="2">
        <v>2966.7</v>
      </c>
      <c r="P351" s="2">
        <f t="shared" si="50"/>
        <v>3708.38</v>
      </c>
      <c r="Q351" s="2">
        <f t="shared" si="51"/>
        <v>741.67600000000004</v>
      </c>
      <c r="R351" s="2">
        <f t="shared" si="52"/>
        <v>2966.7040000000002</v>
      </c>
      <c r="S351" s="2" t="str">
        <f t="shared" si="53"/>
        <v>Low</v>
      </c>
      <c r="T351" s="2" t="str" cm="1">
        <f t="array" ref="T351">_xlfn.IFS(L351&gt;5,"High",L351=5,"Medium",L351&lt;5,"Low")</f>
        <v>Low</v>
      </c>
      <c r="U351" s="2" t="str">
        <f t="shared" si="54"/>
        <v>Low</v>
      </c>
      <c r="V351" s="14" t="str">
        <f t="shared" si="55"/>
        <v>Heavy Discount</v>
      </c>
      <c r="W351" s="16" t="str">
        <f t="shared" si="56"/>
        <v>Average</v>
      </c>
      <c r="X351" s="18" t="str" cm="1">
        <f t="array" ref="X351">_xlfn.IFS(O351&gt;7000,"Excellent",O351&gt;4000,"Good",O351&lt;4000,"Average")</f>
        <v>Average</v>
      </c>
      <c r="AD351" s="23" t="str">
        <f t="shared" si="57"/>
        <v>Not Eligible</v>
      </c>
      <c r="AE351" s="24" t="str">
        <f t="shared" si="58"/>
        <v>Online</v>
      </c>
      <c r="AF351" s="27" t="str">
        <f t="shared" si="59"/>
        <v>Normal Order</v>
      </c>
    </row>
    <row r="352" spans="1:32" x14ac:dyDescent="0.3">
      <c r="A352" s="2">
        <v>10351</v>
      </c>
      <c r="B352" s="2">
        <v>1778</v>
      </c>
      <c r="C352" s="3">
        <v>44970</v>
      </c>
      <c r="D352" s="3">
        <v>44972</v>
      </c>
      <c r="E352" s="2" t="s">
        <v>52</v>
      </c>
      <c r="F352" s="2" t="s">
        <v>22</v>
      </c>
      <c r="G352" s="2" t="s">
        <v>36</v>
      </c>
      <c r="H352" s="2" t="s">
        <v>41</v>
      </c>
      <c r="I352" s="2" t="s">
        <v>37</v>
      </c>
      <c r="J352" s="2" t="s">
        <v>38</v>
      </c>
      <c r="K352" s="2" t="s">
        <v>51</v>
      </c>
      <c r="L352" s="2">
        <v>3</v>
      </c>
      <c r="M352" s="2">
        <v>1923.58</v>
      </c>
      <c r="N352" s="2">
        <v>15</v>
      </c>
      <c r="O352" s="2">
        <v>4905.13</v>
      </c>
      <c r="P352" s="2">
        <f t="shared" si="50"/>
        <v>5770.74</v>
      </c>
      <c r="Q352" s="2">
        <f t="shared" si="51"/>
        <v>865.61099999999999</v>
      </c>
      <c r="R352" s="2">
        <f t="shared" si="52"/>
        <v>4905.1289999999999</v>
      </c>
      <c r="S352" s="2" t="str">
        <f t="shared" si="53"/>
        <v>Low</v>
      </c>
      <c r="T352" s="2" t="str" cm="1">
        <f t="array" ref="T352">_xlfn.IFS(L352&gt;5,"High",L352=5,"Medium",L352&lt;5,"Low")</f>
        <v>Low</v>
      </c>
      <c r="U352" s="2" t="str">
        <f t="shared" si="54"/>
        <v>Low</v>
      </c>
      <c r="V352" s="14" t="str">
        <f t="shared" si="55"/>
        <v>Heavy Discount</v>
      </c>
      <c r="W352" s="16" t="str">
        <f t="shared" si="56"/>
        <v>Good</v>
      </c>
      <c r="X352" s="18" t="str" cm="1">
        <f t="array" ref="X352">_xlfn.IFS(O352&gt;7000,"Excellent",O352&gt;4000,"Good",O352&lt;4000,"Average")</f>
        <v>Good</v>
      </c>
      <c r="AD352" s="23" t="str">
        <f t="shared" si="57"/>
        <v>Not Eligible</v>
      </c>
      <c r="AE352" s="24" t="str">
        <f t="shared" si="58"/>
        <v>Offline</v>
      </c>
      <c r="AF352" s="27" t="str">
        <f t="shared" si="59"/>
        <v>Normal Order</v>
      </c>
    </row>
    <row r="353" spans="1:32" x14ac:dyDescent="0.3">
      <c r="A353" s="2">
        <v>10352</v>
      </c>
      <c r="B353" s="2">
        <v>1987</v>
      </c>
      <c r="C353" s="3">
        <v>45023</v>
      </c>
      <c r="D353" s="3">
        <v>45026</v>
      </c>
      <c r="E353" s="2" t="s">
        <v>52</v>
      </c>
      <c r="F353" s="2" t="s">
        <v>29</v>
      </c>
      <c r="G353" s="2" t="s">
        <v>36</v>
      </c>
      <c r="H353" s="2" t="s">
        <v>24</v>
      </c>
      <c r="I353" s="2" t="s">
        <v>32</v>
      </c>
      <c r="J353" s="2" t="s">
        <v>42</v>
      </c>
      <c r="K353" s="2" t="s">
        <v>51</v>
      </c>
      <c r="L353" s="2">
        <v>2</v>
      </c>
      <c r="M353" s="2">
        <v>2071.04</v>
      </c>
      <c r="N353" s="2">
        <v>20</v>
      </c>
      <c r="O353" s="2">
        <v>3313.66</v>
      </c>
      <c r="P353" s="2">
        <f t="shared" si="50"/>
        <v>4142.08</v>
      </c>
      <c r="Q353" s="2">
        <f t="shared" si="51"/>
        <v>828.41600000000005</v>
      </c>
      <c r="R353" s="2">
        <f t="shared" si="52"/>
        <v>3313.6639999999998</v>
      </c>
      <c r="S353" s="2" t="str">
        <f t="shared" si="53"/>
        <v>Low</v>
      </c>
      <c r="T353" s="2" t="str" cm="1">
        <f t="array" ref="T353">_xlfn.IFS(L353&gt;5,"High",L353=5,"Medium",L353&lt;5,"Low")</f>
        <v>Low</v>
      </c>
      <c r="U353" s="2" t="str">
        <f t="shared" si="54"/>
        <v>Low</v>
      </c>
      <c r="V353" s="14" t="str">
        <f t="shared" si="55"/>
        <v>Heavy Discount</v>
      </c>
      <c r="W353" s="16" t="str">
        <f t="shared" si="56"/>
        <v>Average</v>
      </c>
      <c r="X353" s="18" t="str" cm="1">
        <f t="array" ref="X353">_xlfn.IFS(O353&gt;7000,"Excellent",O353&gt;4000,"Good",O353&lt;4000,"Average")</f>
        <v>Average</v>
      </c>
      <c r="AD353" s="23" t="str">
        <f t="shared" si="57"/>
        <v>Not Eligible</v>
      </c>
      <c r="AE353" s="24" t="str">
        <f t="shared" si="58"/>
        <v>Offline</v>
      </c>
      <c r="AF353" s="27" t="str">
        <f t="shared" si="59"/>
        <v>Normal Order</v>
      </c>
    </row>
    <row r="354" spans="1:32" x14ac:dyDescent="0.3">
      <c r="A354" s="2">
        <v>10353</v>
      </c>
      <c r="B354" s="2">
        <v>1952</v>
      </c>
      <c r="C354" s="3">
        <v>44968</v>
      </c>
      <c r="D354" s="3">
        <v>44972</v>
      </c>
      <c r="E354" s="2" t="s">
        <v>40</v>
      </c>
      <c r="F354" s="2" t="s">
        <v>35</v>
      </c>
      <c r="G354" s="2" t="s">
        <v>36</v>
      </c>
      <c r="H354" s="2" t="s">
        <v>50</v>
      </c>
      <c r="I354" s="2" t="s">
        <v>63</v>
      </c>
      <c r="J354" s="2" t="s">
        <v>73</v>
      </c>
      <c r="K354" s="2" t="s">
        <v>39</v>
      </c>
      <c r="L354" s="2">
        <v>9</v>
      </c>
      <c r="M354" s="2">
        <v>1375.31</v>
      </c>
      <c r="N354" s="2">
        <v>15</v>
      </c>
      <c r="O354" s="2">
        <v>10521.12</v>
      </c>
      <c r="P354" s="2">
        <f t="shared" si="50"/>
        <v>12377.789999999999</v>
      </c>
      <c r="Q354" s="2">
        <f t="shared" si="51"/>
        <v>1856.6684999999998</v>
      </c>
      <c r="R354" s="2">
        <f t="shared" si="52"/>
        <v>10521.121499999999</v>
      </c>
      <c r="S354" s="2" t="str">
        <f t="shared" si="53"/>
        <v>High</v>
      </c>
      <c r="T354" s="2" t="str" cm="1">
        <f t="array" ref="T354">_xlfn.IFS(L354&gt;5,"High",L354=5,"Medium",L354&lt;5,"Low")</f>
        <v>High</v>
      </c>
      <c r="U354" s="2" t="str">
        <f t="shared" si="54"/>
        <v>High</v>
      </c>
      <c r="V354" s="14" t="str">
        <f t="shared" si="55"/>
        <v>Heavy Discount</v>
      </c>
      <c r="W354" s="16" t="str">
        <f t="shared" si="56"/>
        <v>Excellent</v>
      </c>
      <c r="X354" s="18" t="str" cm="1">
        <f t="array" ref="X354">_xlfn.IFS(O354&gt;7000,"Excellent",O354&gt;4000,"Good",O354&lt;4000,"Average")</f>
        <v>Excellent</v>
      </c>
      <c r="AD354" s="23" t="str">
        <f t="shared" si="57"/>
        <v>Not Eligible</v>
      </c>
      <c r="AE354" s="24" t="str">
        <f t="shared" si="58"/>
        <v>Offline</v>
      </c>
      <c r="AF354" s="27" t="str">
        <f t="shared" si="59"/>
        <v>Priority Order</v>
      </c>
    </row>
    <row r="355" spans="1:32" x14ac:dyDescent="0.3">
      <c r="A355" s="2">
        <v>10354</v>
      </c>
      <c r="B355" s="2">
        <v>1472</v>
      </c>
      <c r="C355" s="3">
        <v>45153</v>
      </c>
      <c r="D355" s="3">
        <v>45160</v>
      </c>
      <c r="E355" s="2" t="s">
        <v>46</v>
      </c>
      <c r="F355" s="2" t="s">
        <v>47</v>
      </c>
      <c r="G355" s="2" t="s">
        <v>23</v>
      </c>
      <c r="H355" s="2" t="s">
        <v>50</v>
      </c>
      <c r="I355" s="2" t="s">
        <v>63</v>
      </c>
      <c r="J355" s="2" t="s">
        <v>64</v>
      </c>
      <c r="K355" s="2" t="s">
        <v>39</v>
      </c>
      <c r="L355" s="2">
        <v>1</v>
      </c>
      <c r="M355" s="2">
        <v>3592.92</v>
      </c>
      <c r="N355" s="2">
        <v>20</v>
      </c>
      <c r="O355" s="2">
        <v>2874.34</v>
      </c>
      <c r="P355" s="2">
        <f t="shared" si="50"/>
        <v>3592.92</v>
      </c>
      <c r="Q355" s="2">
        <f t="shared" si="51"/>
        <v>718.58400000000006</v>
      </c>
      <c r="R355" s="2">
        <f t="shared" si="52"/>
        <v>2874.3360000000002</v>
      </c>
      <c r="S355" s="2" t="str">
        <f t="shared" si="53"/>
        <v>Low</v>
      </c>
      <c r="T355" s="2" t="str" cm="1">
        <f t="array" ref="T355">_xlfn.IFS(L355&gt;5,"High",L355=5,"Medium",L355&lt;5,"Low")</f>
        <v>Low</v>
      </c>
      <c r="U355" s="2" t="str">
        <f t="shared" si="54"/>
        <v>Low</v>
      </c>
      <c r="V355" s="14" t="str">
        <f t="shared" si="55"/>
        <v>Heavy Discount</v>
      </c>
      <c r="W355" s="16" t="str">
        <f t="shared" si="56"/>
        <v>Average</v>
      </c>
      <c r="X355" s="18" t="str" cm="1">
        <f t="array" ref="X355">_xlfn.IFS(O355&gt;7000,"Excellent",O355&gt;4000,"Good",O355&lt;4000,"Average")</f>
        <v>Average</v>
      </c>
      <c r="AD355" s="23" t="str">
        <f t="shared" si="57"/>
        <v>Not Eligible</v>
      </c>
      <c r="AE355" s="24" t="str">
        <f t="shared" si="58"/>
        <v>Online</v>
      </c>
      <c r="AF355" s="27" t="str">
        <f t="shared" si="59"/>
        <v>Normal Order</v>
      </c>
    </row>
    <row r="356" spans="1:32" x14ac:dyDescent="0.3">
      <c r="A356" s="2">
        <v>10355</v>
      </c>
      <c r="B356" s="2">
        <v>1945</v>
      </c>
      <c r="C356" s="3">
        <v>45188</v>
      </c>
      <c r="D356" s="3">
        <v>45191</v>
      </c>
      <c r="E356" s="2" t="s">
        <v>43</v>
      </c>
      <c r="F356" s="2" t="s">
        <v>29</v>
      </c>
      <c r="G356" s="2" t="s">
        <v>36</v>
      </c>
      <c r="H356" s="2" t="s">
        <v>41</v>
      </c>
      <c r="I356" s="2" t="s">
        <v>58</v>
      </c>
      <c r="J356" s="2" t="s">
        <v>59</v>
      </c>
      <c r="K356" s="2" t="s">
        <v>27</v>
      </c>
      <c r="L356" s="2">
        <v>9</v>
      </c>
      <c r="M356" s="2">
        <v>2632.88</v>
      </c>
      <c r="N356" s="2">
        <v>5</v>
      </c>
      <c r="O356" s="2">
        <v>22511.119999999999</v>
      </c>
      <c r="P356" s="2">
        <f t="shared" si="50"/>
        <v>23695.920000000002</v>
      </c>
      <c r="Q356" s="2">
        <f t="shared" si="51"/>
        <v>1184.796</v>
      </c>
      <c r="R356" s="2">
        <f t="shared" si="52"/>
        <v>22511.124000000003</v>
      </c>
      <c r="S356" s="2" t="str">
        <f t="shared" si="53"/>
        <v>High</v>
      </c>
      <c r="T356" s="2" t="str" cm="1">
        <f t="array" ref="T356">_xlfn.IFS(L356&gt;5,"High",L356=5,"Medium",L356&lt;5,"Low")</f>
        <v>High</v>
      </c>
      <c r="U356" s="2" t="str">
        <f t="shared" si="54"/>
        <v>High</v>
      </c>
      <c r="V356" s="14" t="str">
        <f t="shared" si="55"/>
        <v>Normal Discount</v>
      </c>
      <c r="W356" s="16" t="str">
        <f t="shared" si="56"/>
        <v>Excellent</v>
      </c>
      <c r="X356" s="18" t="str" cm="1">
        <f t="array" ref="X356">_xlfn.IFS(O356&gt;7000,"Excellent",O356&gt;4000,"Good",O356&lt;4000,"Average")</f>
        <v>Excellent</v>
      </c>
      <c r="AD356" s="23" t="str">
        <f t="shared" si="57"/>
        <v>Eligible</v>
      </c>
      <c r="AE356" s="24" t="str">
        <f t="shared" si="58"/>
        <v>Offline</v>
      </c>
      <c r="AF356" s="27" t="str">
        <f t="shared" si="59"/>
        <v>Priority Order</v>
      </c>
    </row>
    <row r="357" spans="1:32" x14ac:dyDescent="0.3">
      <c r="A357" s="2">
        <v>10356</v>
      </c>
      <c r="B357" s="2">
        <v>1150</v>
      </c>
      <c r="C357" s="3">
        <v>45093</v>
      </c>
      <c r="D357" s="3">
        <v>45102</v>
      </c>
      <c r="E357" s="2" t="s">
        <v>22</v>
      </c>
      <c r="F357" s="2" t="s">
        <v>44</v>
      </c>
      <c r="G357" s="2" t="s">
        <v>36</v>
      </c>
      <c r="H357" s="2" t="s">
        <v>48</v>
      </c>
      <c r="I357" s="2" t="s">
        <v>37</v>
      </c>
      <c r="J357" s="2" t="s">
        <v>54</v>
      </c>
      <c r="K357" s="2" t="s">
        <v>27</v>
      </c>
      <c r="L357" s="2">
        <v>9</v>
      </c>
      <c r="M357" s="2">
        <v>1259.77</v>
      </c>
      <c r="N357" s="2">
        <v>15</v>
      </c>
      <c r="O357" s="2">
        <v>9637.24</v>
      </c>
      <c r="P357" s="2">
        <f t="shared" si="50"/>
        <v>11337.93</v>
      </c>
      <c r="Q357" s="2">
        <f t="shared" si="51"/>
        <v>1700.6895</v>
      </c>
      <c r="R357" s="2">
        <f t="shared" si="52"/>
        <v>9637.2404999999999</v>
      </c>
      <c r="S357" s="2" t="str">
        <f t="shared" si="53"/>
        <v>High</v>
      </c>
      <c r="T357" s="2" t="str" cm="1">
        <f t="array" ref="T357">_xlfn.IFS(L357&gt;5,"High",L357=5,"Medium",L357&lt;5,"Low")</f>
        <v>High</v>
      </c>
      <c r="U357" s="2" t="str">
        <f t="shared" si="54"/>
        <v>High</v>
      </c>
      <c r="V357" s="14" t="str">
        <f t="shared" si="55"/>
        <v>Heavy Discount</v>
      </c>
      <c r="W357" s="16" t="str">
        <f t="shared" si="56"/>
        <v>Excellent</v>
      </c>
      <c r="X357" s="18" t="str" cm="1">
        <f t="array" ref="X357">_xlfn.IFS(O357&gt;7000,"Excellent",O357&gt;4000,"Good",O357&lt;4000,"Average")</f>
        <v>Excellent</v>
      </c>
      <c r="AD357" s="23" t="str">
        <f t="shared" si="57"/>
        <v>Not Eligible</v>
      </c>
      <c r="AE357" s="24" t="str">
        <f t="shared" si="58"/>
        <v>Offline</v>
      </c>
      <c r="AF357" s="27" t="str">
        <f t="shared" si="59"/>
        <v>Priority Order</v>
      </c>
    </row>
    <row r="358" spans="1:32" x14ac:dyDescent="0.3">
      <c r="A358" s="2">
        <v>10357</v>
      </c>
      <c r="B358" s="2">
        <v>1414</v>
      </c>
      <c r="C358" s="3">
        <v>45205</v>
      </c>
      <c r="D358" s="3">
        <v>45213</v>
      </c>
      <c r="E358" s="2" t="s">
        <v>43</v>
      </c>
      <c r="F358" s="2" t="s">
        <v>44</v>
      </c>
      <c r="G358" s="2" t="s">
        <v>23</v>
      </c>
      <c r="H358" s="2" t="s">
        <v>31</v>
      </c>
      <c r="I358" s="2" t="s">
        <v>63</v>
      </c>
      <c r="J358" s="2" t="s">
        <v>64</v>
      </c>
      <c r="K358" s="2" t="s">
        <v>34</v>
      </c>
      <c r="L358" s="2">
        <v>8</v>
      </c>
      <c r="M358" s="2">
        <v>1300.31</v>
      </c>
      <c r="N358" s="2">
        <v>0</v>
      </c>
      <c r="O358" s="2">
        <v>10402.48</v>
      </c>
      <c r="P358" s="2">
        <f t="shared" si="50"/>
        <v>10402.48</v>
      </c>
      <c r="Q358" s="2">
        <f t="shared" si="51"/>
        <v>0</v>
      </c>
      <c r="R358" s="2">
        <f t="shared" si="52"/>
        <v>10402.48</v>
      </c>
      <c r="S358" s="2" t="str">
        <f t="shared" si="53"/>
        <v>High</v>
      </c>
      <c r="T358" s="2" t="str" cm="1">
        <f t="array" ref="T358">_xlfn.IFS(L358&gt;5,"High",L358=5,"Medium",L358&lt;5,"Low")</f>
        <v>High</v>
      </c>
      <c r="U358" s="2" t="str">
        <f t="shared" si="54"/>
        <v>High</v>
      </c>
      <c r="V358" s="14" t="str">
        <f t="shared" si="55"/>
        <v>Normal Discount</v>
      </c>
      <c r="W358" s="16" t="str">
        <f t="shared" si="56"/>
        <v>Excellent</v>
      </c>
      <c r="X358" s="18" t="str" cm="1">
        <f t="array" ref="X358">_xlfn.IFS(O358&gt;7000,"Excellent",O358&gt;4000,"Good",O358&lt;4000,"Average")</f>
        <v>Excellent</v>
      </c>
      <c r="AD358" s="23" t="str">
        <f t="shared" si="57"/>
        <v>Eligible</v>
      </c>
      <c r="AE358" s="24" t="str">
        <f t="shared" si="58"/>
        <v>Online</v>
      </c>
      <c r="AF358" s="27" t="str">
        <f t="shared" si="59"/>
        <v>Priority Order</v>
      </c>
    </row>
    <row r="359" spans="1:32" x14ac:dyDescent="0.3">
      <c r="A359" s="2">
        <v>10358</v>
      </c>
      <c r="B359" s="2">
        <v>1989</v>
      </c>
      <c r="C359" s="3">
        <v>45015</v>
      </c>
      <c r="D359" s="3">
        <v>45019</v>
      </c>
      <c r="E359" s="2" t="s">
        <v>21</v>
      </c>
      <c r="F359" s="2" t="s">
        <v>35</v>
      </c>
      <c r="G359" s="2" t="s">
        <v>36</v>
      </c>
      <c r="H359" s="2" t="s">
        <v>41</v>
      </c>
      <c r="I359" s="2" t="s">
        <v>63</v>
      </c>
      <c r="J359" s="2" t="s">
        <v>64</v>
      </c>
      <c r="K359" s="2" t="s">
        <v>39</v>
      </c>
      <c r="L359" s="2">
        <v>8</v>
      </c>
      <c r="M359" s="2">
        <v>3581.12</v>
      </c>
      <c r="N359" s="2">
        <v>15</v>
      </c>
      <c r="O359" s="2">
        <v>24351.62</v>
      </c>
      <c r="P359" s="2">
        <f t="shared" si="50"/>
        <v>28648.959999999999</v>
      </c>
      <c r="Q359" s="2">
        <f t="shared" si="51"/>
        <v>4297.3440000000001</v>
      </c>
      <c r="R359" s="2">
        <f t="shared" si="52"/>
        <v>24351.615999999998</v>
      </c>
      <c r="S359" s="2" t="str">
        <f t="shared" si="53"/>
        <v>High</v>
      </c>
      <c r="T359" s="2" t="str" cm="1">
        <f t="array" ref="T359">_xlfn.IFS(L359&gt;5,"High",L359=5,"Medium",L359&lt;5,"Low")</f>
        <v>High</v>
      </c>
      <c r="U359" s="2" t="str">
        <f t="shared" si="54"/>
        <v>High</v>
      </c>
      <c r="V359" s="14" t="str">
        <f t="shared" si="55"/>
        <v>Heavy Discount</v>
      </c>
      <c r="W359" s="16" t="str">
        <f t="shared" si="56"/>
        <v>Excellent</v>
      </c>
      <c r="X359" s="18" t="str" cm="1">
        <f t="array" ref="X359">_xlfn.IFS(O359&gt;7000,"Excellent",O359&gt;4000,"Good",O359&lt;4000,"Average")</f>
        <v>Excellent</v>
      </c>
      <c r="AD359" s="23" t="str">
        <f t="shared" si="57"/>
        <v>Not Eligible</v>
      </c>
      <c r="AE359" s="24" t="str">
        <f t="shared" si="58"/>
        <v>Offline</v>
      </c>
      <c r="AF359" s="27" t="str">
        <f t="shared" si="59"/>
        <v>Priority Order</v>
      </c>
    </row>
    <row r="360" spans="1:32" x14ac:dyDescent="0.3">
      <c r="A360" s="2">
        <v>10359</v>
      </c>
      <c r="B360" s="2">
        <v>1297</v>
      </c>
      <c r="C360" s="3">
        <v>45104</v>
      </c>
      <c r="D360" s="3">
        <v>45105</v>
      </c>
      <c r="E360" s="2" t="s">
        <v>22</v>
      </c>
      <c r="F360" s="2" t="s">
        <v>47</v>
      </c>
      <c r="G360" s="2" t="s">
        <v>23</v>
      </c>
      <c r="H360" s="2" t="s">
        <v>31</v>
      </c>
      <c r="I360" s="2" t="s">
        <v>37</v>
      </c>
      <c r="J360" s="2" t="s">
        <v>54</v>
      </c>
      <c r="K360" s="2" t="s">
        <v>53</v>
      </c>
      <c r="L360" s="2">
        <v>1</v>
      </c>
      <c r="M360" s="2">
        <v>202.49</v>
      </c>
      <c r="N360" s="2">
        <v>5</v>
      </c>
      <c r="O360" s="2">
        <v>192.37</v>
      </c>
      <c r="P360" s="2">
        <f t="shared" si="50"/>
        <v>202.49</v>
      </c>
      <c r="Q360" s="2">
        <f t="shared" si="51"/>
        <v>10.124500000000001</v>
      </c>
      <c r="R360" s="2">
        <f t="shared" si="52"/>
        <v>192.3655</v>
      </c>
      <c r="S360" s="2" t="str">
        <f t="shared" si="53"/>
        <v>Low</v>
      </c>
      <c r="T360" s="2" t="str" cm="1">
        <f t="array" ref="T360">_xlfn.IFS(L360&gt;5,"High",L360=5,"Medium",L360&lt;5,"Low")</f>
        <v>Low</v>
      </c>
      <c r="U360" s="2" t="str">
        <f t="shared" si="54"/>
        <v>Low</v>
      </c>
      <c r="V360" s="14" t="str">
        <f t="shared" si="55"/>
        <v>Normal Discount</v>
      </c>
      <c r="W360" s="16" t="str">
        <f t="shared" si="56"/>
        <v>Average</v>
      </c>
      <c r="X360" s="18" t="str" cm="1">
        <f t="array" ref="X360">_xlfn.IFS(O360&gt;7000,"Excellent",O360&gt;4000,"Good",O360&lt;4000,"Average")</f>
        <v>Average</v>
      </c>
      <c r="AD360" s="23" t="str">
        <f t="shared" si="57"/>
        <v>Not Eligible</v>
      </c>
      <c r="AE360" s="24" t="str">
        <f t="shared" si="58"/>
        <v>Online</v>
      </c>
      <c r="AF360" s="27" t="str">
        <f t="shared" si="59"/>
        <v>Normal Order</v>
      </c>
    </row>
    <row r="361" spans="1:32" x14ac:dyDescent="0.3">
      <c r="A361" s="2">
        <v>10360</v>
      </c>
      <c r="B361" s="2">
        <v>1610</v>
      </c>
      <c r="C361" s="3">
        <v>45123</v>
      </c>
      <c r="D361" s="3">
        <v>45124</v>
      </c>
      <c r="E361" s="2" t="s">
        <v>40</v>
      </c>
      <c r="F361" s="2" t="s">
        <v>47</v>
      </c>
      <c r="G361" s="2" t="s">
        <v>36</v>
      </c>
      <c r="H361" s="2" t="s">
        <v>48</v>
      </c>
      <c r="I361" s="2" t="s">
        <v>37</v>
      </c>
      <c r="J361" s="2" t="s">
        <v>38</v>
      </c>
      <c r="K361" s="2" t="s">
        <v>51</v>
      </c>
      <c r="L361" s="2">
        <v>8</v>
      </c>
      <c r="M361" s="2">
        <v>1392.5</v>
      </c>
      <c r="N361" s="2">
        <v>15</v>
      </c>
      <c r="O361" s="2">
        <v>9469</v>
      </c>
      <c r="P361" s="2">
        <f t="shared" si="50"/>
        <v>11140</v>
      </c>
      <c r="Q361" s="2">
        <f t="shared" si="51"/>
        <v>1671</v>
      </c>
      <c r="R361" s="2">
        <f t="shared" si="52"/>
        <v>9469</v>
      </c>
      <c r="S361" s="2" t="str">
        <f t="shared" si="53"/>
        <v>High</v>
      </c>
      <c r="T361" s="2" t="str" cm="1">
        <f t="array" ref="T361">_xlfn.IFS(L361&gt;5,"High",L361=5,"Medium",L361&lt;5,"Low")</f>
        <v>High</v>
      </c>
      <c r="U361" s="2" t="str">
        <f t="shared" si="54"/>
        <v>High</v>
      </c>
      <c r="V361" s="14" t="str">
        <f t="shared" si="55"/>
        <v>Heavy Discount</v>
      </c>
      <c r="W361" s="16" t="str">
        <f t="shared" si="56"/>
        <v>Excellent</v>
      </c>
      <c r="X361" s="18" t="str" cm="1">
        <f t="array" ref="X361">_xlfn.IFS(O361&gt;7000,"Excellent",O361&gt;4000,"Good",O361&lt;4000,"Average")</f>
        <v>Excellent</v>
      </c>
      <c r="AD361" s="23" t="str">
        <f t="shared" si="57"/>
        <v>Not Eligible</v>
      </c>
      <c r="AE361" s="24" t="str">
        <f t="shared" si="58"/>
        <v>Offline</v>
      </c>
      <c r="AF361" s="27" t="str">
        <f t="shared" si="59"/>
        <v>Priority Order</v>
      </c>
    </row>
    <row r="362" spans="1:32" x14ac:dyDescent="0.3">
      <c r="A362" s="2">
        <v>10361</v>
      </c>
      <c r="B362" s="2">
        <v>1262</v>
      </c>
      <c r="C362" s="3">
        <v>45233</v>
      </c>
      <c r="D362" s="3">
        <v>45234</v>
      </c>
      <c r="E362" s="2" t="s">
        <v>40</v>
      </c>
      <c r="F362" s="2" t="s">
        <v>29</v>
      </c>
      <c r="G362" s="2" t="s">
        <v>30</v>
      </c>
      <c r="H362" s="2" t="s">
        <v>50</v>
      </c>
      <c r="I362" s="2" t="s">
        <v>63</v>
      </c>
      <c r="J362" s="2" t="s">
        <v>65</v>
      </c>
      <c r="K362" s="2" t="s">
        <v>27</v>
      </c>
      <c r="L362" s="2">
        <v>3</v>
      </c>
      <c r="M362" s="2">
        <v>2284.27</v>
      </c>
      <c r="N362" s="2">
        <v>20</v>
      </c>
      <c r="O362" s="2">
        <v>5482.25</v>
      </c>
      <c r="P362" s="2">
        <f t="shared" si="50"/>
        <v>6852.8099999999995</v>
      </c>
      <c r="Q362" s="2">
        <f t="shared" si="51"/>
        <v>1370.5619999999999</v>
      </c>
      <c r="R362" s="2">
        <f t="shared" si="52"/>
        <v>5482.2479999999996</v>
      </c>
      <c r="S362" s="2" t="str">
        <f t="shared" si="53"/>
        <v>Low</v>
      </c>
      <c r="T362" s="2" t="str" cm="1">
        <f t="array" ref="T362">_xlfn.IFS(L362&gt;5,"High",L362=5,"Medium",L362&lt;5,"Low")</f>
        <v>Low</v>
      </c>
      <c r="U362" s="2" t="str">
        <f t="shared" si="54"/>
        <v>Low</v>
      </c>
      <c r="V362" s="14" t="str">
        <f t="shared" si="55"/>
        <v>Heavy Discount</v>
      </c>
      <c r="W362" s="16" t="str">
        <f t="shared" si="56"/>
        <v>Good</v>
      </c>
      <c r="X362" s="18" t="str" cm="1">
        <f t="array" ref="X362">_xlfn.IFS(O362&gt;7000,"Excellent",O362&gt;4000,"Good",O362&lt;4000,"Average")</f>
        <v>Good</v>
      </c>
      <c r="AD362" s="23" t="str">
        <f t="shared" si="57"/>
        <v>Not Eligible</v>
      </c>
      <c r="AE362" s="24" t="str">
        <f t="shared" si="58"/>
        <v>Online</v>
      </c>
      <c r="AF362" s="27" t="str">
        <f t="shared" si="59"/>
        <v>Normal Order</v>
      </c>
    </row>
    <row r="363" spans="1:32" x14ac:dyDescent="0.3">
      <c r="A363" s="2">
        <v>10362</v>
      </c>
      <c r="B363" s="2">
        <v>1763</v>
      </c>
      <c r="C363" s="3">
        <v>45193</v>
      </c>
      <c r="D363" s="3">
        <v>45194</v>
      </c>
      <c r="E363" s="2" t="s">
        <v>46</v>
      </c>
      <c r="F363" s="2" t="s">
        <v>29</v>
      </c>
      <c r="G363" s="2" t="s">
        <v>30</v>
      </c>
      <c r="H363" s="2" t="s">
        <v>31</v>
      </c>
      <c r="I363" s="2" t="s">
        <v>37</v>
      </c>
      <c r="J363" s="2" t="s">
        <v>54</v>
      </c>
      <c r="K363" s="2" t="s">
        <v>51</v>
      </c>
      <c r="L363" s="2">
        <v>7</v>
      </c>
      <c r="M363" s="2">
        <v>720.64</v>
      </c>
      <c r="N363" s="2">
        <v>20</v>
      </c>
      <c r="O363" s="2">
        <v>4035.58</v>
      </c>
      <c r="P363" s="2">
        <f t="shared" si="50"/>
        <v>5044.4799999999996</v>
      </c>
      <c r="Q363" s="2">
        <f t="shared" si="51"/>
        <v>1008.896</v>
      </c>
      <c r="R363" s="2">
        <f t="shared" si="52"/>
        <v>4035.5839999999998</v>
      </c>
      <c r="S363" s="2" t="str">
        <f t="shared" si="53"/>
        <v>High</v>
      </c>
      <c r="T363" s="2" t="str" cm="1">
        <f t="array" ref="T363">_xlfn.IFS(L363&gt;5,"High",L363=5,"Medium",L363&lt;5,"Low")</f>
        <v>High</v>
      </c>
      <c r="U363" s="2" t="str">
        <f t="shared" si="54"/>
        <v>High</v>
      </c>
      <c r="V363" s="14" t="str">
        <f t="shared" si="55"/>
        <v>Heavy Discount</v>
      </c>
      <c r="W363" s="16" t="str">
        <f t="shared" si="56"/>
        <v>Good</v>
      </c>
      <c r="X363" s="18" t="str" cm="1">
        <f t="array" ref="X363">_xlfn.IFS(O363&gt;7000,"Excellent",O363&gt;4000,"Good",O363&lt;4000,"Average")</f>
        <v>Good</v>
      </c>
      <c r="AD363" s="23" t="str">
        <f t="shared" si="57"/>
        <v>Not Eligible</v>
      </c>
      <c r="AE363" s="24" t="str">
        <f t="shared" si="58"/>
        <v>Online</v>
      </c>
      <c r="AF363" s="27" t="str">
        <f t="shared" si="59"/>
        <v>Priority Order</v>
      </c>
    </row>
    <row r="364" spans="1:32" x14ac:dyDescent="0.3">
      <c r="A364" s="2">
        <v>10363</v>
      </c>
      <c r="B364" s="2">
        <v>1143</v>
      </c>
      <c r="C364" s="3">
        <v>45194</v>
      </c>
      <c r="D364" s="3">
        <v>45202</v>
      </c>
      <c r="E364" s="2" t="s">
        <v>22</v>
      </c>
      <c r="F364" s="2" t="s">
        <v>47</v>
      </c>
      <c r="G364" s="2" t="s">
        <v>36</v>
      </c>
      <c r="H364" s="2" t="s">
        <v>24</v>
      </c>
      <c r="I364" s="2" t="s">
        <v>63</v>
      </c>
      <c r="J364" s="2" t="s">
        <v>68</v>
      </c>
      <c r="K364" s="2" t="s">
        <v>51</v>
      </c>
      <c r="L364" s="2">
        <v>1</v>
      </c>
      <c r="M364" s="2">
        <v>504.58</v>
      </c>
      <c r="N364" s="2">
        <v>5</v>
      </c>
      <c r="O364" s="2">
        <v>479.35</v>
      </c>
      <c r="P364" s="2">
        <f t="shared" si="50"/>
        <v>504.58</v>
      </c>
      <c r="Q364" s="2">
        <f t="shared" si="51"/>
        <v>25.228999999999999</v>
      </c>
      <c r="R364" s="2">
        <f t="shared" si="52"/>
        <v>479.351</v>
      </c>
      <c r="S364" s="2" t="str">
        <f t="shared" si="53"/>
        <v>Low</v>
      </c>
      <c r="T364" s="2" t="str" cm="1">
        <f t="array" ref="T364">_xlfn.IFS(L364&gt;5,"High",L364=5,"Medium",L364&lt;5,"Low")</f>
        <v>Low</v>
      </c>
      <c r="U364" s="2" t="str">
        <f t="shared" si="54"/>
        <v>Low</v>
      </c>
      <c r="V364" s="14" t="str">
        <f t="shared" si="55"/>
        <v>Normal Discount</v>
      </c>
      <c r="W364" s="16" t="str">
        <f t="shared" si="56"/>
        <v>Average</v>
      </c>
      <c r="X364" s="18" t="str" cm="1">
        <f t="array" ref="X364">_xlfn.IFS(O364&gt;7000,"Excellent",O364&gt;4000,"Good",O364&lt;4000,"Average")</f>
        <v>Average</v>
      </c>
      <c r="AD364" s="23" t="str">
        <f t="shared" si="57"/>
        <v>Not Eligible</v>
      </c>
      <c r="AE364" s="24" t="str">
        <f t="shared" si="58"/>
        <v>Offline</v>
      </c>
      <c r="AF364" s="27" t="str">
        <f t="shared" si="59"/>
        <v>Normal Order</v>
      </c>
    </row>
    <row r="365" spans="1:32" x14ac:dyDescent="0.3">
      <c r="A365" s="2">
        <v>10364</v>
      </c>
      <c r="B365" s="2">
        <v>1345</v>
      </c>
      <c r="C365" s="3">
        <v>45000</v>
      </c>
      <c r="D365" s="3">
        <v>45003</v>
      </c>
      <c r="E365" s="2" t="s">
        <v>52</v>
      </c>
      <c r="F365" s="2" t="s">
        <v>29</v>
      </c>
      <c r="G365" s="2" t="s">
        <v>30</v>
      </c>
      <c r="H365" s="2" t="s">
        <v>24</v>
      </c>
      <c r="I365" s="2" t="s">
        <v>63</v>
      </c>
      <c r="J365" s="2" t="s">
        <v>73</v>
      </c>
      <c r="K365" s="2" t="s">
        <v>34</v>
      </c>
      <c r="L365" s="2">
        <v>1</v>
      </c>
      <c r="M365" s="2">
        <v>3288.81</v>
      </c>
      <c r="N365" s="2">
        <v>10</v>
      </c>
      <c r="O365" s="2">
        <v>2959.93</v>
      </c>
      <c r="P365" s="2">
        <f t="shared" si="50"/>
        <v>3288.81</v>
      </c>
      <c r="Q365" s="2">
        <f t="shared" si="51"/>
        <v>328.88100000000003</v>
      </c>
      <c r="R365" s="2">
        <f t="shared" si="52"/>
        <v>2959.9290000000001</v>
      </c>
      <c r="S365" s="2" t="str">
        <f t="shared" si="53"/>
        <v>Low</v>
      </c>
      <c r="T365" s="2" t="str" cm="1">
        <f t="array" ref="T365">_xlfn.IFS(L365&gt;5,"High",L365=5,"Medium",L365&lt;5,"Low")</f>
        <v>Low</v>
      </c>
      <c r="U365" s="2" t="str">
        <f t="shared" si="54"/>
        <v>Low</v>
      </c>
      <c r="V365" s="14" t="str">
        <f t="shared" si="55"/>
        <v>Normal Discount</v>
      </c>
      <c r="W365" s="16" t="str">
        <f t="shared" si="56"/>
        <v>Average</v>
      </c>
      <c r="X365" s="18" t="str" cm="1">
        <f t="array" ref="X365">_xlfn.IFS(O365&gt;7000,"Excellent",O365&gt;4000,"Good",O365&lt;4000,"Average")</f>
        <v>Average</v>
      </c>
      <c r="AD365" s="23" t="str">
        <f t="shared" si="57"/>
        <v>Not Eligible</v>
      </c>
      <c r="AE365" s="24" t="str">
        <f t="shared" si="58"/>
        <v>Online</v>
      </c>
      <c r="AF365" s="27" t="str">
        <f t="shared" si="59"/>
        <v>Normal Order</v>
      </c>
    </row>
    <row r="366" spans="1:32" x14ac:dyDescent="0.3">
      <c r="A366" s="2">
        <v>10365</v>
      </c>
      <c r="B366" s="2">
        <v>1623</v>
      </c>
      <c r="C366" s="3">
        <v>44934</v>
      </c>
      <c r="D366" s="3">
        <v>44940</v>
      </c>
      <c r="E366" s="2" t="s">
        <v>22</v>
      </c>
      <c r="F366" s="2" t="s">
        <v>47</v>
      </c>
      <c r="G366" s="2" t="s">
        <v>23</v>
      </c>
      <c r="H366" s="2" t="s">
        <v>41</v>
      </c>
      <c r="I366" s="2" t="s">
        <v>58</v>
      </c>
      <c r="J366" s="2" t="s">
        <v>59</v>
      </c>
      <c r="K366" s="2" t="s">
        <v>39</v>
      </c>
      <c r="L366" s="2">
        <v>5</v>
      </c>
      <c r="M366" s="2">
        <v>3593.46</v>
      </c>
      <c r="N366" s="2">
        <v>20</v>
      </c>
      <c r="O366" s="2">
        <v>14373.84</v>
      </c>
      <c r="P366" s="2">
        <f t="shared" si="50"/>
        <v>17967.3</v>
      </c>
      <c r="Q366" s="2">
        <f t="shared" si="51"/>
        <v>3593.46</v>
      </c>
      <c r="R366" s="2">
        <f t="shared" si="52"/>
        <v>14373.84</v>
      </c>
      <c r="S366" s="2" t="str">
        <f t="shared" si="53"/>
        <v>High</v>
      </c>
      <c r="T366" s="2" t="str" cm="1">
        <f t="array" ref="T366">_xlfn.IFS(L366&gt;5,"High",L366=5,"Medium",L366&lt;5,"Low")</f>
        <v>Medium</v>
      </c>
      <c r="U366" s="2" t="str">
        <f t="shared" si="54"/>
        <v>Medium</v>
      </c>
      <c r="V366" s="14" t="str">
        <f t="shared" si="55"/>
        <v>Heavy Discount</v>
      </c>
      <c r="W366" s="16" t="str">
        <f t="shared" si="56"/>
        <v>Excellent</v>
      </c>
      <c r="X366" s="18" t="str" cm="1">
        <f t="array" ref="X366">_xlfn.IFS(O366&gt;7000,"Excellent",O366&gt;4000,"Good",O366&lt;4000,"Average")</f>
        <v>Excellent</v>
      </c>
      <c r="AD366" s="23" t="str">
        <f t="shared" si="57"/>
        <v>Not Eligible</v>
      </c>
      <c r="AE366" s="24" t="str">
        <f t="shared" si="58"/>
        <v>Online</v>
      </c>
      <c r="AF366" s="27" t="str">
        <f t="shared" si="59"/>
        <v>Priority Order</v>
      </c>
    </row>
    <row r="367" spans="1:32" x14ac:dyDescent="0.3">
      <c r="A367" s="2">
        <v>10366</v>
      </c>
      <c r="B367" s="2">
        <v>1571</v>
      </c>
      <c r="C367" s="3">
        <v>45223</v>
      </c>
      <c r="D367" s="3">
        <v>45226</v>
      </c>
      <c r="E367" s="2" t="s">
        <v>21</v>
      </c>
      <c r="F367" s="2" t="s">
        <v>22</v>
      </c>
      <c r="G367" s="2" t="s">
        <v>30</v>
      </c>
      <c r="H367" s="2" t="s">
        <v>48</v>
      </c>
      <c r="I367" s="2" t="s">
        <v>55</v>
      </c>
      <c r="J367" s="2" t="s">
        <v>69</v>
      </c>
      <c r="K367" s="2" t="s">
        <v>27</v>
      </c>
      <c r="L367" s="2">
        <v>5</v>
      </c>
      <c r="M367" s="2">
        <v>3320.88</v>
      </c>
      <c r="N367" s="2">
        <v>0</v>
      </c>
      <c r="O367" s="2">
        <v>16604.400000000001</v>
      </c>
      <c r="P367" s="2">
        <f t="shared" si="50"/>
        <v>16604.400000000001</v>
      </c>
      <c r="Q367" s="2">
        <f t="shared" si="51"/>
        <v>0</v>
      </c>
      <c r="R367" s="2">
        <f t="shared" si="52"/>
        <v>16604.400000000001</v>
      </c>
      <c r="S367" s="2" t="str">
        <f t="shared" si="53"/>
        <v>High</v>
      </c>
      <c r="T367" s="2" t="str" cm="1">
        <f t="array" ref="T367">_xlfn.IFS(L367&gt;5,"High",L367=5,"Medium",L367&lt;5,"Low")</f>
        <v>Medium</v>
      </c>
      <c r="U367" s="2" t="str">
        <f t="shared" si="54"/>
        <v>Medium</v>
      </c>
      <c r="V367" s="14" t="str">
        <f t="shared" si="55"/>
        <v>Normal Discount</v>
      </c>
      <c r="W367" s="16" t="str">
        <f t="shared" si="56"/>
        <v>Excellent</v>
      </c>
      <c r="X367" s="18" t="str" cm="1">
        <f t="array" ref="X367">_xlfn.IFS(O367&gt;7000,"Excellent",O367&gt;4000,"Good",O367&lt;4000,"Average")</f>
        <v>Excellent</v>
      </c>
      <c r="AD367" s="23" t="str">
        <f t="shared" si="57"/>
        <v>Eligible</v>
      </c>
      <c r="AE367" s="24" t="str">
        <f t="shared" si="58"/>
        <v>Online</v>
      </c>
      <c r="AF367" s="27" t="str">
        <f t="shared" si="59"/>
        <v>Priority Order</v>
      </c>
    </row>
    <row r="368" spans="1:32" x14ac:dyDescent="0.3">
      <c r="A368" s="2">
        <v>10367</v>
      </c>
      <c r="B368" s="2">
        <v>1880</v>
      </c>
      <c r="C368" s="3">
        <v>45090</v>
      </c>
      <c r="D368" s="3">
        <v>45095</v>
      </c>
      <c r="E368" s="2" t="s">
        <v>52</v>
      </c>
      <c r="F368" s="2" t="s">
        <v>47</v>
      </c>
      <c r="G368" s="2" t="s">
        <v>36</v>
      </c>
      <c r="H368" s="2" t="s">
        <v>41</v>
      </c>
      <c r="I368" s="2" t="s">
        <v>63</v>
      </c>
      <c r="J368" s="2" t="s">
        <v>68</v>
      </c>
      <c r="K368" s="2" t="s">
        <v>51</v>
      </c>
      <c r="L368" s="2">
        <v>8</v>
      </c>
      <c r="M368" s="2">
        <v>3610.33</v>
      </c>
      <c r="N368" s="2">
        <v>5</v>
      </c>
      <c r="O368" s="2">
        <v>27438.51</v>
      </c>
      <c r="P368" s="2">
        <f t="shared" si="50"/>
        <v>28882.639999999999</v>
      </c>
      <c r="Q368" s="2">
        <f t="shared" si="51"/>
        <v>1444.1320000000001</v>
      </c>
      <c r="R368" s="2">
        <f t="shared" si="52"/>
        <v>27438.507999999998</v>
      </c>
      <c r="S368" s="2" t="str">
        <f t="shared" si="53"/>
        <v>High</v>
      </c>
      <c r="T368" s="2" t="str" cm="1">
        <f t="array" ref="T368">_xlfn.IFS(L368&gt;5,"High",L368=5,"Medium",L368&lt;5,"Low")</f>
        <v>High</v>
      </c>
      <c r="U368" s="2" t="str">
        <f t="shared" si="54"/>
        <v>High</v>
      </c>
      <c r="V368" s="14" t="str">
        <f t="shared" si="55"/>
        <v>Normal Discount</v>
      </c>
      <c r="W368" s="16" t="str">
        <f t="shared" si="56"/>
        <v>Excellent</v>
      </c>
      <c r="X368" s="18" t="str" cm="1">
        <f t="array" ref="X368">_xlfn.IFS(O368&gt;7000,"Excellent",O368&gt;4000,"Good",O368&lt;4000,"Average")</f>
        <v>Excellent</v>
      </c>
      <c r="AD368" s="23" t="str">
        <f t="shared" si="57"/>
        <v>Eligible</v>
      </c>
      <c r="AE368" s="24" t="str">
        <f t="shared" si="58"/>
        <v>Offline</v>
      </c>
      <c r="AF368" s="27" t="str">
        <f t="shared" si="59"/>
        <v>Priority Order</v>
      </c>
    </row>
    <row r="369" spans="1:32" x14ac:dyDescent="0.3">
      <c r="A369" s="2">
        <v>10368</v>
      </c>
      <c r="B369" s="2">
        <v>1001</v>
      </c>
      <c r="C369" s="3">
        <v>45011</v>
      </c>
      <c r="D369" s="3">
        <v>45018</v>
      </c>
      <c r="E369" s="2" t="s">
        <v>28</v>
      </c>
      <c r="F369" s="2" t="s">
        <v>44</v>
      </c>
      <c r="G369" s="2" t="s">
        <v>36</v>
      </c>
      <c r="H369" s="2" t="s">
        <v>41</v>
      </c>
      <c r="I369" s="2" t="s">
        <v>25</v>
      </c>
      <c r="J369" s="2" t="s">
        <v>26</v>
      </c>
      <c r="K369" s="2" t="s">
        <v>27</v>
      </c>
      <c r="L369" s="2">
        <v>7</v>
      </c>
      <c r="M369" s="2">
        <v>2279.48</v>
      </c>
      <c r="N369" s="2">
        <v>15</v>
      </c>
      <c r="O369" s="2">
        <v>13562.91</v>
      </c>
      <c r="P369" s="2">
        <f t="shared" si="50"/>
        <v>15956.36</v>
      </c>
      <c r="Q369" s="2">
        <f t="shared" si="51"/>
        <v>2393.4540000000002</v>
      </c>
      <c r="R369" s="2">
        <f t="shared" si="52"/>
        <v>13562.906000000001</v>
      </c>
      <c r="S369" s="2" t="str">
        <f t="shared" si="53"/>
        <v>High</v>
      </c>
      <c r="T369" s="2" t="str" cm="1">
        <f t="array" ref="T369">_xlfn.IFS(L369&gt;5,"High",L369=5,"Medium",L369&lt;5,"Low")</f>
        <v>High</v>
      </c>
      <c r="U369" s="2" t="str">
        <f t="shared" si="54"/>
        <v>High</v>
      </c>
      <c r="V369" s="14" t="str">
        <f t="shared" si="55"/>
        <v>Heavy Discount</v>
      </c>
      <c r="W369" s="16" t="str">
        <f t="shared" si="56"/>
        <v>Excellent</v>
      </c>
      <c r="X369" s="18" t="str" cm="1">
        <f t="array" ref="X369">_xlfn.IFS(O369&gt;7000,"Excellent",O369&gt;4000,"Good",O369&lt;4000,"Average")</f>
        <v>Excellent</v>
      </c>
      <c r="AD369" s="23" t="str">
        <f t="shared" si="57"/>
        <v>Not Eligible</v>
      </c>
      <c r="AE369" s="24" t="str">
        <f t="shared" si="58"/>
        <v>Offline</v>
      </c>
      <c r="AF369" s="27" t="str">
        <f t="shared" si="59"/>
        <v>Priority Order</v>
      </c>
    </row>
    <row r="370" spans="1:32" x14ac:dyDescent="0.3">
      <c r="A370" s="2">
        <v>10369</v>
      </c>
      <c r="B370" s="2">
        <v>1896</v>
      </c>
      <c r="C370" s="3">
        <v>44998</v>
      </c>
      <c r="D370" s="3">
        <v>45000</v>
      </c>
      <c r="E370" s="2" t="s">
        <v>28</v>
      </c>
      <c r="F370" s="2" t="s">
        <v>29</v>
      </c>
      <c r="G370" s="2" t="s">
        <v>23</v>
      </c>
      <c r="H370" s="2" t="s">
        <v>41</v>
      </c>
      <c r="I370" s="2" t="s">
        <v>32</v>
      </c>
      <c r="J370" s="2" t="s">
        <v>42</v>
      </c>
      <c r="K370" s="2" t="s">
        <v>53</v>
      </c>
      <c r="L370" s="2">
        <v>8</v>
      </c>
      <c r="M370" s="2">
        <v>3277.19</v>
      </c>
      <c r="N370" s="2">
        <v>15</v>
      </c>
      <c r="O370" s="2">
        <v>22284.89</v>
      </c>
      <c r="P370" s="2">
        <f t="shared" si="50"/>
        <v>26217.52</v>
      </c>
      <c r="Q370" s="2">
        <f t="shared" si="51"/>
        <v>3932.6279999999997</v>
      </c>
      <c r="R370" s="2">
        <f t="shared" si="52"/>
        <v>22284.892</v>
      </c>
      <c r="S370" s="2" t="str">
        <f t="shared" si="53"/>
        <v>High</v>
      </c>
      <c r="T370" s="2" t="str" cm="1">
        <f t="array" ref="T370">_xlfn.IFS(L370&gt;5,"High",L370=5,"Medium",L370&lt;5,"Low")</f>
        <v>High</v>
      </c>
      <c r="U370" s="2" t="str">
        <f t="shared" si="54"/>
        <v>High</v>
      </c>
      <c r="V370" s="14" t="str">
        <f t="shared" si="55"/>
        <v>Heavy Discount</v>
      </c>
      <c r="W370" s="16" t="str">
        <f t="shared" si="56"/>
        <v>Excellent</v>
      </c>
      <c r="X370" s="18" t="str" cm="1">
        <f t="array" ref="X370">_xlfn.IFS(O370&gt;7000,"Excellent",O370&gt;4000,"Good",O370&lt;4000,"Average")</f>
        <v>Excellent</v>
      </c>
      <c r="AD370" s="23" t="str">
        <f t="shared" si="57"/>
        <v>Not Eligible</v>
      </c>
      <c r="AE370" s="24" t="str">
        <f t="shared" si="58"/>
        <v>Online</v>
      </c>
      <c r="AF370" s="27" t="str">
        <f t="shared" si="59"/>
        <v>Priority Order</v>
      </c>
    </row>
    <row r="371" spans="1:32" x14ac:dyDescent="0.3">
      <c r="A371" s="2">
        <v>10370</v>
      </c>
      <c r="B371" s="2">
        <v>1303</v>
      </c>
      <c r="C371" s="3">
        <v>44981</v>
      </c>
      <c r="D371" s="3">
        <v>44987</v>
      </c>
      <c r="E371" s="2" t="s">
        <v>28</v>
      </c>
      <c r="F371" s="2" t="s">
        <v>47</v>
      </c>
      <c r="G371" s="2" t="s">
        <v>36</v>
      </c>
      <c r="H371" s="2" t="s">
        <v>24</v>
      </c>
      <c r="I371" s="2" t="s">
        <v>55</v>
      </c>
      <c r="J371" s="2" t="s">
        <v>69</v>
      </c>
      <c r="K371" s="2" t="s">
        <v>34</v>
      </c>
      <c r="L371" s="2">
        <v>6</v>
      </c>
      <c r="M371" s="2">
        <v>1628.56</v>
      </c>
      <c r="N371" s="2">
        <v>0</v>
      </c>
      <c r="O371" s="2">
        <v>9771.36</v>
      </c>
      <c r="P371" s="2">
        <f t="shared" si="50"/>
        <v>9771.36</v>
      </c>
      <c r="Q371" s="2">
        <f t="shared" si="51"/>
        <v>0</v>
      </c>
      <c r="R371" s="2">
        <f t="shared" si="52"/>
        <v>9771.36</v>
      </c>
      <c r="S371" s="2" t="str">
        <f t="shared" si="53"/>
        <v>High</v>
      </c>
      <c r="T371" s="2" t="str" cm="1">
        <f t="array" ref="T371">_xlfn.IFS(L371&gt;5,"High",L371=5,"Medium",L371&lt;5,"Low")</f>
        <v>High</v>
      </c>
      <c r="U371" s="2" t="str">
        <f t="shared" si="54"/>
        <v>High</v>
      </c>
      <c r="V371" s="14" t="str">
        <f t="shared" si="55"/>
        <v>Normal Discount</v>
      </c>
      <c r="W371" s="16" t="str">
        <f t="shared" si="56"/>
        <v>Excellent</v>
      </c>
      <c r="X371" s="18" t="str" cm="1">
        <f t="array" ref="X371">_xlfn.IFS(O371&gt;7000,"Excellent",O371&gt;4000,"Good",O371&lt;4000,"Average")</f>
        <v>Excellent</v>
      </c>
      <c r="AD371" s="23" t="str">
        <f t="shared" si="57"/>
        <v>Eligible</v>
      </c>
      <c r="AE371" s="24" t="str">
        <f t="shared" si="58"/>
        <v>Offline</v>
      </c>
      <c r="AF371" s="27" t="str">
        <f t="shared" si="59"/>
        <v>Priority Order</v>
      </c>
    </row>
    <row r="372" spans="1:32" x14ac:dyDescent="0.3">
      <c r="A372" s="2">
        <v>10371</v>
      </c>
      <c r="B372" s="2">
        <v>1253</v>
      </c>
      <c r="C372" s="3">
        <v>44973</v>
      </c>
      <c r="D372" s="3">
        <v>44979</v>
      </c>
      <c r="E372" s="2" t="s">
        <v>40</v>
      </c>
      <c r="F372" s="2" t="s">
        <v>47</v>
      </c>
      <c r="G372" s="2" t="s">
        <v>23</v>
      </c>
      <c r="H372" s="2" t="s">
        <v>24</v>
      </c>
      <c r="I372" s="2" t="s">
        <v>55</v>
      </c>
      <c r="J372" s="2" t="s">
        <v>74</v>
      </c>
      <c r="K372" s="2" t="s">
        <v>53</v>
      </c>
      <c r="L372" s="2">
        <v>6</v>
      </c>
      <c r="M372" s="2">
        <v>2715.13</v>
      </c>
      <c r="N372" s="2">
        <v>20</v>
      </c>
      <c r="O372" s="2">
        <v>13032.62</v>
      </c>
      <c r="P372" s="2">
        <f t="shared" si="50"/>
        <v>16290.78</v>
      </c>
      <c r="Q372" s="2">
        <f t="shared" si="51"/>
        <v>3258.1560000000004</v>
      </c>
      <c r="R372" s="2">
        <f t="shared" si="52"/>
        <v>13032.624</v>
      </c>
      <c r="S372" s="2" t="str">
        <f t="shared" si="53"/>
        <v>High</v>
      </c>
      <c r="T372" s="2" t="str" cm="1">
        <f t="array" ref="T372">_xlfn.IFS(L372&gt;5,"High",L372=5,"Medium",L372&lt;5,"Low")</f>
        <v>High</v>
      </c>
      <c r="U372" s="2" t="str">
        <f t="shared" si="54"/>
        <v>High</v>
      </c>
      <c r="V372" s="14" t="str">
        <f t="shared" si="55"/>
        <v>Heavy Discount</v>
      </c>
      <c r="W372" s="16" t="str">
        <f t="shared" si="56"/>
        <v>Excellent</v>
      </c>
      <c r="X372" s="18" t="str" cm="1">
        <f t="array" ref="X372">_xlfn.IFS(O372&gt;7000,"Excellent",O372&gt;4000,"Good",O372&lt;4000,"Average")</f>
        <v>Excellent</v>
      </c>
      <c r="AD372" s="23" t="str">
        <f t="shared" si="57"/>
        <v>Not Eligible</v>
      </c>
      <c r="AE372" s="24" t="str">
        <f t="shared" si="58"/>
        <v>Online</v>
      </c>
      <c r="AF372" s="27" t="str">
        <f t="shared" si="59"/>
        <v>Priority Order</v>
      </c>
    </row>
    <row r="373" spans="1:32" x14ac:dyDescent="0.3">
      <c r="A373" s="2">
        <v>10372</v>
      </c>
      <c r="B373" s="2">
        <v>1651</v>
      </c>
      <c r="C373" s="3">
        <v>45164</v>
      </c>
      <c r="D373" s="3">
        <v>45167</v>
      </c>
      <c r="E373" s="2" t="s">
        <v>22</v>
      </c>
      <c r="F373" s="2" t="s">
        <v>29</v>
      </c>
      <c r="G373" s="2" t="s">
        <v>30</v>
      </c>
      <c r="H373" s="2" t="s">
        <v>41</v>
      </c>
      <c r="I373" s="2" t="s">
        <v>55</v>
      </c>
      <c r="J373" s="2" t="s">
        <v>69</v>
      </c>
      <c r="K373" s="2" t="s">
        <v>27</v>
      </c>
      <c r="L373" s="2">
        <v>2</v>
      </c>
      <c r="M373" s="2">
        <v>3957.02</v>
      </c>
      <c r="N373" s="2">
        <v>5</v>
      </c>
      <c r="O373" s="2">
        <v>7518.34</v>
      </c>
      <c r="P373" s="2">
        <f t="shared" si="50"/>
        <v>7914.04</v>
      </c>
      <c r="Q373" s="2">
        <f t="shared" si="51"/>
        <v>395.702</v>
      </c>
      <c r="R373" s="2">
        <f t="shared" si="52"/>
        <v>7518.3379999999997</v>
      </c>
      <c r="S373" s="2" t="str">
        <f t="shared" si="53"/>
        <v>Low</v>
      </c>
      <c r="T373" s="2" t="str" cm="1">
        <f t="array" ref="T373">_xlfn.IFS(L373&gt;5,"High",L373=5,"Medium",L373&lt;5,"Low")</f>
        <v>Low</v>
      </c>
      <c r="U373" s="2" t="str">
        <f t="shared" si="54"/>
        <v>Low</v>
      </c>
      <c r="V373" s="14" t="str">
        <f t="shared" si="55"/>
        <v>Normal Discount</v>
      </c>
      <c r="W373" s="16" t="str">
        <f t="shared" si="56"/>
        <v>Excellent</v>
      </c>
      <c r="X373" s="18" t="str" cm="1">
        <f t="array" ref="X373">_xlfn.IFS(O373&gt;7000,"Excellent",O373&gt;4000,"Good",O373&lt;4000,"Average")</f>
        <v>Excellent</v>
      </c>
      <c r="AD373" s="23" t="str">
        <f t="shared" si="57"/>
        <v>Eligible</v>
      </c>
      <c r="AE373" s="24" t="str">
        <f t="shared" si="58"/>
        <v>Online</v>
      </c>
      <c r="AF373" s="27" t="str">
        <f t="shared" si="59"/>
        <v>Priority Order</v>
      </c>
    </row>
    <row r="374" spans="1:32" x14ac:dyDescent="0.3">
      <c r="A374" s="2">
        <v>10373</v>
      </c>
      <c r="B374" s="2">
        <v>1452</v>
      </c>
      <c r="C374" s="3">
        <v>45030</v>
      </c>
      <c r="D374" s="3">
        <v>45036</v>
      </c>
      <c r="E374" s="2" t="s">
        <v>28</v>
      </c>
      <c r="F374" s="2" t="s">
        <v>22</v>
      </c>
      <c r="G374" s="2" t="s">
        <v>30</v>
      </c>
      <c r="H374" s="2" t="s">
        <v>24</v>
      </c>
      <c r="I374" s="2" t="s">
        <v>58</v>
      </c>
      <c r="J374" s="2" t="s">
        <v>59</v>
      </c>
      <c r="K374" s="2" t="s">
        <v>27</v>
      </c>
      <c r="L374" s="2">
        <v>6</v>
      </c>
      <c r="M374" s="2">
        <v>1019.05</v>
      </c>
      <c r="N374" s="2">
        <v>0</v>
      </c>
      <c r="O374" s="2">
        <v>6114.3</v>
      </c>
      <c r="P374" s="2">
        <f t="shared" si="50"/>
        <v>6114.2999999999993</v>
      </c>
      <c r="Q374" s="2">
        <f t="shared" si="51"/>
        <v>0</v>
      </c>
      <c r="R374" s="2">
        <f t="shared" si="52"/>
        <v>6114.2999999999993</v>
      </c>
      <c r="S374" s="2" t="str">
        <f t="shared" si="53"/>
        <v>High</v>
      </c>
      <c r="T374" s="2" t="str" cm="1">
        <f t="array" ref="T374">_xlfn.IFS(L374&gt;5,"High",L374=5,"Medium",L374&lt;5,"Low")</f>
        <v>High</v>
      </c>
      <c r="U374" s="2" t="str">
        <f t="shared" si="54"/>
        <v>High</v>
      </c>
      <c r="V374" s="14" t="str">
        <f t="shared" si="55"/>
        <v>Normal Discount</v>
      </c>
      <c r="W374" s="16" t="str">
        <f t="shared" si="56"/>
        <v>Good</v>
      </c>
      <c r="X374" s="18" t="str" cm="1">
        <f t="array" ref="X374">_xlfn.IFS(O374&gt;7000,"Excellent",O374&gt;4000,"Good",O374&lt;4000,"Average")</f>
        <v>Good</v>
      </c>
      <c r="AD374" s="23" t="str">
        <f t="shared" si="57"/>
        <v>Eligible</v>
      </c>
      <c r="AE374" s="24" t="str">
        <f t="shared" si="58"/>
        <v>Online</v>
      </c>
      <c r="AF374" s="27" t="str">
        <f t="shared" si="59"/>
        <v>Priority Order</v>
      </c>
    </row>
    <row r="375" spans="1:32" x14ac:dyDescent="0.3">
      <c r="A375" s="2">
        <v>10374</v>
      </c>
      <c r="B375" s="2">
        <v>1036</v>
      </c>
      <c r="C375" s="3">
        <v>45136</v>
      </c>
      <c r="D375" s="3">
        <v>45141</v>
      </c>
      <c r="E375" s="2" t="s">
        <v>43</v>
      </c>
      <c r="F375" s="2" t="s">
        <v>22</v>
      </c>
      <c r="G375" s="2" t="s">
        <v>23</v>
      </c>
      <c r="H375" s="2" t="s">
        <v>48</v>
      </c>
      <c r="I375" s="2" t="s">
        <v>63</v>
      </c>
      <c r="J375" s="2" t="s">
        <v>64</v>
      </c>
      <c r="K375" s="2" t="s">
        <v>39</v>
      </c>
      <c r="L375" s="2">
        <v>5</v>
      </c>
      <c r="M375" s="2">
        <v>1651.11</v>
      </c>
      <c r="N375" s="2">
        <v>20</v>
      </c>
      <c r="O375" s="2">
        <v>6604.44</v>
      </c>
      <c r="P375" s="2">
        <f t="shared" si="50"/>
        <v>8255.5499999999993</v>
      </c>
      <c r="Q375" s="2">
        <f t="shared" si="51"/>
        <v>1651.11</v>
      </c>
      <c r="R375" s="2">
        <f t="shared" si="52"/>
        <v>6604.44</v>
      </c>
      <c r="S375" s="2" t="str">
        <f t="shared" si="53"/>
        <v>High</v>
      </c>
      <c r="T375" s="2" t="str" cm="1">
        <f t="array" ref="T375">_xlfn.IFS(L375&gt;5,"High",L375=5,"Medium",L375&lt;5,"Low")</f>
        <v>Medium</v>
      </c>
      <c r="U375" s="2" t="str">
        <f t="shared" si="54"/>
        <v>Medium</v>
      </c>
      <c r="V375" s="14" t="str">
        <f t="shared" si="55"/>
        <v>Heavy Discount</v>
      </c>
      <c r="W375" s="16" t="str">
        <f t="shared" si="56"/>
        <v>Good</v>
      </c>
      <c r="X375" s="18" t="str" cm="1">
        <f t="array" ref="X375">_xlfn.IFS(O375&gt;7000,"Excellent",O375&gt;4000,"Good",O375&lt;4000,"Average")</f>
        <v>Good</v>
      </c>
      <c r="AD375" s="23" t="str">
        <f t="shared" si="57"/>
        <v>Not Eligible</v>
      </c>
      <c r="AE375" s="24" t="str">
        <f t="shared" si="58"/>
        <v>Online</v>
      </c>
      <c r="AF375" s="27" t="str">
        <f t="shared" si="59"/>
        <v>Normal Order</v>
      </c>
    </row>
    <row r="376" spans="1:32" x14ac:dyDescent="0.3">
      <c r="A376" s="2">
        <v>10375</v>
      </c>
      <c r="B376" s="2">
        <v>1159</v>
      </c>
      <c r="C376" s="3">
        <v>44968</v>
      </c>
      <c r="D376" s="3">
        <v>44970</v>
      </c>
      <c r="E376" s="2" t="s">
        <v>46</v>
      </c>
      <c r="F376" s="2" t="s">
        <v>29</v>
      </c>
      <c r="G376" s="2" t="s">
        <v>23</v>
      </c>
      <c r="H376" s="2" t="s">
        <v>41</v>
      </c>
      <c r="I376" s="2" t="s">
        <v>58</v>
      </c>
      <c r="J376" s="2" t="s">
        <v>66</v>
      </c>
      <c r="K376" s="2" t="s">
        <v>51</v>
      </c>
      <c r="L376" s="2">
        <v>3</v>
      </c>
      <c r="M376" s="2">
        <v>1998.18</v>
      </c>
      <c r="N376" s="2">
        <v>5</v>
      </c>
      <c r="O376" s="2">
        <v>5694.81</v>
      </c>
      <c r="P376" s="2">
        <f t="shared" si="50"/>
        <v>5994.54</v>
      </c>
      <c r="Q376" s="2">
        <f t="shared" si="51"/>
        <v>299.72700000000003</v>
      </c>
      <c r="R376" s="2">
        <f t="shared" si="52"/>
        <v>5694.8130000000001</v>
      </c>
      <c r="S376" s="2" t="str">
        <f t="shared" si="53"/>
        <v>Low</v>
      </c>
      <c r="T376" s="2" t="str" cm="1">
        <f t="array" ref="T376">_xlfn.IFS(L376&gt;5,"High",L376=5,"Medium",L376&lt;5,"Low")</f>
        <v>Low</v>
      </c>
      <c r="U376" s="2" t="str">
        <f t="shared" si="54"/>
        <v>Low</v>
      </c>
      <c r="V376" s="14" t="str">
        <f t="shared" si="55"/>
        <v>Normal Discount</v>
      </c>
      <c r="W376" s="16" t="str">
        <f t="shared" si="56"/>
        <v>Good</v>
      </c>
      <c r="X376" s="18" t="str" cm="1">
        <f t="array" ref="X376">_xlfn.IFS(O376&gt;7000,"Excellent",O376&gt;4000,"Good",O376&lt;4000,"Average")</f>
        <v>Good</v>
      </c>
      <c r="AD376" s="23" t="str">
        <f t="shared" si="57"/>
        <v>Eligible</v>
      </c>
      <c r="AE376" s="24" t="str">
        <f t="shared" si="58"/>
        <v>Online</v>
      </c>
      <c r="AF376" s="27" t="str">
        <f t="shared" si="59"/>
        <v>Normal Order</v>
      </c>
    </row>
    <row r="377" spans="1:32" x14ac:dyDescent="0.3">
      <c r="A377" s="2">
        <v>10376</v>
      </c>
      <c r="B377" s="2">
        <v>1008</v>
      </c>
      <c r="C377" s="3">
        <v>45242</v>
      </c>
      <c r="D377" s="3">
        <v>45251</v>
      </c>
      <c r="E377" s="2" t="s">
        <v>43</v>
      </c>
      <c r="F377" s="2" t="s">
        <v>60</v>
      </c>
      <c r="G377" s="2" t="s">
        <v>36</v>
      </c>
      <c r="H377" s="2" t="s">
        <v>24</v>
      </c>
      <c r="I377" s="2" t="s">
        <v>63</v>
      </c>
      <c r="J377" s="2" t="s">
        <v>65</v>
      </c>
      <c r="K377" s="2" t="s">
        <v>51</v>
      </c>
      <c r="L377" s="2">
        <v>6</v>
      </c>
      <c r="M377" s="2">
        <v>681.36</v>
      </c>
      <c r="N377" s="2">
        <v>15</v>
      </c>
      <c r="O377" s="2">
        <v>3474.94</v>
      </c>
      <c r="P377" s="2">
        <f t="shared" si="50"/>
        <v>4088.16</v>
      </c>
      <c r="Q377" s="2">
        <f t="shared" si="51"/>
        <v>613.22399999999993</v>
      </c>
      <c r="R377" s="2">
        <f t="shared" si="52"/>
        <v>3474.9359999999997</v>
      </c>
      <c r="S377" s="2" t="str">
        <f t="shared" si="53"/>
        <v>High</v>
      </c>
      <c r="T377" s="2" t="str" cm="1">
        <f t="array" ref="T377">_xlfn.IFS(L377&gt;5,"High",L377=5,"Medium",L377&lt;5,"Low")</f>
        <v>High</v>
      </c>
      <c r="U377" s="2" t="str">
        <f t="shared" si="54"/>
        <v>High</v>
      </c>
      <c r="V377" s="14" t="str">
        <f t="shared" si="55"/>
        <v>Heavy Discount</v>
      </c>
      <c r="W377" s="16" t="str">
        <f t="shared" si="56"/>
        <v>Average</v>
      </c>
      <c r="X377" s="18" t="str" cm="1">
        <f t="array" ref="X377">_xlfn.IFS(O377&gt;7000,"Excellent",O377&gt;4000,"Good",O377&lt;4000,"Average")</f>
        <v>Average</v>
      </c>
      <c r="AD377" s="23" t="str">
        <f t="shared" si="57"/>
        <v>Not Eligible</v>
      </c>
      <c r="AE377" s="24" t="str">
        <f t="shared" si="58"/>
        <v>Offline</v>
      </c>
      <c r="AF377" s="27" t="str">
        <f t="shared" si="59"/>
        <v>Priority Order</v>
      </c>
    </row>
    <row r="378" spans="1:32" x14ac:dyDescent="0.3">
      <c r="A378" s="2">
        <v>10377</v>
      </c>
      <c r="B378" s="2">
        <v>1232</v>
      </c>
      <c r="C378" s="3">
        <v>45194</v>
      </c>
      <c r="D378" s="3">
        <v>45202</v>
      </c>
      <c r="E378" s="2" t="s">
        <v>28</v>
      </c>
      <c r="F378" s="2" t="s">
        <v>29</v>
      </c>
      <c r="G378" s="2" t="s">
        <v>30</v>
      </c>
      <c r="H378" s="2" t="s">
        <v>31</v>
      </c>
      <c r="I378" s="2" t="s">
        <v>58</v>
      </c>
      <c r="J378" s="2" t="s">
        <v>62</v>
      </c>
      <c r="K378" s="2" t="s">
        <v>53</v>
      </c>
      <c r="L378" s="2">
        <v>8</v>
      </c>
      <c r="M378" s="2">
        <v>462</v>
      </c>
      <c r="N378" s="2">
        <v>5</v>
      </c>
      <c r="O378" s="2">
        <v>3511.2</v>
      </c>
      <c r="P378" s="2">
        <f t="shared" si="50"/>
        <v>3696</v>
      </c>
      <c r="Q378" s="2">
        <f t="shared" si="51"/>
        <v>184.8</v>
      </c>
      <c r="R378" s="2">
        <f t="shared" si="52"/>
        <v>3511.2</v>
      </c>
      <c r="S378" s="2" t="str">
        <f t="shared" si="53"/>
        <v>High</v>
      </c>
      <c r="T378" s="2" t="str" cm="1">
        <f t="array" ref="T378">_xlfn.IFS(L378&gt;5,"High",L378=5,"Medium",L378&lt;5,"Low")</f>
        <v>High</v>
      </c>
      <c r="U378" s="2" t="str">
        <f t="shared" si="54"/>
        <v>High</v>
      </c>
      <c r="V378" s="14" t="str">
        <f t="shared" si="55"/>
        <v>Normal Discount</v>
      </c>
      <c r="W378" s="16" t="str">
        <f t="shared" si="56"/>
        <v>Average</v>
      </c>
      <c r="X378" s="18" t="str" cm="1">
        <f t="array" ref="X378">_xlfn.IFS(O378&gt;7000,"Excellent",O378&gt;4000,"Good",O378&lt;4000,"Average")</f>
        <v>Average</v>
      </c>
      <c r="AD378" s="23" t="str">
        <f t="shared" si="57"/>
        <v>Not Eligible</v>
      </c>
      <c r="AE378" s="24" t="str">
        <f t="shared" si="58"/>
        <v>Online</v>
      </c>
      <c r="AF378" s="27" t="str">
        <f t="shared" si="59"/>
        <v>Priority Order</v>
      </c>
    </row>
    <row r="379" spans="1:32" x14ac:dyDescent="0.3">
      <c r="A379" s="2">
        <v>10378</v>
      </c>
      <c r="B379" s="2">
        <v>1098</v>
      </c>
      <c r="C379" s="3">
        <v>45189</v>
      </c>
      <c r="D379" s="3">
        <v>45192</v>
      </c>
      <c r="E379" s="2" t="s">
        <v>46</v>
      </c>
      <c r="F379" s="2" t="s">
        <v>29</v>
      </c>
      <c r="G379" s="2" t="s">
        <v>23</v>
      </c>
      <c r="H379" s="2" t="s">
        <v>41</v>
      </c>
      <c r="I379" s="2" t="s">
        <v>58</v>
      </c>
      <c r="J379" s="2" t="s">
        <v>70</v>
      </c>
      <c r="K379" s="2" t="s">
        <v>34</v>
      </c>
      <c r="L379" s="2">
        <v>9</v>
      </c>
      <c r="M379" s="2">
        <v>3344.43</v>
      </c>
      <c r="N379" s="2">
        <v>10</v>
      </c>
      <c r="O379" s="2">
        <v>27089.88</v>
      </c>
      <c r="P379" s="2">
        <f t="shared" si="50"/>
        <v>30099.87</v>
      </c>
      <c r="Q379" s="2">
        <f t="shared" si="51"/>
        <v>3009.9870000000001</v>
      </c>
      <c r="R379" s="2">
        <f t="shared" si="52"/>
        <v>27089.882999999998</v>
      </c>
      <c r="S379" s="2" t="str">
        <f t="shared" si="53"/>
        <v>High</v>
      </c>
      <c r="T379" s="2" t="str" cm="1">
        <f t="array" ref="T379">_xlfn.IFS(L379&gt;5,"High",L379=5,"Medium",L379&lt;5,"Low")</f>
        <v>High</v>
      </c>
      <c r="U379" s="2" t="str">
        <f t="shared" si="54"/>
        <v>High</v>
      </c>
      <c r="V379" s="14" t="str">
        <f t="shared" si="55"/>
        <v>Normal Discount</v>
      </c>
      <c r="W379" s="16" t="str">
        <f t="shared" si="56"/>
        <v>Excellent</v>
      </c>
      <c r="X379" s="18" t="str" cm="1">
        <f t="array" ref="X379">_xlfn.IFS(O379&gt;7000,"Excellent",O379&gt;4000,"Good",O379&lt;4000,"Average")</f>
        <v>Excellent</v>
      </c>
      <c r="AD379" s="23" t="str">
        <f t="shared" si="57"/>
        <v>Not Eligible</v>
      </c>
      <c r="AE379" s="24" t="str">
        <f t="shared" si="58"/>
        <v>Online</v>
      </c>
      <c r="AF379" s="27" t="str">
        <f t="shared" si="59"/>
        <v>Priority Order</v>
      </c>
    </row>
    <row r="380" spans="1:32" x14ac:dyDescent="0.3">
      <c r="A380" s="2">
        <v>10379</v>
      </c>
      <c r="B380" s="2">
        <v>1658</v>
      </c>
      <c r="C380" s="3">
        <v>45262</v>
      </c>
      <c r="D380" s="3">
        <v>45270</v>
      </c>
      <c r="E380" s="2" t="s">
        <v>21</v>
      </c>
      <c r="F380" s="2" t="s">
        <v>22</v>
      </c>
      <c r="G380" s="2" t="s">
        <v>30</v>
      </c>
      <c r="H380" s="2" t="s">
        <v>41</v>
      </c>
      <c r="I380" s="2" t="s">
        <v>32</v>
      </c>
      <c r="J380" s="2" t="s">
        <v>75</v>
      </c>
      <c r="K380" s="2" t="s">
        <v>51</v>
      </c>
      <c r="L380" s="2">
        <v>1</v>
      </c>
      <c r="M380" s="2">
        <v>3910.66</v>
      </c>
      <c r="N380" s="2">
        <v>5</v>
      </c>
      <c r="O380" s="2">
        <v>3715.13</v>
      </c>
      <c r="P380" s="2">
        <f t="shared" si="50"/>
        <v>3910.66</v>
      </c>
      <c r="Q380" s="2">
        <f t="shared" si="51"/>
        <v>195.53300000000002</v>
      </c>
      <c r="R380" s="2">
        <f t="shared" si="52"/>
        <v>3715.127</v>
      </c>
      <c r="S380" s="2" t="str">
        <f t="shared" si="53"/>
        <v>Low</v>
      </c>
      <c r="T380" s="2" t="str" cm="1">
        <f t="array" ref="T380">_xlfn.IFS(L380&gt;5,"High",L380=5,"Medium",L380&lt;5,"Low")</f>
        <v>Low</v>
      </c>
      <c r="U380" s="2" t="str">
        <f t="shared" si="54"/>
        <v>Low</v>
      </c>
      <c r="V380" s="14" t="str">
        <f t="shared" si="55"/>
        <v>Normal Discount</v>
      </c>
      <c r="W380" s="16" t="str">
        <f t="shared" si="56"/>
        <v>Average</v>
      </c>
      <c r="X380" s="18" t="str" cm="1">
        <f t="array" ref="X380">_xlfn.IFS(O380&gt;7000,"Excellent",O380&gt;4000,"Good",O380&lt;4000,"Average")</f>
        <v>Average</v>
      </c>
      <c r="AD380" s="23" t="str">
        <f t="shared" si="57"/>
        <v>Not Eligible</v>
      </c>
      <c r="AE380" s="24" t="str">
        <f t="shared" si="58"/>
        <v>Online</v>
      </c>
      <c r="AF380" s="27" t="str">
        <f t="shared" si="59"/>
        <v>Normal Order</v>
      </c>
    </row>
    <row r="381" spans="1:32" x14ac:dyDescent="0.3">
      <c r="A381" s="2">
        <v>10380</v>
      </c>
      <c r="B381" s="2">
        <v>1815</v>
      </c>
      <c r="C381" s="3">
        <v>45291</v>
      </c>
      <c r="D381" s="3">
        <v>45300</v>
      </c>
      <c r="E381" s="2" t="s">
        <v>43</v>
      </c>
      <c r="F381" s="2" t="s">
        <v>22</v>
      </c>
      <c r="G381" s="2" t="s">
        <v>23</v>
      </c>
      <c r="H381" s="2" t="s">
        <v>48</v>
      </c>
      <c r="I381" s="2" t="s">
        <v>25</v>
      </c>
      <c r="J381" s="2" t="s">
        <v>61</v>
      </c>
      <c r="K381" s="2" t="s">
        <v>39</v>
      </c>
      <c r="L381" s="2">
        <v>3</v>
      </c>
      <c r="M381" s="2">
        <v>1708.19</v>
      </c>
      <c r="N381" s="2">
        <v>10</v>
      </c>
      <c r="O381" s="2">
        <v>4612.1099999999997</v>
      </c>
      <c r="P381" s="2">
        <f t="shared" si="50"/>
        <v>5124.57</v>
      </c>
      <c r="Q381" s="2">
        <f t="shared" si="51"/>
        <v>512.45699999999999</v>
      </c>
      <c r="R381" s="2">
        <f t="shared" si="52"/>
        <v>4612.1129999999994</v>
      </c>
      <c r="S381" s="2" t="str">
        <f t="shared" si="53"/>
        <v>Low</v>
      </c>
      <c r="T381" s="2" t="str" cm="1">
        <f t="array" ref="T381">_xlfn.IFS(L381&gt;5,"High",L381=5,"Medium",L381&lt;5,"Low")</f>
        <v>Low</v>
      </c>
      <c r="U381" s="2" t="str">
        <f t="shared" si="54"/>
        <v>Low</v>
      </c>
      <c r="V381" s="14" t="str">
        <f t="shared" si="55"/>
        <v>Normal Discount</v>
      </c>
      <c r="W381" s="16" t="str">
        <f t="shared" si="56"/>
        <v>Good</v>
      </c>
      <c r="X381" s="18" t="str" cm="1">
        <f t="array" ref="X381">_xlfn.IFS(O381&gt;7000,"Excellent",O381&gt;4000,"Good",O381&lt;4000,"Average")</f>
        <v>Good</v>
      </c>
      <c r="AD381" s="23" t="str">
        <f t="shared" si="57"/>
        <v>Not Eligible</v>
      </c>
      <c r="AE381" s="24" t="str">
        <f t="shared" si="58"/>
        <v>Online</v>
      </c>
      <c r="AF381" s="27" t="str">
        <f t="shared" si="59"/>
        <v>Normal Order</v>
      </c>
    </row>
    <row r="382" spans="1:32" x14ac:dyDescent="0.3">
      <c r="A382" s="2">
        <v>10381</v>
      </c>
      <c r="B382" s="2">
        <v>1207</v>
      </c>
      <c r="C382" s="3">
        <v>45185</v>
      </c>
      <c r="D382" s="3">
        <v>45188</v>
      </c>
      <c r="E382" s="2" t="s">
        <v>22</v>
      </c>
      <c r="F382" s="2" t="s">
        <v>29</v>
      </c>
      <c r="G382" s="2" t="s">
        <v>30</v>
      </c>
      <c r="H382" s="2" t="s">
        <v>50</v>
      </c>
      <c r="I382" s="2" t="s">
        <v>58</v>
      </c>
      <c r="J382" s="2" t="s">
        <v>62</v>
      </c>
      <c r="K382" s="2" t="s">
        <v>53</v>
      </c>
      <c r="L382" s="2">
        <v>3</v>
      </c>
      <c r="M382" s="2">
        <v>487.45</v>
      </c>
      <c r="N382" s="2">
        <v>5</v>
      </c>
      <c r="O382" s="2">
        <v>1389.23</v>
      </c>
      <c r="P382" s="2">
        <f t="shared" si="50"/>
        <v>1462.35</v>
      </c>
      <c r="Q382" s="2">
        <f t="shared" si="51"/>
        <v>73.117499999999993</v>
      </c>
      <c r="R382" s="2">
        <f t="shared" si="52"/>
        <v>1389.2324999999998</v>
      </c>
      <c r="S382" s="2" t="str">
        <f t="shared" si="53"/>
        <v>Low</v>
      </c>
      <c r="T382" s="2" t="str" cm="1">
        <f t="array" ref="T382">_xlfn.IFS(L382&gt;5,"High",L382=5,"Medium",L382&lt;5,"Low")</f>
        <v>Low</v>
      </c>
      <c r="U382" s="2" t="str">
        <f t="shared" si="54"/>
        <v>Low</v>
      </c>
      <c r="V382" s="14" t="str">
        <f t="shared" si="55"/>
        <v>Normal Discount</v>
      </c>
      <c r="W382" s="16" t="str">
        <f t="shared" si="56"/>
        <v>Average</v>
      </c>
      <c r="X382" s="18" t="str" cm="1">
        <f t="array" ref="X382">_xlfn.IFS(O382&gt;7000,"Excellent",O382&gt;4000,"Good",O382&lt;4000,"Average")</f>
        <v>Average</v>
      </c>
      <c r="AD382" s="23" t="str">
        <f t="shared" si="57"/>
        <v>Not Eligible</v>
      </c>
      <c r="AE382" s="24" t="str">
        <f t="shared" si="58"/>
        <v>Online</v>
      </c>
      <c r="AF382" s="27" t="str">
        <f t="shared" si="59"/>
        <v>Normal Order</v>
      </c>
    </row>
    <row r="383" spans="1:32" x14ac:dyDescent="0.3">
      <c r="A383" s="2">
        <v>10382</v>
      </c>
      <c r="B383" s="2">
        <v>1130</v>
      </c>
      <c r="C383" s="3">
        <v>45209</v>
      </c>
      <c r="D383" s="3">
        <v>45212</v>
      </c>
      <c r="E383" s="2" t="s">
        <v>22</v>
      </c>
      <c r="F383" s="2" t="s">
        <v>29</v>
      </c>
      <c r="G383" s="2" t="s">
        <v>36</v>
      </c>
      <c r="H383" s="2" t="s">
        <v>50</v>
      </c>
      <c r="I383" s="2" t="s">
        <v>32</v>
      </c>
      <c r="J383" s="2" t="s">
        <v>42</v>
      </c>
      <c r="K383" s="2" t="s">
        <v>53</v>
      </c>
      <c r="L383" s="2">
        <v>8</v>
      </c>
      <c r="M383" s="2">
        <v>403.38</v>
      </c>
      <c r="N383" s="2">
        <v>10</v>
      </c>
      <c r="O383" s="2">
        <v>2904.34</v>
      </c>
      <c r="P383" s="2">
        <f t="shared" si="50"/>
        <v>3227.04</v>
      </c>
      <c r="Q383" s="2">
        <f t="shared" si="51"/>
        <v>322.70400000000001</v>
      </c>
      <c r="R383" s="2">
        <f t="shared" si="52"/>
        <v>2904.3359999999998</v>
      </c>
      <c r="S383" s="2" t="str">
        <f t="shared" si="53"/>
        <v>High</v>
      </c>
      <c r="T383" s="2" t="str" cm="1">
        <f t="array" ref="T383">_xlfn.IFS(L383&gt;5,"High",L383=5,"Medium",L383&lt;5,"Low")</f>
        <v>High</v>
      </c>
      <c r="U383" s="2" t="str">
        <f t="shared" si="54"/>
        <v>High</v>
      </c>
      <c r="V383" s="14" t="str">
        <f t="shared" si="55"/>
        <v>Normal Discount</v>
      </c>
      <c r="W383" s="16" t="str">
        <f t="shared" si="56"/>
        <v>Average</v>
      </c>
      <c r="X383" s="18" t="str" cm="1">
        <f t="array" ref="X383">_xlfn.IFS(O383&gt;7000,"Excellent",O383&gt;4000,"Good",O383&lt;4000,"Average")</f>
        <v>Average</v>
      </c>
      <c r="AD383" s="23" t="str">
        <f t="shared" si="57"/>
        <v>Not Eligible</v>
      </c>
      <c r="AE383" s="24" t="str">
        <f t="shared" si="58"/>
        <v>Offline</v>
      </c>
      <c r="AF383" s="27" t="str">
        <f t="shared" si="59"/>
        <v>Priority Order</v>
      </c>
    </row>
    <row r="384" spans="1:32" x14ac:dyDescent="0.3">
      <c r="A384" s="2">
        <v>10383</v>
      </c>
      <c r="B384" s="2">
        <v>1403</v>
      </c>
      <c r="C384" s="3">
        <v>45040</v>
      </c>
      <c r="D384" s="3">
        <v>45042</v>
      </c>
      <c r="E384" s="2" t="s">
        <v>43</v>
      </c>
      <c r="F384" s="2" t="s">
        <v>29</v>
      </c>
      <c r="G384" s="2" t="s">
        <v>30</v>
      </c>
      <c r="H384" s="2" t="s">
        <v>48</v>
      </c>
      <c r="I384" s="2" t="s">
        <v>37</v>
      </c>
      <c r="J384" s="2" t="s">
        <v>54</v>
      </c>
      <c r="K384" s="2" t="s">
        <v>39</v>
      </c>
      <c r="L384" s="2">
        <v>1</v>
      </c>
      <c r="M384" s="2">
        <v>3581.58</v>
      </c>
      <c r="N384" s="2">
        <v>15</v>
      </c>
      <c r="O384" s="2">
        <v>3044.34</v>
      </c>
      <c r="P384" s="2">
        <f t="shared" si="50"/>
        <v>3581.58</v>
      </c>
      <c r="Q384" s="2">
        <f t="shared" si="51"/>
        <v>537.23699999999997</v>
      </c>
      <c r="R384" s="2">
        <f t="shared" si="52"/>
        <v>3044.3429999999998</v>
      </c>
      <c r="S384" s="2" t="str">
        <f t="shared" si="53"/>
        <v>Low</v>
      </c>
      <c r="T384" s="2" t="str" cm="1">
        <f t="array" ref="T384">_xlfn.IFS(L384&gt;5,"High",L384=5,"Medium",L384&lt;5,"Low")</f>
        <v>Low</v>
      </c>
      <c r="U384" s="2" t="str">
        <f t="shared" si="54"/>
        <v>Low</v>
      </c>
      <c r="V384" s="14" t="str">
        <f t="shared" si="55"/>
        <v>Heavy Discount</v>
      </c>
      <c r="W384" s="16" t="str">
        <f t="shared" si="56"/>
        <v>Average</v>
      </c>
      <c r="X384" s="18" t="str" cm="1">
        <f t="array" ref="X384">_xlfn.IFS(O384&gt;7000,"Excellent",O384&gt;4000,"Good",O384&lt;4000,"Average")</f>
        <v>Average</v>
      </c>
      <c r="AD384" s="23" t="str">
        <f t="shared" si="57"/>
        <v>Not Eligible</v>
      </c>
      <c r="AE384" s="24" t="str">
        <f t="shared" si="58"/>
        <v>Online</v>
      </c>
      <c r="AF384" s="27" t="str">
        <f t="shared" si="59"/>
        <v>Normal Order</v>
      </c>
    </row>
    <row r="385" spans="1:32" x14ac:dyDescent="0.3">
      <c r="A385" s="2">
        <v>10384</v>
      </c>
      <c r="B385" s="2">
        <v>1151</v>
      </c>
      <c r="C385" s="3">
        <v>45289</v>
      </c>
      <c r="D385" s="3">
        <v>45297</v>
      </c>
      <c r="E385" s="2" t="s">
        <v>28</v>
      </c>
      <c r="F385" s="2" t="s">
        <v>22</v>
      </c>
      <c r="G385" s="2" t="s">
        <v>30</v>
      </c>
      <c r="H385" s="2" t="s">
        <v>48</v>
      </c>
      <c r="I385" s="2" t="s">
        <v>25</v>
      </c>
      <c r="J385" s="2" t="s">
        <v>61</v>
      </c>
      <c r="K385" s="2" t="s">
        <v>34</v>
      </c>
      <c r="L385" s="2">
        <v>5</v>
      </c>
      <c r="M385" s="2">
        <v>1935.68</v>
      </c>
      <c r="N385" s="2">
        <v>20</v>
      </c>
      <c r="O385" s="2">
        <v>7742.72</v>
      </c>
      <c r="P385" s="2">
        <f t="shared" si="50"/>
        <v>9678.4</v>
      </c>
      <c r="Q385" s="2">
        <f t="shared" si="51"/>
        <v>1935.68</v>
      </c>
      <c r="R385" s="2">
        <f t="shared" si="52"/>
        <v>7742.7199999999993</v>
      </c>
      <c r="S385" s="2" t="str">
        <f t="shared" si="53"/>
        <v>High</v>
      </c>
      <c r="T385" s="2" t="str" cm="1">
        <f t="array" ref="T385">_xlfn.IFS(L385&gt;5,"High",L385=5,"Medium",L385&lt;5,"Low")</f>
        <v>Medium</v>
      </c>
      <c r="U385" s="2" t="str">
        <f t="shared" si="54"/>
        <v>Medium</v>
      </c>
      <c r="V385" s="14" t="str">
        <f t="shared" si="55"/>
        <v>Heavy Discount</v>
      </c>
      <c r="W385" s="16" t="str">
        <f t="shared" si="56"/>
        <v>Excellent</v>
      </c>
      <c r="X385" s="18" t="str" cm="1">
        <f t="array" ref="X385">_xlfn.IFS(O385&gt;7000,"Excellent",O385&gt;4000,"Good",O385&lt;4000,"Average")</f>
        <v>Excellent</v>
      </c>
      <c r="AD385" s="23" t="str">
        <f t="shared" si="57"/>
        <v>Not Eligible</v>
      </c>
      <c r="AE385" s="24" t="str">
        <f t="shared" si="58"/>
        <v>Online</v>
      </c>
      <c r="AF385" s="27" t="str">
        <f t="shared" si="59"/>
        <v>Priority Order</v>
      </c>
    </row>
    <row r="386" spans="1:32" x14ac:dyDescent="0.3">
      <c r="A386" s="2">
        <v>10385</v>
      </c>
      <c r="B386" s="2">
        <v>1053</v>
      </c>
      <c r="C386" s="3">
        <v>44966</v>
      </c>
      <c r="D386" s="3">
        <v>44967</v>
      </c>
      <c r="E386" s="2" t="s">
        <v>22</v>
      </c>
      <c r="F386" s="2" t="s">
        <v>29</v>
      </c>
      <c r="G386" s="2" t="s">
        <v>30</v>
      </c>
      <c r="H386" s="2" t="s">
        <v>48</v>
      </c>
      <c r="I386" s="2" t="s">
        <v>58</v>
      </c>
      <c r="J386" s="2" t="s">
        <v>70</v>
      </c>
      <c r="K386" s="2" t="s">
        <v>39</v>
      </c>
      <c r="L386" s="2">
        <v>3</v>
      </c>
      <c r="M386" s="2">
        <v>1382.11</v>
      </c>
      <c r="N386" s="2">
        <v>10</v>
      </c>
      <c r="O386" s="2">
        <v>3731.7</v>
      </c>
      <c r="P386" s="2">
        <f t="shared" si="50"/>
        <v>4146.33</v>
      </c>
      <c r="Q386" s="2">
        <f t="shared" si="51"/>
        <v>414.63300000000004</v>
      </c>
      <c r="R386" s="2">
        <f t="shared" si="52"/>
        <v>3731.6970000000001</v>
      </c>
      <c r="S386" s="2" t="str">
        <f t="shared" si="53"/>
        <v>Low</v>
      </c>
      <c r="T386" s="2" t="str" cm="1">
        <f t="array" ref="T386">_xlfn.IFS(L386&gt;5,"High",L386=5,"Medium",L386&lt;5,"Low")</f>
        <v>Low</v>
      </c>
      <c r="U386" s="2" t="str">
        <f t="shared" si="54"/>
        <v>Low</v>
      </c>
      <c r="V386" s="14" t="str">
        <f t="shared" si="55"/>
        <v>Normal Discount</v>
      </c>
      <c r="W386" s="16" t="str">
        <f t="shared" si="56"/>
        <v>Average</v>
      </c>
      <c r="X386" s="18" t="str" cm="1">
        <f t="array" ref="X386">_xlfn.IFS(O386&gt;7000,"Excellent",O386&gt;4000,"Good",O386&lt;4000,"Average")</f>
        <v>Average</v>
      </c>
      <c r="AD386" s="23" t="str">
        <f t="shared" si="57"/>
        <v>Not Eligible</v>
      </c>
      <c r="AE386" s="24" t="str">
        <f t="shared" si="58"/>
        <v>Online</v>
      </c>
      <c r="AF386" s="27" t="str">
        <f t="shared" si="59"/>
        <v>Normal Order</v>
      </c>
    </row>
    <row r="387" spans="1:32" x14ac:dyDescent="0.3">
      <c r="A387" s="2">
        <v>10386</v>
      </c>
      <c r="B387" s="2">
        <v>1119</v>
      </c>
      <c r="C387" s="3">
        <v>45146</v>
      </c>
      <c r="D387" s="3">
        <v>45154</v>
      </c>
      <c r="E387" s="2" t="s">
        <v>21</v>
      </c>
      <c r="F387" s="2" t="s">
        <v>29</v>
      </c>
      <c r="G387" s="2" t="s">
        <v>30</v>
      </c>
      <c r="H387" s="2" t="s">
        <v>50</v>
      </c>
      <c r="I387" s="2" t="s">
        <v>55</v>
      </c>
      <c r="J387" s="2" t="s">
        <v>74</v>
      </c>
      <c r="K387" s="2" t="s">
        <v>34</v>
      </c>
      <c r="L387" s="2">
        <v>2</v>
      </c>
      <c r="M387" s="2">
        <v>1984.38</v>
      </c>
      <c r="N387" s="2">
        <v>10</v>
      </c>
      <c r="O387" s="2">
        <v>3571.88</v>
      </c>
      <c r="P387" s="2">
        <f t="shared" ref="P387:P450" si="60">M387*L387</f>
        <v>3968.76</v>
      </c>
      <c r="Q387" s="2">
        <f t="shared" ref="Q387:Q450" si="61">P387*N387%</f>
        <v>396.87600000000003</v>
      </c>
      <c r="R387" s="2">
        <f t="shared" ref="R387:R450" si="62">P387-Q387</f>
        <v>3571.884</v>
      </c>
      <c r="S387" s="2" t="str">
        <f t="shared" ref="S387:S450" si="63">IF(L387&gt;=5,"High","Low")</f>
        <v>Low</v>
      </c>
      <c r="T387" s="2" t="str" cm="1">
        <f t="array" ref="T387">_xlfn.IFS(L387&gt;5,"High",L387=5,"Medium",L387&lt;5,"Low")</f>
        <v>Low</v>
      </c>
      <c r="U387" s="2" t="str">
        <f t="shared" ref="U387:U450" si="64">IF(L387&gt;5,"High",IF(L387=5,"Medium","Low"))</f>
        <v>Low</v>
      </c>
      <c r="V387" s="14" t="str">
        <f t="shared" ref="V387:V450" si="65">IF(N387&gt;10,"Heavy Discount","Normal Discount")</f>
        <v>Normal Discount</v>
      </c>
      <c r="W387" s="16" t="str">
        <f t="shared" ref="W387:W450" si="66">IF(O387&gt;7000,"Excellent",IF(O387&gt;4000,"Good","Average"))</f>
        <v>Average</v>
      </c>
      <c r="X387" s="18" t="str" cm="1">
        <f t="array" ref="X387">_xlfn.IFS(O387&gt;7000,"Excellent",O387&gt;4000,"Good",O387&lt;4000,"Average")</f>
        <v>Average</v>
      </c>
      <c r="AD387" s="23" t="str">
        <f t="shared" ref="AD387:AD450" si="67">IF(AND(O387&gt;5000,N387&lt;10),"Eligible","Not Eligible")</f>
        <v>Not Eligible</v>
      </c>
      <c r="AE387" s="24" t="str">
        <f t="shared" ref="AE387:AE450" si="68">IF(G387&lt;&gt;"Marketplace","Online","Offline")</f>
        <v>Online</v>
      </c>
      <c r="AF387" s="27" t="str">
        <f t="shared" ref="AF387:AF450" si="69">IF(OR(O387&gt;7000,L387&gt;5),"Priority Order","Normal Order")</f>
        <v>Normal Order</v>
      </c>
    </row>
    <row r="388" spans="1:32" x14ac:dyDescent="0.3">
      <c r="A388" s="2">
        <v>10387</v>
      </c>
      <c r="B388" s="2">
        <v>1672</v>
      </c>
      <c r="C388" s="3">
        <v>45055</v>
      </c>
      <c r="D388" s="3">
        <v>45062</v>
      </c>
      <c r="E388" s="2" t="s">
        <v>52</v>
      </c>
      <c r="F388" s="2" t="s">
        <v>35</v>
      </c>
      <c r="G388" s="2" t="s">
        <v>30</v>
      </c>
      <c r="H388" s="2" t="s">
        <v>48</v>
      </c>
      <c r="I388" s="2" t="s">
        <v>37</v>
      </c>
      <c r="J388" s="2" t="s">
        <v>38</v>
      </c>
      <c r="K388" s="2" t="s">
        <v>39</v>
      </c>
      <c r="L388" s="2">
        <v>8</v>
      </c>
      <c r="M388" s="2">
        <v>1375.47</v>
      </c>
      <c r="N388" s="2">
        <v>15</v>
      </c>
      <c r="O388" s="2">
        <v>9353.2000000000007</v>
      </c>
      <c r="P388" s="2">
        <f t="shared" si="60"/>
        <v>11003.76</v>
      </c>
      <c r="Q388" s="2">
        <f t="shared" si="61"/>
        <v>1650.5640000000001</v>
      </c>
      <c r="R388" s="2">
        <f t="shared" si="62"/>
        <v>9353.1959999999999</v>
      </c>
      <c r="S388" s="2" t="str">
        <f t="shared" si="63"/>
        <v>High</v>
      </c>
      <c r="T388" s="2" t="str" cm="1">
        <f t="array" ref="T388">_xlfn.IFS(L388&gt;5,"High",L388=5,"Medium",L388&lt;5,"Low")</f>
        <v>High</v>
      </c>
      <c r="U388" s="2" t="str">
        <f t="shared" si="64"/>
        <v>High</v>
      </c>
      <c r="V388" s="14" t="str">
        <f t="shared" si="65"/>
        <v>Heavy Discount</v>
      </c>
      <c r="W388" s="16" t="str">
        <f t="shared" si="66"/>
        <v>Excellent</v>
      </c>
      <c r="X388" s="18" t="str" cm="1">
        <f t="array" ref="X388">_xlfn.IFS(O388&gt;7000,"Excellent",O388&gt;4000,"Good",O388&lt;4000,"Average")</f>
        <v>Excellent</v>
      </c>
      <c r="AD388" s="23" t="str">
        <f t="shared" si="67"/>
        <v>Not Eligible</v>
      </c>
      <c r="AE388" s="24" t="str">
        <f t="shared" si="68"/>
        <v>Online</v>
      </c>
      <c r="AF388" s="27" t="str">
        <f t="shared" si="69"/>
        <v>Priority Order</v>
      </c>
    </row>
    <row r="389" spans="1:32" x14ac:dyDescent="0.3">
      <c r="A389" s="2">
        <v>10388</v>
      </c>
      <c r="B389" s="2">
        <v>1919</v>
      </c>
      <c r="C389" s="3">
        <v>44934</v>
      </c>
      <c r="D389" s="3">
        <v>44941</v>
      </c>
      <c r="E389" s="2" t="s">
        <v>28</v>
      </c>
      <c r="F389" s="2" t="s">
        <v>60</v>
      </c>
      <c r="G389" s="2" t="s">
        <v>36</v>
      </c>
      <c r="H389" s="2" t="s">
        <v>24</v>
      </c>
      <c r="I389" s="2" t="s">
        <v>37</v>
      </c>
      <c r="J389" s="2" t="s">
        <v>45</v>
      </c>
      <c r="K389" s="2" t="s">
        <v>39</v>
      </c>
      <c r="L389" s="2">
        <v>3</v>
      </c>
      <c r="M389" s="2">
        <v>2032.79</v>
      </c>
      <c r="N389" s="2">
        <v>10</v>
      </c>
      <c r="O389" s="2">
        <v>5488.53</v>
      </c>
      <c r="P389" s="2">
        <f t="shared" si="60"/>
        <v>6098.37</v>
      </c>
      <c r="Q389" s="2">
        <f t="shared" si="61"/>
        <v>609.83699999999999</v>
      </c>
      <c r="R389" s="2">
        <f t="shared" si="62"/>
        <v>5488.5329999999994</v>
      </c>
      <c r="S389" s="2" t="str">
        <f t="shared" si="63"/>
        <v>Low</v>
      </c>
      <c r="T389" s="2" t="str" cm="1">
        <f t="array" ref="T389">_xlfn.IFS(L389&gt;5,"High",L389=5,"Medium",L389&lt;5,"Low")</f>
        <v>Low</v>
      </c>
      <c r="U389" s="2" t="str">
        <f t="shared" si="64"/>
        <v>Low</v>
      </c>
      <c r="V389" s="14" t="str">
        <f t="shared" si="65"/>
        <v>Normal Discount</v>
      </c>
      <c r="W389" s="16" t="str">
        <f t="shared" si="66"/>
        <v>Good</v>
      </c>
      <c r="X389" s="18" t="str" cm="1">
        <f t="array" ref="X389">_xlfn.IFS(O389&gt;7000,"Excellent",O389&gt;4000,"Good",O389&lt;4000,"Average")</f>
        <v>Good</v>
      </c>
      <c r="AD389" s="23" t="str">
        <f t="shared" si="67"/>
        <v>Not Eligible</v>
      </c>
      <c r="AE389" s="24" t="str">
        <f t="shared" si="68"/>
        <v>Offline</v>
      </c>
      <c r="AF389" s="27" t="str">
        <f t="shared" si="69"/>
        <v>Normal Order</v>
      </c>
    </row>
    <row r="390" spans="1:32" x14ac:dyDescent="0.3">
      <c r="A390" s="2">
        <v>10389</v>
      </c>
      <c r="B390" s="2">
        <v>1627</v>
      </c>
      <c r="C390" s="3">
        <v>45027</v>
      </c>
      <c r="D390" s="3">
        <v>45030</v>
      </c>
      <c r="E390" s="2" t="s">
        <v>21</v>
      </c>
      <c r="F390" s="2" t="s">
        <v>44</v>
      </c>
      <c r="G390" s="2" t="s">
        <v>23</v>
      </c>
      <c r="H390" s="2" t="s">
        <v>41</v>
      </c>
      <c r="I390" s="2" t="s">
        <v>32</v>
      </c>
      <c r="J390" s="2" t="s">
        <v>75</v>
      </c>
      <c r="K390" s="2" t="s">
        <v>27</v>
      </c>
      <c r="L390" s="2">
        <v>7</v>
      </c>
      <c r="M390" s="2">
        <v>3459.29</v>
      </c>
      <c r="N390" s="2">
        <v>0</v>
      </c>
      <c r="O390" s="2">
        <v>24215.03</v>
      </c>
      <c r="P390" s="2">
        <f t="shared" si="60"/>
        <v>24215.03</v>
      </c>
      <c r="Q390" s="2">
        <f t="shared" si="61"/>
        <v>0</v>
      </c>
      <c r="R390" s="2">
        <f t="shared" si="62"/>
        <v>24215.03</v>
      </c>
      <c r="S390" s="2" t="str">
        <f t="shared" si="63"/>
        <v>High</v>
      </c>
      <c r="T390" s="2" t="str" cm="1">
        <f t="array" ref="T390">_xlfn.IFS(L390&gt;5,"High",L390=5,"Medium",L390&lt;5,"Low")</f>
        <v>High</v>
      </c>
      <c r="U390" s="2" t="str">
        <f t="shared" si="64"/>
        <v>High</v>
      </c>
      <c r="V390" s="14" t="str">
        <f t="shared" si="65"/>
        <v>Normal Discount</v>
      </c>
      <c r="W390" s="16" t="str">
        <f t="shared" si="66"/>
        <v>Excellent</v>
      </c>
      <c r="X390" s="18" t="str" cm="1">
        <f t="array" ref="X390">_xlfn.IFS(O390&gt;7000,"Excellent",O390&gt;4000,"Good",O390&lt;4000,"Average")</f>
        <v>Excellent</v>
      </c>
      <c r="AD390" s="23" t="str">
        <f t="shared" si="67"/>
        <v>Eligible</v>
      </c>
      <c r="AE390" s="24" t="str">
        <f t="shared" si="68"/>
        <v>Online</v>
      </c>
      <c r="AF390" s="27" t="str">
        <f t="shared" si="69"/>
        <v>Priority Order</v>
      </c>
    </row>
    <row r="391" spans="1:32" x14ac:dyDescent="0.3">
      <c r="A391" s="2">
        <v>10390</v>
      </c>
      <c r="B391" s="2">
        <v>1586</v>
      </c>
      <c r="C391" s="3">
        <v>45102</v>
      </c>
      <c r="D391" s="3">
        <v>45103</v>
      </c>
      <c r="E391" s="2" t="s">
        <v>46</v>
      </c>
      <c r="F391" s="2" t="s">
        <v>60</v>
      </c>
      <c r="G391" s="2" t="s">
        <v>30</v>
      </c>
      <c r="H391" s="2" t="s">
        <v>41</v>
      </c>
      <c r="I391" s="2" t="s">
        <v>37</v>
      </c>
      <c r="J391" s="2" t="s">
        <v>54</v>
      </c>
      <c r="K391" s="2" t="s">
        <v>53</v>
      </c>
      <c r="L391" s="2">
        <v>1</v>
      </c>
      <c r="M391" s="2">
        <v>2430.36</v>
      </c>
      <c r="N391" s="2">
        <v>15</v>
      </c>
      <c r="O391" s="2">
        <v>2065.81</v>
      </c>
      <c r="P391" s="2">
        <f t="shared" si="60"/>
        <v>2430.36</v>
      </c>
      <c r="Q391" s="2">
        <f t="shared" si="61"/>
        <v>364.55400000000003</v>
      </c>
      <c r="R391" s="2">
        <f t="shared" si="62"/>
        <v>2065.806</v>
      </c>
      <c r="S391" s="2" t="str">
        <f t="shared" si="63"/>
        <v>Low</v>
      </c>
      <c r="T391" s="2" t="str" cm="1">
        <f t="array" ref="T391">_xlfn.IFS(L391&gt;5,"High",L391=5,"Medium",L391&lt;5,"Low")</f>
        <v>Low</v>
      </c>
      <c r="U391" s="2" t="str">
        <f t="shared" si="64"/>
        <v>Low</v>
      </c>
      <c r="V391" s="14" t="str">
        <f t="shared" si="65"/>
        <v>Heavy Discount</v>
      </c>
      <c r="W391" s="16" t="str">
        <f t="shared" si="66"/>
        <v>Average</v>
      </c>
      <c r="X391" s="18" t="str" cm="1">
        <f t="array" ref="X391">_xlfn.IFS(O391&gt;7000,"Excellent",O391&gt;4000,"Good",O391&lt;4000,"Average")</f>
        <v>Average</v>
      </c>
      <c r="AD391" s="23" t="str">
        <f t="shared" si="67"/>
        <v>Not Eligible</v>
      </c>
      <c r="AE391" s="24" t="str">
        <f t="shared" si="68"/>
        <v>Online</v>
      </c>
      <c r="AF391" s="27" t="str">
        <f t="shared" si="69"/>
        <v>Normal Order</v>
      </c>
    </row>
    <row r="392" spans="1:32" x14ac:dyDescent="0.3">
      <c r="A392" s="2">
        <v>10391</v>
      </c>
      <c r="B392" s="2">
        <v>1624</v>
      </c>
      <c r="C392" s="3">
        <v>45033</v>
      </c>
      <c r="D392" s="3">
        <v>45037</v>
      </c>
      <c r="E392" s="2" t="s">
        <v>21</v>
      </c>
      <c r="F392" s="2" t="s">
        <v>35</v>
      </c>
      <c r="G392" s="2" t="s">
        <v>36</v>
      </c>
      <c r="H392" s="2" t="s">
        <v>31</v>
      </c>
      <c r="I392" s="2" t="s">
        <v>25</v>
      </c>
      <c r="J392" s="2" t="s">
        <v>72</v>
      </c>
      <c r="K392" s="2" t="s">
        <v>39</v>
      </c>
      <c r="L392" s="2">
        <v>6</v>
      </c>
      <c r="M392" s="2">
        <v>2824.42</v>
      </c>
      <c r="N392" s="2">
        <v>0</v>
      </c>
      <c r="O392" s="2">
        <v>16946.52</v>
      </c>
      <c r="P392" s="2">
        <f t="shared" si="60"/>
        <v>16946.52</v>
      </c>
      <c r="Q392" s="2">
        <f t="shared" si="61"/>
        <v>0</v>
      </c>
      <c r="R392" s="2">
        <f t="shared" si="62"/>
        <v>16946.52</v>
      </c>
      <c r="S392" s="2" t="str">
        <f t="shared" si="63"/>
        <v>High</v>
      </c>
      <c r="T392" s="2" t="str" cm="1">
        <f t="array" ref="T392">_xlfn.IFS(L392&gt;5,"High",L392=5,"Medium",L392&lt;5,"Low")</f>
        <v>High</v>
      </c>
      <c r="U392" s="2" t="str">
        <f t="shared" si="64"/>
        <v>High</v>
      </c>
      <c r="V392" s="14" t="str">
        <f t="shared" si="65"/>
        <v>Normal Discount</v>
      </c>
      <c r="W392" s="16" t="str">
        <f t="shared" si="66"/>
        <v>Excellent</v>
      </c>
      <c r="X392" s="18" t="str" cm="1">
        <f t="array" ref="X392">_xlfn.IFS(O392&gt;7000,"Excellent",O392&gt;4000,"Good",O392&lt;4000,"Average")</f>
        <v>Excellent</v>
      </c>
      <c r="AD392" s="23" t="str">
        <f t="shared" si="67"/>
        <v>Eligible</v>
      </c>
      <c r="AE392" s="24" t="str">
        <f t="shared" si="68"/>
        <v>Offline</v>
      </c>
      <c r="AF392" s="27" t="str">
        <f t="shared" si="69"/>
        <v>Priority Order</v>
      </c>
    </row>
    <row r="393" spans="1:32" x14ac:dyDescent="0.3">
      <c r="A393" s="2">
        <v>10392</v>
      </c>
      <c r="B393" s="2">
        <v>1967</v>
      </c>
      <c r="C393" s="3">
        <v>45027</v>
      </c>
      <c r="D393" s="3">
        <v>45036</v>
      </c>
      <c r="E393" s="2" t="s">
        <v>28</v>
      </c>
      <c r="F393" s="2" t="s">
        <v>44</v>
      </c>
      <c r="G393" s="2" t="s">
        <v>30</v>
      </c>
      <c r="H393" s="2" t="s">
        <v>31</v>
      </c>
      <c r="I393" s="2" t="s">
        <v>58</v>
      </c>
      <c r="J393" s="2" t="s">
        <v>66</v>
      </c>
      <c r="K393" s="2" t="s">
        <v>39</v>
      </c>
      <c r="L393" s="2">
        <v>3</v>
      </c>
      <c r="M393" s="2">
        <v>1553.98</v>
      </c>
      <c r="N393" s="2">
        <v>15</v>
      </c>
      <c r="O393" s="2">
        <v>3962.65</v>
      </c>
      <c r="P393" s="2">
        <f t="shared" si="60"/>
        <v>4661.9400000000005</v>
      </c>
      <c r="Q393" s="2">
        <f t="shared" si="61"/>
        <v>699.29100000000005</v>
      </c>
      <c r="R393" s="2">
        <f t="shared" si="62"/>
        <v>3962.6490000000003</v>
      </c>
      <c r="S393" s="2" t="str">
        <f t="shared" si="63"/>
        <v>Low</v>
      </c>
      <c r="T393" s="2" t="str" cm="1">
        <f t="array" ref="T393">_xlfn.IFS(L393&gt;5,"High",L393=5,"Medium",L393&lt;5,"Low")</f>
        <v>Low</v>
      </c>
      <c r="U393" s="2" t="str">
        <f t="shared" si="64"/>
        <v>Low</v>
      </c>
      <c r="V393" s="14" t="str">
        <f t="shared" si="65"/>
        <v>Heavy Discount</v>
      </c>
      <c r="W393" s="16" t="str">
        <f t="shared" si="66"/>
        <v>Average</v>
      </c>
      <c r="X393" s="18" t="str" cm="1">
        <f t="array" ref="X393">_xlfn.IFS(O393&gt;7000,"Excellent",O393&gt;4000,"Good",O393&lt;4000,"Average")</f>
        <v>Average</v>
      </c>
      <c r="AD393" s="23" t="str">
        <f t="shared" si="67"/>
        <v>Not Eligible</v>
      </c>
      <c r="AE393" s="24" t="str">
        <f t="shared" si="68"/>
        <v>Online</v>
      </c>
      <c r="AF393" s="27" t="str">
        <f t="shared" si="69"/>
        <v>Normal Order</v>
      </c>
    </row>
    <row r="394" spans="1:32" x14ac:dyDescent="0.3">
      <c r="A394" s="2">
        <v>10393</v>
      </c>
      <c r="B394" s="2">
        <v>1419</v>
      </c>
      <c r="C394" s="3">
        <v>45186</v>
      </c>
      <c r="D394" s="3">
        <v>45191</v>
      </c>
      <c r="E394" s="2" t="s">
        <v>46</v>
      </c>
      <c r="F394" s="2" t="s">
        <v>29</v>
      </c>
      <c r="G394" s="2" t="s">
        <v>30</v>
      </c>
      <c r="H394" s="2" t="s">
        <v>41</v>
      </c>
      <c r="I394" s="2" t="s">
        <v>58</v>
      </c>
      <c r="J394" s="2" t="s">
        <v>66</v>
      </c>
      <c r="K394" s="2" t="s">
        <v>51</v>
      </c>
      <c r="L394" s="2">
        <v>8</v>
      </c>
      <c r="M394" s="2">
        <v>2993.25</v>
      </c>
      <c r="N394" s="2">
        <v>10</v>
      </c>
      <c r="O394" s="2">
        <v>21551.4</v>
      </c>
      <c r="P394" s="2">
        <f t="shared" si="60"/>
        <v>23946</v>
      </c>
      <c r="Q394" s="2">
        <f t="shared" si="61"/>
        <v>2394.6</v>
      </c>
      <c r="R394" s="2">
        <f t="shared" si="62"/>
        <v>21551.4</v>
      </c>
      <c r="S394" s="2" t="str">
        <f t="shared" si="63"/>
        <v>High</v>
      </c>
      <c r="T394" s="2" t="str" cm="1">
        <f t="array" ref="T394">_xlfn.IFS(L394&gt;5,"High",L394=5,"Medium",L394&lt;5,"Low")</f>
        <v>High</v>
      </c>
      <c r="U394" s="2" t="str">
        <f t="shared" si="64"/>
        <v>High</v>
      </c>
      <c r="V394" s="14" t="str">
        <f t="shared" si="65"/>
        <v>Normal Discount</v>
      </c>
      <c r="W394" s="16" t="str">
        <f t="shared" si="66"/>
        <v>Excellent</v>
      </c>
      <c r="X394" s="18" t="str" cm="1">
        <f t="array" ref="X394">_xlfn.IFS(O394&gt;7000,"Excellent",O394&gt;4000,"Good",O394&lt;4000,"Average")</f>
        <v>Excellent</v>
      </c>
      <c r="AD394" s="23" t="str">
        <f t="shared" si="67"/>
        <v>Not Eligible</v>
      </c>
      <c r="AE394" s="24" t="str">
        <f t="shared" si="68"/>
        <v>Online</v>
      </c>
      <c r="AF394" s="27" t="str">
        <f t="shared" si="69"/>
        <v>Priority Order</v>
      </c>
    </row>
    <row r="395" spans="1:32" x14ac:dyDescent="0.3">
      <c r="A395" s="2">
        <v>10394</v>
      </c>
      <c r="B395" s="2">
        <v>1421</v>
      </c>
      <c r="C395" s="3">
        <v>45172</v>
      </c>
      <c r="D395" s="3">
        <v>45173</v>
      </c>
      <c r="E395" s="2" t="s">
        <v>28</v>
      </c>
      <c r="F395" s="2" t="s">
        <v>35</v>
      </c>
      <c r="G395" s="2" t="s">
        <v>23</v>
      </c>
      <c r="H395" s="2" t="s">
        <v>24</v>
      </c>
      <c r="I395" s="2" t="s">
        <v>55</v>
      </c>
      <c r="J395" s="2" t="s">
        <v>56</v>
      </c>
      <c r="K395" s="2" t="s">
        <v>53</v>
      </c>
      <c r="L395" s="2">
        <v>6</v>
      </c>
      <c r="M395" s="2">
        <v>2716.48</v>
      </c>
      <c r="N395" s="2">
        <v>0</v>
      </c>
      <c r="O395" s="2">
        <v>16298.88</v>
      </c>
      <c r="P395" s="2">
        <f t="shared" si="60"/>
        <v>16298.880000000001</v>
      </c>
      <c r="Q395" s="2">
        <f t="shared" si="61"/>
        <v>0</v>
      </c>
      <c r="R395" s="2">
        <f t="shared" si="62"/>
        <v>16298.880000000001</v>
      </c>
      <c r="S395" s="2" t="str">
        <f t="shared" si="63"/>
        <v>High</v>
      </c>
      <c r="T395" s="2" t="str" cm="1">
        <f t="array" ref="T395">_xlfn.IFS(L395&gt;5,"High",L395=5,"Medium",L395&lt;5,"Low")</f>
        <v>High</v>
      </c>
      <c r="U395" s="2" t="str">
        <f t="shared" si="64"/>
        <v>High</v>
      </c>
      <c r="V395" s="14" t="str">
        <f t="shared" si="65"/>
        <v>Normal Discount</v>
      </c>
      <c r="W395" s="16" t="str">
        <f t="shared" si="66"/>
        <v>Excellent</v>
      </c>
      <c r="X395" s="18" t="str" cm="1">
        <f t="array" ref="X395">_xlfn.IFS(O395&gt;7000,"Excellent",O395&gt;4000,"Good",O395&lt;4000,"Average")</f>
        <v>Excellent</v>
      </c>
      <c r="AD395" s="23" t="str">
        <f t="shared" si="67"/>
        <v>Eligible</v>
      </c>
      <c r="AE395" s="24" t="str">
        <f t="shared" si="68"/>
        <v>Online</v>
      </c>
      <c r="AF395" s="27" t="str">
        <f t="shared" si="69"/>
        <v>Priority Order</v>
      </c>
    </row>
    <row r="396" spans="1:32" x14ac:dyDescent="0.3">
      <c r="A396" s="2">
        <v>10395</v>
      </c>
      <c r="B396" s="2">
        <v>1103</v>
      </c>
      <c r="C396" s="3">
        <v>45201</v>
      </c>
      <c r="D396" s="3">
        <v>45206</v>
      </c>
      <c r="E396" s="2" t="s">
        <v>22</v>
      </c>
      <c r="F396" s="2" t="s">
        <v>29</v>
      </c>
      <c r="G396" s="2" t="s">
        <v>30</v>
      </c>
      <c r="H396" s="2" t="s">
        <v>50</v>
      </c>
      <c r="I396" s="2" t="s">
        <v>32</v>
      </c>
      <c r="J396" s="2" t="s">
        <v>42</v>
      </c>
      <c r="K396" s="2" t="s">
        <v>51</v>
      </c>
      <c r="L396" s="2">
        <v>2</v>
      </c>
      <c r="M396" s="2">
        <v>610.30999999999995</v>
      </c>
      <c r="N396" s="2">
        <v>10</v>
      </c>
      <c r="O396" s="2">
        <v>1098.56</v>
      </c>
      <c r="P396" s="2">
        <f t="shared" si="60"/>
        <v>1220.6199999999999</v>
      </c>
      <c r="Q396" s="2">
        <f t="shared" si="61"/>
        <v>122.062</v>
      </c>
      <c r="R396" s="2">
        <f t="shared" si="62"/>
        <v>1098.558</v>
      </c>
      <c r="S396" s="2" t="str">
        <f t="shared" si="63"/>
        <v>Low</v>
      </c>
      <c r="T396" s="2" t="str" cm="1">
        <f t="array" ref="T396">_xlfn.IFS(L396&gt;5,"High",L396=5,"Medium",L396&lt;5,"Low")</f>
        <v>Low</v>
      </c>
      <c r="U396" s="2" t="str">
        <f t="shared" si="64"/>
        <v>Low</v>
      </c>
      <c r="V396" s="14" t="str">
        <f t="shared" si="65"/>
        <v>Normal Discount</v>
      </c>
      <c r="W396" s="16" t="str">
        <f t="shared" si="66"/>
        <v>Average</v>
      </c>
      <c r="X396" s="18" t="str" cm="1">
        <f t="array" ref="X396">_xlfn.IFS(O396&gt;7000,"Excellent",O396&gt;4000,"Good",O396&lt;4000,"Average")</f>
        <v>Average</v>
      </c>
      <c r="AD396" s="23" t="str">
        <f t="shared" si="67"/>
        <v>Not Eligible</v>
      </c>
      <c r="AE396" s="24" t="str">
        <f t="shared" si="68"/>
        <v>Online</v>
      </c>
      <c r="AF396" s="27" t="str">
        <f t="shared" si="69"/>
        <v>Normal Order</v>
      </c>
    </row>
    <row r="397" spans="1:32" x14ac:dyDescent="0.3">
      <c r="A397" s="2">
        <v>10396</v>
      </c>
      <c r="B397" s="2">
        <v>1851</v>
      </c>
      <c r="C397" s="3">
        <v>44958</v>
      </c>
      <c r="D397" s="3">
        <v>44966</v>
      </c>
      <c r="E397" s="2" t="s">
        <v>52</v>
      </c>
      <c r="F397" s="2" t="s">
        <v>22</v>
      </c>
      <c r="G397" s="2" t="s">
        <v>36</v>
      </c>
      <c r="H397" s="2" t="s">
        <v>50</v>
      </c>
      <c r="I397" s="2" t="s">
        <v>55</v>
      </c>
      <c r="J397" s="2" t="s">
        <v>57</v>
      </c>
      <c r="K397" s="2" t="s">
        <v>53</v>
      </c>
      <c r="L397" s="2">
        <v>6</v>
      </c>
      <c r="M397" s="2">
        <v>2354.67</v>
      </c>
      <c r="N397" s="2">
        <v>15</v>
      </c>
      <c r="O397" s="2">
        <v>12008.82</v>
      </c>
      <c r="P397" s="2">
        <f t="shared" si="60"/>
        <v>14128.02</v>
      </c>
      <c r="Q397" s="2">
        <f t="shared" si="61"/>
        <v>2119.203</v>
      </c>
      <c r="R397" s="2">
        <f t="shared" si="62"/>
        <v>12008.817000000001</v>
      </c>
      <c r="S397" s="2" t="str">
        <f t="shared" si="63"/>
        <v>High</v>
      </c>
      <c r="T397" s="2" t="str" cm="1">
        <f t="array" ref="T397">_xlfn.IFS(L397&gt;5,"High",L397=5,"Medium",L397&lt;5,"Low")</f>
        <v>High</v>
      </c>
      <c r="U397" s="2" t="str">
        <f t="shared" si="64"/>
        <v>High</v>
      </c>
      <c r="V397" s="14" t="str">
        <f t="shared" si="65"/>
        <v>Heavy Discount</v>
      </c>
      <c r="W397" s="16" t="str">
        <f t="shared" si="66"/>
        <v>Excellent</v>
      </c>
      <c r="X397" s="18" t="str" cm="1">
        <f t="array" ref="X397">_xlfn.IFS(O397&gt;7000,"Excellent",O397&gt;4000,"Good",O397&lt;4000,"Average")</f>
        <v>Excellent</v>
      </c>
      <c r="AD397" s="23" t="str">
        <f t="shared" si="67"/>
        <v>Not Eligible</v>
      </c>
      <c r="AE397" s="24" t="str">
        <f t="shared" si="68"/>
        <v>Offline</v>
      </c>
      <c r="AF397" s="27" t="str">
        <f t="shared" si="69"/>
        <v>Priority Order</v>
      </c>
    </row>
    <row r="398" spans="1:32" x14ac:dyDescent="0.3">
      <c r="A398" s="2">
        <v>10397</v>
      </c>
      <c r="B398" s="2">
        <v>1253</v>
      </c>
      <c r="C398" s="3">
        <v>45063</v>
      </c>
      <c r="D398" s="3">
        <v>45071</v>
      </c>
      <c r="E398" s="2" t="s">
        <v>28</v>
      </c>
      <c r="F398" s="2" t="s">
        <v>47</v>
      </c>
      <c r="G398" s="2" t="s">
        <v>36</v>
      </c>
      <c r="H398" s="2" t="s">
        <v>24</v>
      </c>
      <c r="I398" s="2" t="s">
        <v>37</v>
      </c>
      <c r="J398" s="2" t="s">
        <v>45</v>
      </c>
      <c r="K398" s="2" t="s">
        <v>51</v>
      </c>
      <c r="L398" s="2">
        <v>7</v>
      </c>
      <c r="M398" s="2">
        <v>1138.46</v>
      </c>
      <c r="N398" s="2">
        <v>10</v>
      </c>
      <c r="O398" s="2">
        <v>7172.3</v>
      </c>
      <c r="P398" s="2">
        <f t="shared" si="60"/>
        <v>7969.22</v>
      </c>
      <c r="Q398" s="2">
        <f t="shared" si="61"/>
        <v>796.92200000000003</v>
      </c>
      <c r="R398" s="2">
        <f t="shared" si="62"/>
        <v>7172.2980000000007</v>
      </c>
      <c r="S398" s="2" t="str">
        <f t="shared" si="63"/>
        <v>High</v>
      </c>
      <c r="T398" s="2" t="str" cm="1">
        <f t="array" ref="T398">_xlfn.IFS(L398&gt;5,"High",L398=5,"Medium",L398&lt;5,"Low")</f>
        <v>High</v>
      </c>
      <c r="U398" s="2" t="str">
        <f t="shared" si="64"/>
        <v>High</v>
      </c>
      <c r="V398" s="14" t="str">
        <f t="shared" si="65"/>
        <v>Normal Discount</v>
      </c>
      <c r="W398" s="16" t="str">
        <f t="shared" si="66"/>
        <v>Excellent</v>
      </c>
      <c r="X398" s="18" t="str" cm="1">
        <f t="array" ref="X398">_xlfn.IFS(O398&gt;7000,"Excellent",O398&gt;4000,"Good",O398&lt;4000,"Average")</f>
        <v>Excellent</v>
      </c>
      <c r="AD398" s="23" t="str">
        <f t="shared" si="67"/>
        <v>Not Eligible</v>
      </c>
      <c r="AE398" s="24" t="str">
        <f t="shared" si="68"/>
        <v>Offline</v>
      </c>
      <c r="AF398" s="27" t="str">
        <f t="shared" si="69"/>
        <v>Priority Order</v>
      </c>
    </row>
    <row r="399" spans="1:32" x14ac:dyDescent="0.3">
      <c r="A399" s="2">
        <v>10398</v>
      </c>
      <c r="B399" s="2">
        <v>1226</v>
      </c>
      <c r="C399" s="3">
        <v>44938</v>
      </c>
      <c r="D399" s="3">
        <v>44943</v>
      </c>
      <c r="E399" s="2" t="s">
        <v>28</v>
      </c>
      <c r="F399" s="2" t="s">
        <v>35</v>
      </c>
      <c r="G399" s="2" t="s">
        <v>23</v>
      </c>
      <c r="H399" s="2" t="s">
        <v>50</v>
      </c>
      <c r="I399" s="2" t="s">
        <v>55</v>
      </c>
      <c r="J399" s="2" t="s">
        <v>69</v>
      </c>
      <c r="K399" s="2" t="s">
        <v>39</v>
      </c>
      <c r="L399" s="2">
        <v>5</v>
      </c>
      <c r="M399" s="2">
        <v>3245.77</v>
      </c>
      <c r="N399" s="2">
        <v>0</v>
      </c>
      <c r="O399" s="2">
        <v>16228.85</v>
      </c>
      <c r="P399" s="2">
        <f t="shared" si="60"/>
        <v>16228.85</v>
      </c>
      <c r="Q399" s="2">
        <f t="shared" si="61"/>
        <v>0</v>
      </c>
      <c r="R399" s="2">
        <f t="shared" si="62"/>
        <v>16228.85</v>
      </c>
      <c r="S399" s="2" t="str">
        <f t="shared" si="63"/>
        <v>High</v>
      </c>
      <c r="T399" s="2" t="str" cm="1">
        <f t="array" ref="T399">_xlfn.IFS(L399&gt;5,"High",L399=5,"Medium",L399&lt;5,"Low")</f>
        <v>Medium</v>
      </c>
      <c r="U399" s="2" t="str">
        <f t="shared" si="64"/>
        <v>Medium</v>
      </c>
      <c r="V399" s="14" t="str">
        <f t="shared" si="65"/>
        <v>Normal Discount</v>
      </c>
      <c r="W399" s="16" t="str">
        <f t="shared" si="66"/>
        <v>Excellent</v>
      </c>
      <c r="X399" s="18" t="str" cm="1">
        <f t="array" ref="X399">_xlfn.IFS(O399&gt;7000,"Excellent",O399&gt;4000,"Good",O399&lt;4000,"Average")</f>
        <v>Excellent</v>
      </c>
      <c r="AD399" s="23" t="str">
        <f t="shared" si="67"/>
        <v>Eligible</v>
      </c>
      <c r="AE399" s="24" t="str">
        <f t="shared" si="68"/>
        <v>Online</v>
      </c>
      <c r="AF399" s="27" t="str">
        <f t="shared" si="69"/>
        <v>Priority Order</v>
      </c>
    </row>
    <row r="400" spans="1:32" x14ac:dyDescent="0.3">
      <c r="A400" s="2">
        <v>10399</v>
      </c>
      <c r="B400" s="2">
        <v>1111</v>
      </c>
      <c r="C400" s="3">
        <v>45228</v>
      </c>
      <c r="D400" s="3">
        <v>45237</v>
      </c>
      <c r="E400" s="2" t="s">
        <v>22</v>
      </c>
      <c r="F400" s="2" t="s">
        <v>22</v>
      </c>
      <c r="G400" s="2" t="s">
        <v>30</v>
      </c>
      <c r="H400" s="2" t="s">
        <v>48</v>
      </c>
      <c r="I400" s="2" t="s">
        <v>25</v>
      </c>
      <c r="J400" s="2" t="s">
        <v>49</v>
      </c>
      <c r="K400" s="2" t="s">
        <v>39</v>
      </c>
      <c r="L400" s="2">
        <v>3</v>
      </c>
      <c r="M400" s="2">
        <v>1789.86</v>
      </c>
      <c r="N400" s="2">
        <v>0</v>
      </c>
      <c r="O400" s="2">
        <v>5369.58</v>
      </c>
      <c r="P400" s="2">
        <f t="shared" si="60"/>
        <v>5369.58</v>
      </c>
      <c r="Q400" s="2">
        <f t="shared" si="61"/>
        <v>0</v>
      </c>
      <c r="R400" s="2">
        <f t="shared" si="62"/>
        <v>5369.58</v>
      </c>
      <c r="S400" s="2" t="str">
        <f t="shared" si="63"/>
        <v>Low</v>
      </c>
      <c r="T400" s="2" t="str" cm="1">
        <f t="array" ref="T400">_xlfn.IFS(L400&gt;5,"High",L400=5,"Medium",L400&lt;5,"Low")</f>
        <v>Low</v>
      </c>
      <c r="U400" s="2" t="str">
        <f t="shared" si="64"/>
        <v>Low</v>
      </c>
      <c r="V400" s="14" t="str">
        <f t="shared" si="65"/>
        <v>Normal Discount</v>
      </c>
      <c r="W400" s="16" t="str">
        <f t="shared" si="66"/>
        <v>Good</v>
      </c>
      <c r="X400" s="18" t="str" cm="1">
        <f t="array" ref="X400">_xlfn.IFS(O400&gt;7000,"Excellent",O400&gt;4000,"Good",O400&lt;4000,"Average")</f>
        <v>Good</v>
      </c>
      <c r="AD400" s="23" t="str">
        <f t="shared" si="67"/>
        <v>Eligible</v>
      </c>
      <c r="AE400" s="24" t="str">
        <f t="shared" si="68"/>
        <v>Online</v>
      </c>
      <c r="AF400" s="27" t="str">
        <f t="shared" si="69"/>
        <v>Normal Order</v>
      </c>
    </row>
    <row r="401" spans="1:32" x14ac:dyDescent="0.3">
      <c r="A401" s="2">
        <v>10400</v>
      </c>
      <c r="B401" s="2">
        <v>1509</v>
      </c>
      <c r="C401" s="3">
        <v>44942</v>
      </c>
      <c r="D401" s="3">
        <v>44943</v>
      </c>
      <c r="E401" s="2" t="s">
        <v>40</v>
      </c>
      <c r="F401" s="2" t="s">
        <v>35</v>
      </c>
      <c r="G401" s="2" t="s">
        <v>36</v>
      </c>
      <c r="H401" s="2" t="s">
        <v>41</v>
      </c>
      <c r="I401" s="2" t="s">
        <v>58</v>
      </c>
      <c r="J401" s="2" t="s">
        <v>66</v>
      </c>
      <c r="K401" s="2" t="s">
        <v>27</v>
      </c>
      <c r="L401" s="2">
        <v>4</v>
      </c>
      <c r="M401" s="2">
        <v>3979.53</v>
      </c>
      <c r="N401" s="2">
        <v>10</v>
      </c>
      <c r="O401" s="2">
        <v>14326.31</v>
      </c>
      <c r="P401" s="2">
        <f t="shared" si="60"/>
        <v>15918.12</v>
      </c>
      <c r="Q401" s="2">
        <f t="shared" si="61"/>
        <v>1591.8120000000001</v>
      </c>
      <c r="R401" s="2">
        <f t="shared" si="62"/>
        <v>14326.308000000001</v>
      </c>
      <c r="S401" s="2" t="str">
        <f t="shared" si="63"/>
        <v>Low</v>
      </c>
      <c r="T401" s="2" t="str" cm="1">
        <f t="array" ref="T401">_xlfn.IFS(L401&gt;5,"High",L401=5,"Medium",L401&lt;5,"Low")</f>
        <v>Low</v>
      </c>
      <c r="U401" s="2" t="str">
        <f t="shared" si="64"/>
        <v>Low</v>
      </c>
      <c r="V401" s="14" t="str">
        <f t="shared" si="65"/>
        <v>Normal Discount</v>
      </c>
      <c r="W401" s="16" t="str">
        <f t="shared" si="66"/>
        <v>Excellent</v>
      </c>
      <c r="X401" s="18" t="str" cm="1">
        <f t="array" ref="X401">_xlfn.IFS(O401&gt;7000,"Excellent",O401&gt;4000,"Good",O401&lt;4000,"Average")</f>
        <v>Excellent</v>
      </c>
      <c r="AD401" s="23" t="str">
        <f t="shared" si="67"/>
        <v>Not Eligible</v>
      </c>
      <c r="AE401" s="24" t="str">
        <f t="shared" si="68"/>
        <v>Offline</v>
      </c>
      <c r="AF401" s="27" t="str">
        <f t="shared" si="69"/>
        <v>Priority Order</v>
      </c>
    </row>
    <row r="402" spans="1:32" x14ac:dyDescent="0.3">
      <c r="A402" s="2">
        <v>10401</v>
      </c>
      <c r="B402" s="2">
        <v>1472</v>
      </c>
      <c r="C402" s="3">
        <v>45055</v>
      </c>
      <c r="D402" s="3">
        <v>45059</v>
      </c>
      <c r="E402" s="2" t="s">
        <v>22</v>
      </c>
      <c r="F402" s="2" t="s">
        <v>35</v>
      </c>
      <c r="G402" s="2" t="s">
        <v>30</v>
      </c>
      <c r="H402" s="2" t="s">
        <v>41</v>
      </c>
      <c r="I402" s="2" t="s">
        <v>37</v>
      </c>
      <c r="J402" s="2" t="s">
        <v>54</v>
      </c>
      <c r="K402" s="2" t="s">
        <v>51</v>
      </c>
      <c r="L402" s="2">
        <v>4</v>
      </c>
      <c r="M402" s="2">
        <v>506.13</v>
      </c>
      <c r="N402" s="2">
        <v>5</v>
      </c>
      <c r="O402" s="2">
        <v>1923.29</v>
      </c>
      <c r="P402" s="2">
        <f t="shared" si="60"/>
        <v>2024.52</v>
      </c>
      <c r="Q402" s="2">
        <f t="shared" si="61"/>
        <v>101.226</v>
      </c>
      <c r="R402" s="2">
        <f t="shared" si="62"/>
        <v>1923.2939999999999</v>
      </c>
      <c r="S402" s="2" t="str">
        <f t="shared" si="63"/>
        <v>Low</v>
      </c>
      <c r="T402" s="2" t="str" cm="1">
        <f t="array" ref="T402">_xlfn.IFS(L402&gt;5,"High",L402=5,"Medium",L402&lt;5,"Low")</f>
        <v>Low</v>
      </c>
      <c r="U402" s="2" t="str">
        <f t="shared" si="64"/>
        <v>Low</v>
      </c>
      <c r="V402" s="14" t="str">
        <f t="shared" si="65"/>
        <v>Normal Discount</v>
      </c>
      <c r="W402" s="16" t="str">
        <f t="shared" si="66"/>
        <v>Average</v>
      </c>
      <c r="X402" s="18" t="str" cm="1">
        <f t="array" ref="X402">_xlfn.IFS(O402&gt;7000,"Excellent",O402&gt;4000,"Good",O402&lt;4000,"Average")</f>
        <v>Average</v>
      </c>
      <c r="AD402" s="23" t="str">
        <f t="shared" si="67"/>
        <v>Not Eligible</v>
      </c>
      <c r="AE402" s="24" t="str">
        <f t="shared" si="68"/>
        <v>Online</v>
      </c>
      <c r="AF402" s="27" t="str">
        <f t="shared" si="69"/>
        <v>Normal Order</v>
      </c>
    </row>
    <row r="403" spans="1:32" x14ac:dyDescent="0.3">
      <c r="A403" s="2">
        <v>10402</v>
      </c>
      <c r="B403" s="2">
        <v>1098</v>
      </c>
      <c r="C403" s="3">
        <v>44989</v>
      </c>
      <c r="D403" s="3">
        <v>44992</v>
      </c>
      <c r="E403" s="2" t="s">
        <v>46</v>
      </c>
      <c r="F403" s="2" t="s">
        <v>22</v>
      </c>
      <c r="G403" s="2" t="s">
        <v>30</v>
      </c>
      <c r="H403" s="2" t="s">
        <v>24</v>
      </c>
      <c r="I403" s="2" t="s">
        <v>55</v>
      </c>
      <c r="J403" s="2" t="s">
        <v>57</v>
      </c>
      <c r="K403" s="2" t="s">
        <v>34</v>
      </c>
      <c r="L403" s="2">
        <v>6</v>
      </c>
      <c r="M403" s="2">
        <v>3154.34</v>
      </c>
      <c r="N403" s="2">
        <v>15</v>
      </c>
      <c r="O403" s="2">
        <v>16087.13</v>
      </c>
      <c r="P403" s="2">
        <f t="shared" si="60"/>
        <v>18926.04</v>
      </c>
      <c r="Q403" s="2">
        <f t="shared" si="61"/>
        <v>2838.9059999999999</v>
      </c>
      <c r="R403" s="2">
        <f t="shared" si="62"/>
        <v>16087.134000000002</v>
      </c>
      <c r="S403" s="2" t="str">
        <f t="shared" si="63"/>
        <v>High</v>
      </c>
      <c r="T403" s="2" t="str" cm="1">
        <f t="array" ref="T403">_xlfn.IFS(L403&gt;5,"High",L403=5,"Medium",L403&lt;5,"Low")</f>
        <v>High</v>
      </c>
      <c r="U403" s="2" t="str">
        <f t="shared" si="64"/>
        <v>High</v>
      </c>
      <c r="V403" s="14" t="str">
        <f t="shared" si="65"/>
        <v>Heavy Discount</v>
      </c>
      <c r="W403" s="16" t="str">
        <f t="shared" si="66"/>
        <v>Excellent</v>
      </c>
      <c r="X403" s="18" t="str" cm="1">
        <f t="array" ref="X403">_xlfn.IFS(O403&gt;7000,"Excellent",O403&gt;4000,"Good",O403&lt;4000,"Average")</f>
        <v>Excellent</v>
      </c>
      <c r="AD403" s="23" t="str">
        <f t="shared" si="67"/>
        <v>Not Eligible</v>
      </c>
      <c r="AE403" s="24" t="str">
        <f t="shared" si="68"/>
        <v>Online</v>
      </c>
      <c r="AF403" s="27" t="str">
        <f t="shared" si="69"/>
        <v>Priority Order</v>
      </c>
    </row>
    <row r="404" spans="1:32" x14ac:dyDescent="0.3">
      <c r="A404" s="2">
        <v>10403</v>
      </c>
      <c r="B404" s="2">
        <v>1152</v>
      </c>
      <c r="C404" s="3">
        <v>45035</v>
      </c>
      <c r="D404" s="3">
        <v>45037</v>
      </c>
      <c r="E404" s="2" t="s">
        <v>22</v>
      </c>
      <c r="F404" s="2" t="s">
        <v>44</v>
      </c>
      <c r="G404" s="2" t="s">
        <v>30</v>
      </c>
      <c r="H404" s="2" t="s">
        <v>50</v>
      </c>
      <c r="I404" s="2" t="s">
        <v>32</v>
      </c>
      <c r="J404" s="2" t="s">
        <v>42</v>
      </c>
      <c r="K404" s="2" t="s">
        <v>27</v>
      </c>
      <c r="L404" s="2">
        <v>1</v>
      </c>
      <c r="M404" s="2">
        <v>2743.75</v>
      </c>
      <c r="N404" s="2">
        <v>15</v>
      </c>
      <c r="O404" s="2">
        <v>2332.19</v>
      </c>
      <c r="P404" s="2">
        <f t="shared" si="60"/>
        <v>2743.75</v>
      </c>
      <c r="Q404" s="2">
        <f t="shared" si="61"/>
        <v>411.5625</v>
      </c>
      <c r="R404" s="2">
        <f t="shared" si="62"/>
        <v>2332.1875</v>
      </c>
      <c r="S404" s="2" t="str">
        <f t="shared" si="63"/>
        <v>Low</v>
      </c>
      <c r="T404" s="2" t="str" cm="1">
        <f t="array" ref="T404">_xlfn.IFS(L404&gt;5,"High",L404=5,"Medium",L404&lt;5,"Low")</f>
        <v>Low</v>
      </c>
      <c r="U404" s="2" t="str">
        <f t="shared" si="64"/>
        <v>Low</v>
      </c>
      <c r="V404" s="14" t="str">
        <f t="shared" si="65"/>
        <v>Heavy Discount</v>
      </c>
      <c r="W404" s="16" t="str">
        <f t="shared" si="66"/>
        <v>Average</v>
      </c>
      <c r="X404" s="18" t="str" cm="1">
        <f t="array" ref="X404">_xlfn.IFS(O404&gt;7000,"Excellent",O404&gt;4000,"Good",O404&lt;4000,"Average")</f>
        <v>Average</v>
      </c>
      <c r="AD404" s="23" t="str">
        <f t="shared" si="67"/>
        <v>Not Eligible</v>
      </c>
      <c r="AE404" s="24" t="str">
        <f t="shared" si="68"/>
        <v>Online</v>
      </c>
      <c r="AF404" s="27" t="str">
        <f t="shared" si="69"/>
        <v>Normal Order</v>
      </c>
    </row>
    <row r="405" spans="1:32" x14ac:dyDescent="0.3">
      <c r="A405" s="2">
        <v>10404</v>
      </c>
      <c r="B405" s="2">
        <v>1860</v>
      </c>
      <c r="C405" s="3">
        <v>44947</v>
      </c>
      <c r="D405" s="3">
        <v>44955</v>
      </c>
      <c r="E405" s="2" t="s">
        <v>22</v>
      </c>
      <c r="F405" s="2" t="s">
        <v>60</v>
      </c>
      <c r="G405" s="2" t="s">
        <v>23</v>
      </c>
      <c r="H405" s="2" t="s">
        <v>31</v>
      </c>
      <c r="I405" s="2" t="s">
        <v>25</v>
      </c>
      <c r="J405" s="2" t="s">
        <v>72</v>
      </c>
      <c r="K405" s="2" t="s">
        <v>51</v>
      </c>
      <c r="L405" s="2">
        <v>4</v>
      </c>
      <c r="M405" s="2">
        <v>3104.87</v>
      </c>
      <c r="N405" s="2">
        <v>10</v>
      </c>
      <c r="O405" s="2">
        <v>11177.53</v>
      </c>
      <c r="P405" s="2">
        <f t="shared" si="60"/>
        <v>12419.48</v>
      </c>
      <c r="Q405" s="2">
        <f t="shared" si="61"/>
        <v>1241.9480000000001</v>
      </c>
      <c r="R405" s="2">
        <f t="shared" si="62"/>
        <v>11177.531999999999</v>
      </c>
      <c r="S405" s="2" t="str">
        <f t="shared" si="63"/>
        <v>Low</v>
      </c>
      <c r="T405" s="2" t="str" cm="1">
        <f t="array" ref="T405">_xlfn.IFS(L405&gt;5,"High",L405=5,"Medium",L405&lt;5,"Low")</f>
        <v>Low</v>
      </c>
      <c r="U405" s="2" t="str">
        <f t="shared" si="64"/>
        <v>Low</v>
      </c>
      <c r="V405" s="14" t="str">
        <f t="shared" si="65"/>
        <v>Normal Discount</v>
      </c>
      <c r="W405" s="16" t="str">
        <f t="shared" si="66"/>
        <v>Excellent</v>
      </c>
      <c r="X405" s="18" t="str" cm="1">
        <f t="array" ref="X405">_xlfn.IFS(O405&gt;7000,"Excellent",O405&gt;4000,"Good",O405&lt;4000,"Average")</f>
        <v>Excellent</v>
      </c>
      <c r="AD405" s="23" t="str">
        <f t="shared" si="67"/>
        <v>Not Eligible</v>
      </c>
      <c r="AE405" s="24" t="str">
        <f t="shared" si="68"/>
        <v>Online</v>
      </c>
      <c r="AF405" s="27" t="str">
        <f t="shared" si="69"/>
        <v>Priority Order</v>
      </c>
    </row>
    <row r="406" spans="1:32" x14ac:dyDescent="0.3">
      <c r="A406" s="2">
        <v>10405</v>
      </c>
      <c r="B406" s="2">
        <v>1913</v>
      </c>
      <c r="C406" s="3">
        <v>45084</v>
      </c>
      <c r="D406" s="3">
        <v>45091</v>
      </c>
      <c r="E406" s="2" t="s">
        <v>52</v>
      </c>
      <c r="F406" s="2" t="s">
        <v>29</v>
      </c>
      <c r="G406" s="2" t="s">
        <v>30</v>
      </c>
      <c r="H406" s="2" t="s">
        <v>31</v>
      </c>
      <c r="I406" s="2" t="s">
        <v>25</v>
      </c>
      <c r="J406" s="2" t="s">
        <v>72</v>
      </c>
      <c r="K406" s="2" t="s">
        <v>51</v>
      </c>
      <c r="L406" s="2">
        <v>4</v>
      </c>
      <c r="M406" s="2">
        <v>1333.99</v>
      </c>
      <c r="N406" s="2">
        <v>5</v>
      </c>
      <c r="O406" s="2">
        <v>5069.16</v>
      </c>
      <c r="P406" s="2">
        <f t="shared" si="60"/>
        <v>5335.96</v>
      </c>
      <c r="Q406" s="2">
        <f t="shared" si="61"/>
        <v>266.798</v>
      </c>
      <c r="R406" s="2">
        <f t="shared" si="62"/>
        <v>5069.1620000000003</v>
      </c>
      <c r="S406" s="2" t="str">
        <f t="shared" si="63"/>
        <v>Low</v>
      </c>
      <c r="T406" s="2" t="str" cm="1">
        <f t="array" ref="T406">_xlfn.IFS(L406&gt;5,"High",L406=5,"Medium",L406&lt;5,"Low")</f>
        <v>Low</v>
      </c>
      <c r="U406" s="2" t="str">
        <f t="shared" si="64"/>
        <v>Low</v>
      </c>
      <c r="V406" s="14" t="str">
        <f t="shared" si="65"/>
        <v>Normal Discount</v>
      </c>
      <c r="W406" s="16" t="str">
        <f t="shared" si="66"/>
        <v>Good</v>
      </c>
      <c r="X406" s="18" t="str" cm="1">
        <f t="array" ref="X406">_xlfn.IFS(O406&gt;7000,"Excellent",O406&gt;4000,"Good",O406&lt;4000,"Average")</f>
        <v>Good</v>
      </c>
      <c r="AD406" s="23" t="str">
        <f t="shared" si="67"/>
        <v>Eligible</v>
      </c>
      <c r="AE406" s="24" t="str">
        <f t="shared" si="68"/>
        <v>Online</v>
      </c>
      <c r="AF406" s="27" t="str">
        <f t="shared" si="69"/>
        <v>Normal Order</v>
      </c>
    </row>
    <row r="407" spans="1:32" x14ac:dyDescent="0.3">
      <c r="A407" s="2">
        <v>10406</v>
      </c>
      <c r="B407" s="2">
        <v>1895</v>
      </c>
      <c r="C407" s="3">
        <v>45195</v>
      </c>
      <c r="D407" s="3">
        <v>45204</v>
      </c>
      <c r="E407" s="2" t="s">
        <v>22</v>
      </c>
      <c r="F407" s="2" t="s">
        <v>35</v>
      </c>
      <c r="G407" s="2" t="s">
        <v>36</v>
      </c>
      <c r="H407" s="2" t="s">
        <v>50</v>
      </c>
      <c r="I407" s="2" t="s">
        <v>55</v>
      </c>
      <c r="J407" s="2" t="s">
        <v>57</v>
      </c>
      <c r="K407" s="2" t="s">
        <v>27</v>
      </c>
      <c r="L407" s="2">
        <v>1</v>
      </c>
      <c r="M407" s="2">
        <v>2044.41</v>
      </c>
      <c r="N407" s="2">
        <v>0</v>
      </c>
      <c r="O407" s="2">
        <v>2044.41</v>
      </c>
      <c r="P407" s="2">
        <f t="shared" si="60"/>
        <v>2044.41</v>
      </c>
      <c r="Q407" s="2">
        <f t="shared" si="61"/>
        <v>0</v>
      </c>
      <c r="R407" s="2">
        <f t="shared" si="62"/>
        <v>2044.41</v>
      </c>
      <c r="S407" s="2" t="str">
        <f t="shared" si="63"/>
        <v>Low</v>
      </c>
      <c r="T407" s="2" t="str" cm="1">
        <f t="array" ref="T407">_xlfn.IFS(L407&gt;5,"High",L407=5,"Medium",L407&lt;5,"Low")</f>
        <v>Low</v>
      </c>
      <c r="U407" s="2" t="str">
        <f t="shared" si="64"/>
        <v>Low</v>
      </c>
      <c r="V407" s="14" t="str">
        <f t="shared" si="65"/>
        <v>Normal Discount</v>
      </c>
      <c r="W407" s="16" t="str">
        <f t="shared" si="66"/>
        <v>Average</v>
      </c>
      <c r="X407" s="18" t="str" cm="1">
        <f t="array" ref="X407">_xlfn.IFS(O407&gt;7000,"Excellent",O407&gt;4000,"Good",O407&lt;4000,"Average")</f>
        <v>Average</v>
      </c>
      <c r="AD407" s="23" t="str">
        <f t="shared" si="67"/>
        <v>Not Eligible</v>
      </c>
      <c r="AE407" s="24" t="str">
        <f t="shared" si="68"/>
        <v>Offline</v>
      </c>
      <c r="AF407" s="27" t="str">
        <f t="shared" si="69"/>
        <v>Normal Order</v>
      </c>
    </row>
    <row r="408" spans="1:32" x14ac:dyDescent="0.3">
      <c r="A408" s="2">
        <v>10407</v>
      </c>
      <c r="B408" s="2">
        <v>1877</v>
      </c>
      <c r="C408" s="3">
        <v>45088</v>
      </c>
      <c r="D408" s="3">
        <v>45090</v>
      </c>
      <c r="E408" s="2" t="s">
        <v>28</v>
      </c>
      <c r="F408" s="2" t="s">
        <v>29</v>
      </c>
      <c r="G408" s="2" t="s">
        <v>30</v>
      </c>
      <c r="H408" s="2" t="s">
        <v>31</v>
      </c>
      <c r="I408" s="2" t="s">
        <v>58</v>
      </c>
      <c r="J408" s="2" t="s">
        <v>59</v>
      </c>
      <c r="K408" s="2" t="s">
        <v>39</v>
      </c>
      <c r="L408" s="2">
        <v>9</v>
      </c>
      <c r="M408" s="2">
        <v>3216.56</v>
      </c>
      <c r="N408" s="2">
        <v>20</v>
      </c>
      <c r="O408" s="2">
        <v>23159.23</v>
      </c>
      <c r="P408" s="2">
        <f t="shared" si="60"/>
        <v>28949.040000000001</v>
      </c>
      <c r="Q408" s="2">
        <f t="shared" si="61"/>
        <v>5789.8080000000009</v>
      </c>
      <c r="R408" s="2">
        <f t="shared" si="62"/>
        <v>23159.232</v>
      </c>
      <c r="S408" s="2" t="str">
        <f t="shared" si="63"/>
        <v>High</v>
      </c>
      <c r="T408" s="2" t="str" cm="1">
        <f t="array" ref="T408">_xlfn.IFS(L408&gt;5,"High",L408=5,"Medium",L408&lt;5,"Low")</f>
        <v>High</v>
      </c>
      <c r="U408" s="2" t="str">
        <f t="shared" si="64"/>
        <v>High</v>
      </c>
      <c r="V408" s="14" t="str">
        <f t="shared" si="65"/>
        <v>Heavy Discount</v>
      </c>
      <c r="W408" s="16" t="str">
        <f t="shared" si="66"/>
        <v>Excellent</v>
      </c>
      <c r="X408" s="18" t="str" cm="1">
        <f t="array" ref="X408">_xlfn.IFS(O408&gt;7000,"Excellent",O408&gt;4000,"Good",O408&lt;4000,"Average")</f>
        <v>Excellent</v>
      </c>
      <c r="AD408" s="23" t="str">
        <f t="shared" si="67"/>
        <v>Not Eligible</v>
      </c>
      <c r="AE408" s="24" t="str">
        <f t="shared" si="68"/>
        <v>Online</v>
      </c>
      <c r="AF408" s="27" t="str">
        <f t="shared" si="69"/>
        <v>Priority Order</v>
      </c>
    </row>
    <row r="409" spans="1:32" x14ac:dyDescent="0.3">
      <c r="A409" s="2">
        <v>10408</v>
      </c>
      <c r="B409" s="2">
        <v>1337</v>
      </c>
      <c r="C409" s="3">
        <v>45186</v>
      </c>
      <c r="D409" s="3">
        <v>45190</v>
      </c>
      <c r="E409" s="2" t="s">
        <v>52</v>
      </c>
      <c r="F409" s="2" t="s">
        <v>47</v>
      </c>
      <c r="G409" s="2" t="s">
        <v>36</v>
      </c>
      <c r="H409" s="2" t="s">
        <v>24</v>
      </c>
      <c r="I409" s="2" t="s">
        <v>55</v>
      </c>
      <c r="J409" s="2" t="s">
        <v>69</v>
      </c>
      <c r="K409" s="2" t="s">
        <v>51</v>
      </c>
      <c r="L409" s="2">
        <v>4</v>
      </c>
      <c r="M409" s="2">
        <v>1045.28</v>
      </c>
      <c r="N409" s="2">
        <v>20</v>
      </c>
      <c r="O409" s="2">
        <v>3344.9</v>
      </c>
      <c r="P409" s="2">
        <f t="shared" si="60"/>
        <v>4181.12</v>
      </c>
      <c r="Q409" s="2">
        <f t="shared" si="61"/>
        <v>836.22400000000005</v>
      </c>
      <c r="R409" s="2">
        <f t="shared" si="62"/>
        <v>3344.8959999999997</v>
      </c>
      <c r="S409" s="2" t="str">
        <f t="shared" si="63"/>
        <v>Low</v>
      </c>
      <c r="T409" s="2" t="str" cm="1">
        <f t="array" ref="T409">_xlfn.IFS(L409&gt;5,"High",L409=5,"Medium",L409&lt;5,"Low")</f>
        <v>Low</v>
      </c>
      <c r="U409" s="2" t="str">
        <f t="shared" si="64"/>
        <v>Low</v>
      </c>
      <c r="V409" s="14" t="str">
        <f t="shared" si="65"/>
        <v>Heavy Discount</v>
      </c>
      <c r="W409" s="16" t="str">
        <f t="shared" si="66"/>
        <v>Average</v>
      </c>
      <c r="X409" s="18" t="str" cm="1">
        <f t="array" ref="X409">_xlfn.IFS(O409&gt;7000,"Excellent",O409&gt;4000,"Good",O409&lt;4000,"Average")</f>
        <v>Average</v>
      </c>
      <c r="AD409" s="23" t="str">
        <f t="shared" si="67"/>
        <v>Not Eligible</v>
      </c>
      <c r="AE409" s="24" t="str">
        <f t="shared" si="68"/>
        <v>Offline</v>
      </c>
      <c r="AF409" s="27" t="str">
        <f t="shared" si="69"/>
        <v>Normal Order</v>
      </c>
    </row>
    <row r="410" spans="1:32" x14ac:dyDescent="0.3">
      <c r="A410" s="2">
        <v>10409</v>
      </c>
      <c r="B410" s="2">
        <v>1705</v>
      </c>
      <c r="C410" s="3">
        <v>45028</v>
      </c>
      <c r="D410" s="3">
        <v>45034</v>
      </c>
      <c r="E410" s="2" t="s">
        <v>43</v>
      </c>
      <c r="F410" s="2" t="s">
        <v>22</v>
      </c>
      <c r="G410" s="2" t="s">
        <v>30</v>
      </c>
      <c r="H410" s="2" t="s">
        <v>24</v>
      </c>
      <c r="I410" s="2" t="s">
        <v>37</v>
      </c>
      <c r="J410" s="2" t="s">
        <v>45</v>
      </c>
      <c r="K410" s="2" t="s">
        <v>39</v>
      </c>
      <c r="L410" s="2">
        <v>7</v>
      </c>
      <c r="M410" s="2">
        <v>1020.23</v>
      </c>
      <c r="N410" s="2">
        <v>10</v>
      </c>
      <c r="O410" s="2">
        <v>6427.45</v>
      </c>
      <c r="P410" s="2">
        <f t="shared" si="60"/>
        <v>7141.6100000000006</v>
      </c>
      <c r="Q410" s="2">
        <f t="shared" si="61"/>
        <v>714.16100000000006</v>
      </c>
      <c r="R410" s="2">
        <f t="shared" si="62"/>
        <v>6427.4490000000005</v>
      </c>
      <c r="S410" s="2" t="str">
        <f t="shared" si="63"/>
        <v>High</v>
      </c>
      <c r="T410" s="2" t="str" cm="1">
        <f t="array" ref="T410">_xlfn.IFS(L410&gt;5,"High",L410=5,"Medium",L410&lt;5,"Low")</f>
        <v>High</v>
      </c>
      <c r="U410" s="2" t="str">
        <f t="shared" si="64"/>
        <v>High</v>
      </c>
      <c r="V410" s="14" t="str">
        <f t="shared" si="65"/>
        <v>Normal Discount</v>
      </c>
      <c r="W410" s="16" t="str">
        <f t="shared" si="66"/>
        <v>Good</v>
      </c>
      <c r="X410" s="18" t="str" cm="1">
        <f t="array" ref="X410">_xlfn.IFS(O410&gt;7000,"Excellent",O410&gt;4000,"Good",O410&lt;4000,"Average")</f>
        <v>Good</v>
      </c>
      <c r="AD410" s="23" t="str">
        <f t="shared" si="67"/>
        <v>Not Eligible</v>
      </c>
      <c r="AE410" s="24" t="str">
        <f t="shared" si="68"/>
        <v>Online</v>
      </c>
      <c r="AF410" s="27" t="str">
        <f t="shared" si="69"/>
        <v>Priority Order</v>
      </c>
    </row>
    <row r="411" spans="1:32" x14ac:dyDescent="0.3">
      <c r="A411" s="2">
        <v>10410</v>
      </c>
      <c r="B411" s="2">
        <v>1821</v>
      </c>
      <c r="C411" s="3">
        <v>45149</v>
      </c>
      <c r="D411" s="3">
        <v>45152</v>
      </c>
      <c r="E411" s="2" t="s">
        <v>40</v>
      </c>
      <c r="F411" s="2" t="s">
        <v>29</v>
      </c>
      <c r="G411" s="2" t="s">
        <v>36</v>
      </c>
      <c r="H411" s="2" t="s">
        <v>50</v>
      </c>
      <c r="I411" s="2" t="s">
        <v>55</v>
      </c>
      <c r="J411" s="2" t="s">
        <v>56</v>
      </c>
      <c r="K411" s="2" t="s">
        <v>27</v>
      </c>
      <c r="L411" s="2">
        <v>3</v>
      </c>
      <c r="M411" s="2">
        <v>2271.5500000000002</v>
      </c>
      <c r="N411" s="2">
        <v>5</v>
      </c>
      <c r="O411" s="2">
        <v>6473.92</v>
      </c>
      <c r="P411" s="2">
        <f t="shared" si="60"/>
        <v>6814.6500000000005</v>
      </c>
      <c r="Q411" s="2">
        <f t="shared" si="61"/>
        <v>340.73250000000007</v>
      </c>
      <c r="R411" s="2">
        <f t="shared" si="62"/>
        <v>6473.9175000000005</v>
      </c>
      <c r="S411" s="2" t="str">
        <f t="shared" si="63"/>
        <v>Low</v>
      </c>
      <c r="T411" s="2" t="str" cm="1">
        <f t="array" ref="T411">_xlfn.IFS(L411&gt;5,"High",L411=5,"Medium",L411&lt;5,"Low")</f>
        <v>Low</v>
      </c>
      <c r="U411" s="2" t="str">
        <f t="shared" si="64"/>
        <v>Low</v>
      </c>
      <c r="V411" s="14" t="str">
        <f t="shared" si="65"/>
        <v>Normal Discount</v>
      </c>
      <c r="W411" s="16" t="str">
        <f t="shared" si="66"/>
        <v>Good</v>
      </c>
      <c r="X411" s="18" t="str" cm="1">
        <f t="array" ref="X411">_xlfn.IFS(O411&gt;7000,"Excellent",O411&gt;4000,"Good",O411&lt;4000,"Average")</f>
        <v>Good</v>
      </c>
      <c r="AD411" s="23" t="str">
        <f t="shared" si="67"/>
        <v>Eligible</v>
      </c>
      <c r="AE411" s="24" t="str">
        <f t="shared" si="68"/>
        <v>Offline</v>
      </c>
      <c r="AF411" s="27" t="str">
        <f t="shared" si="69"/>
        <v>Normal Order</v>
      </c>
    </row>
    <row r="412" spans="1:32" x14ac:dyDescent="0.3">
      <c r="A412" s="2">
        <v>10411</v>
      </c>
      <c r="B412" s="2">
        <v>1162</v>
      </c>
      <c r="C412" s="3">
        <v>44985</v>
      </c>
      <c r="D412" s="3">
        <v>44993</v>
      </c>
      <c r="E412" s="2" t="s">
        <v>52</v>
      </c>
      <c r="F412" s="2" t="s">
        <v>22</v>
      </c>
      <c r="G412" s="2" t="s">
        <v>36</v>
      </c>
      <c r="H412" s="2" t="s">
        <v>31</v>
      </c>
      <c r="I412" s="2" t="s">
        <v>25</v>
      </c>
      <c r="J412" s="2" t="s">
        <v>49</v>
      </c>
      <c r="K412" s="2" t="s">
        <v>39</v>
      </c>
      <c r="L412" s="2">
        <v>3</v>
      </c>
      <c r="M412" s="2">
        <v>2165.7199999999998</v>
      </c>
      <c r="N412" s="2">
        <v>5</v>
      </c>
      <c r="O412" s="2">
        <v>6172.3</v>
      </c>
      <c r="P412" s="2">
        <f t="shared" si="60"/>
        <v>6497.16</v>
      </c>
      <c r="Q412" s="2">
        <f t="shared" si="61"/>
        <v>324.858</v>
      </c>
      <c r="R412" s="2">
        <f t="shared" si="62"/>
        <v>6172.3019999999997</v>
      </c>
      <c r="S412" s="2" t="str">
        <f t="shared" si="63"/>
        <v>Low</v>
      </c>
      <c r="T412" s="2" t="str" cm="1">
        <f t="array" ref="T412">_xlfn.IFS(L412&gt;5,"High",L412=5,"Medium",L412&lt;5,"Low")</f>
        <v>Low</v>
      </c>
      <c r="U412" s="2" t="str">
        <f t="shared" si="64"/>
        <v>Low</v>
      </c>
      <c r="V412" s="14" t="str">
        <f t="shared" si="65"/>
        <v>Normal Discount</v>
      </c>
      <c r="W412" s="16" t="str">
        <f t="shared" si="66"/>
        <v>Good</v>
      </c>
      <c r="X412" s="18" t="str" cm="1">
        <f t="array" ref="X412">_xlfn.IFS(O412&gt;7000,"Excellent",O412&gt;4000,"Good",O412&lt;4000,"Average")</f>
        <v>Good</v>
      </c>
      <c r="AD412" s="23" t="str">
        <f t="shared" si="67"/>
        <v>Eligible</v>
      </c>
      <c r="AE412" s="24" t="str">
        <f t="shared" si="68"/>
        <v>Offline</v>
      </c>
      <c r="AF412" s="27" t="str">
        <f t="shared" si="69"/>
        <v>Normal Order</v>
      </c>
    </row>
    <row r="413" spans="1:32" x14ac:dyDescent="0.3">
      <c r="A413" s="2">
        <v>10412</v>
      </c>
      <c r="B413" s="2">
        <v>1719</v>
      </c>
      <c r="C413" s="3">
        <v>45173</v>
      </c>
      <c r="D413" s="3">
        <v>45176</v>
      </c>
      <c r="E413" s="2" t="s">
        <v>46</v>
      </c>
      <c r="F413" s="2" t="s">
        <v>29</v>
      </c>
      <c r="G413" s="2" t="s">
        <v>30</v>
      </c>
      <c r="H413" s="2" t="s">
        <v>24</v>
      </c>
      <c r="I413" s="2" t="s">
        <v>55</v>
      </c>
      <c r="J413" s="2" t="s">
        <v>69</v>
      </c>
      <c r="K413" s="2" t="s">
        <v>53</v>
      </c>
      <c r="L413" s="2">
        <v>8</v>
      </c>
      <c r="M413" s="2">
        <v>1236.71</v>
      </c>
      <c r="N413" s="2">
        <v>15</v>
      </c>
      <c r="O413" s="2">
        <v>8409.6299999999992</v>
      </c>
      <c r="P413" s="2">
        <f t="shared" si="60"/>
        <v>9893.68</v>
      </c>
      <c r="Q413" s="2">
        <f t="shared" si="61"/>
        <v>1484.0519999999999</v>
      </c>
      <c r="R413" s="2">
        <f t="shared" si="62"/>
        <v>8409.6280000000006</v>
      </c>
      <c r="S413" s="2" t="str">
        <f t="shared" si="63"/>
        <v>High</v>
      </c>
      <c r="T413" s="2" t="str" cm="1">
        <f t="array" ref="T413">_xlfn.IFS(L413&gt;5,"High",L413=5,"Medium",L413&lt;5,"Low")</f>
        <v>High</v>
      </c>
      <c r="U413" s="2" t="str">
        <f t="shared" si="64"/>
        <v>High</v>
      </c>
      <c r="V413" s="14" t="str">
        <f t="shared" si="65"/>
        <v>Heavy Discount</v>
      </c>
      <c r="W413" s="16" t="str">
        <f t="shared" si="66"/>
        <v>Excellent</v>
      </c>
      <c r="X413" s="18" t="str" cm="1">
        <f t="array" ref="X413">_xlfn.IFS(O413&gt;7000,"Excellent",O413&gt;4000,"Good",O413&lt;4000,"Average")</f>
        <v>Excellent</v>
      </c>
      <c r="AD413" s="23" t="str">
        <f t="shared" si="67"/>
        <v>Not Eligible</v>
      </c>
      <c r="AE413" s="24" t="str">
        <f t="shared" si="68"/>
        <v>Online</v>
      </c>
      <c r="AF413" s="27" t="str">
        <f t="shared" si="69"/>
        <v>Priority Order</v>
      </c>
    </row>
    <row r="414" spans="1:32" x14ac:dyDescent="0.3">
      <c r="A414" s="2">
        <v>10413</v>
      </c>
      <c r="B414" s="2">
        <v>1956</v>
      </c>
      <c r="C414" s="3">
        <v>45054</v>
      </c>
      <c r="D414" s="3">
        <v>45056</v>
      </c>
      <c r="E414" s="2" t="s">
        <v>43</v>
      </c>
      <c r="F414" s="2" t="s">
        <v>60</v>
      </c>
      <c r="G414" s="2" t="s">
        <v>30</v>
      </c>
      <c r="H414" s="2" t="s">
        <v>24</v>
      </c>
      <c r="I414" s="2" t="s">
        <v>58</v>
      </c>
      <c r="J414" s="2" t="s">
        <v>59</v>
      </c>
      <c r="K414" s="2" t="s">
        <v>34</v>
      </c>
      <c r="L414" s="2">
        <v>8</v>
      </c>
      <c r="M414" s="2">
        <v>1297.5899999999999</v>
      </c>
      <c r="N414" s="2">
        <v>0</v>
      </c>
      <c r="O414" s="2">
        <v>10380.719999999999</v>
      </c>
      <c r="P414" s="2">
        <f t="shared" si="60"/>
        <v>10380.719999999999</v>
      </c>
      <c r="Q414" s="2">
        <f t="shared" si="61"/>
        <v>0</v>
      </c>
      <c r="R414" s="2">
        <f t="shared" si="62"/>
        <v>10380.719999999999</v>
      </c>
      <c r="S414" s="2" t="str">
        <f t="shared" si="63"/>
        <v>High</v>
      </c>
      <c r="T414" s="2" t="str" cm="1">
        <f t="array" ref="T414">_xlfn.IFS(L414&gt;5,"High",L414=5,"Medium",L414&lt;5,"Low")</f>
        <v>High</v>
      </c>
      <c r="U414" s="2" t="str">
        <f t="shared" si="64"/>
        <v>High</v>
      </c>
      <c r="V414" s="14" t="str">
        <f t="shared" si="65"/>
        <v>Normal Discount</v>
      </c>
      <c r="W414" s="16" t="str">
        <f t="shared" si="66"/>
        <v>Excellent</v>
      </c>
      <c r="X414" s="18" t="str" cm="1">
        <f t="array" ref="X414">_xlfn.IFS(O414&gt;7000,"Excellent",O414&gt;4000,"Good",O414&lt;4000,"Average")</f>
        <v>Excellent</v>
      </c>
      <c r="AD414" s="23" t="str">
        <f t="shared" si="67"/>
        <v>Eligible</v>
      </c>
      <c r="AE414" s="24" t="str">
        <f t="shared" si="68"/>
        <v>Online</v>
      </c>
      <c r="AF414" s="27" t="str">
        <f t="shared" si="69"/>
        <v>Priority Order</v>
      </c>
    </row>
    <row r="415" spans="1:32" x14ac:dyDescent="0.3">
      <c r="A415" s="2">
        <v>10414</v>
      </c>
      <c r="B415" s="2">
        <v>1680</v>
      </c>
      <c r="C415" s="3">
        <v>45209</v>
      </c>
      <c r="D415" s="3">
        <v>45212</v>
      </c>
      <c r="E415" s="2" t="s">
        <v>52</v>
      </c>
      <c r="F415" s="2" t="s">
        <v>60</v>
      </c>
      <c r="G415" s="2" t="s">
        <v>36</v>
      </c>
      <c r="H415" s="2" t="s">
        <v>48</v>
      </c>
      <c r="I415" s="2" t="s">
        <v>32</v>
      </c>
      <c r="J415" s="2" t="s">
        <v>42</v>
      </c>
      <c r="K415" s="2" t="s">
        <v>51</v>
      </c>
      <c r="L415" s="2">
        <v>1</v>
      </c>
      <c r="M415" s="2">
        <v>1219.7</v>
      </c>
      <c r="N415" s="2">
        <v>5</v>
      </c>
      <c r="O415" s="2">
        <v>1158.71</v>
      </c>
      <c r="P415" s="2">
        <f t="shared" si="60"/>
        <v>1219.7</v>
      </c>
      <c r="Q415" s="2">
        <f t="shared" si="61"/>
        <v>60.985000000000007</v>
      </c>
      <c r="R415" s="2">
        <f t="shared" si="62"/>
        <v>1158.7150000000001</v>
      </c>
      <c r="S415" s="2" t="str">
        <f t="shared" si="63"/>
        <v>Low</v>
      </c>
      <c r="T415" s="2" t="str" cm="1">
        <f t="array" ref="T415">_xlfn.IFS(L415&gt;5,"High",L415=5,"Medium",L415&lt;5,"Low")</f>
        <v>Low</v>
      </c>
      <c r="U415" s="2" t="str">
        <f t="shared" si="64"/>
        <v>Low</v>
      </c>
      <c r="V415" s="14" t="str">
        <f t="shared" si="65"/>
        <v>Normal Discount</v>
      </c>
      <c r="W415" s="16" t="str">
        <f t="shared" si="66"/>
        <v>Average</v>
      </c>
      <c r="X415" s="18" t="str" cm="1">
        <f t="array" ref="X415">_xlfn.IFS(O415&gt;7000,"Excellent",O415&gt;4000,"Good",O415&lt;4000,"Average")</f>
        <v>Average</v>
      </c>
      <c r="AD415" s="23" t="str">
        <f t="shared" si="67"/>
        <v>Not Eligible</v>
      </c>
      <c r="AE415" s="24" t="str">
        <f t="shared" si="68"/>
        <v>Offline</v>
      </c>
      <c r="AF415" s="27" t="str">
        <f t="shared" si="69"/>
        <v>Normal Order</v>
      </c>
    </row>
    <row r="416" spans="1:32" x14ac:dyDescent="0.3">
      <c r="A416" s="2">
        <v>10415</v>
      </c>
      <c r="B416" s="2">
        <v>1995</v>
      </c>
      <c r="C416" s="3">
        <v>45251</v>
      </c>
      <c r="D416" s="3">
        <v>45257</v>
      </c>
      <c r="E416" s="2" t="s">
        <v>52</v>
      </c>
      <c r="F416" s="2" t="s">
        <v>60</v>
      </c>
      <c r="G416" s="2" t="s">
        <v>23</v>
      </c>
      <c r="H416" s="2" t="s">
        <v>48</v>
      </c>
      <c r="I416" s="2" t="s">
        <v>63</v>
      </c>
      <c r="J416" s="2" t="s">
        <v>73</v>
      </c>
      <c r="K416" s="2" t="s">
        <v>34</v>
      </c>
      <c r="L416" s="2">
        <v>2</v>
      </c>
      <c r="M416" s="2">
        <v>3120.32</v>
      </c>
      <c r="N416" s="2">
        <v>20</v>
      </c>
      <c r="O416" s="2">
        <v>4992.51</v>
      </c>
      <c r="P416" s="2">
        <f t="shared" si="60"/>
        <v>6240.64</v>
      </c>
      <c r="Q416" s="2">
        <f t="shared" si="61"/>
        <v>1248.1280000000002</v>
      </c>
      <c r="R416" s="2">
        <f t="shared" si="62"/>
        <v>4992.5120000000006</v>
      </c>
      <c r="S416" s="2" t="str">
        <f t="shared" si="63"/>
        <v>Low</v>
      </c>
      <c r="T416" s="2" t="str" cm="1">
        <f t="array" ref="T416">_xlfn.IFS(L416&gt;5,"High",L416=5,"Medium",L416&lt;5,"Low")</f>
        <v>Low</v>
      </c>
      <c r="U416" s="2" t="str">
        <f t="shared" si="64"/>
        <v>Low</v>
      </c>
      <c r="V416" s="14" t="str">
        <f t="shared" si="65"/>
        <v>Heavy Discount</v>
      </c>
      <c r="W416" s="16" t="str">
        <f t="shared" si="66"/>
        <v>Good</v>
      </c>
      <c r="X416" s="18" t="str" cm="1">
        <f t="array" ref="X416">_xlfn.IFS(O416&gt;7000,"Excellent",O416&gt;4000,"Good",O416&lt;4000,"Average")</f>
        <v>Good</v>
      </c>
      <c r="AD416" s="23" t="str">
        <f t="shared" si="67"/>
        <v>Not Eligible</v>
      </c>
      <c r="AE416" s="24" t="str">
        <f t="shared" si="68"/>
        <v>Online</v>
      </c>
      <c r="AF416" s="27" t="str">
        <f t="shared" si="69"/>
        <v>Normal Order</v>
      </c>
    </row>
    <row r="417" spans="1:32" x14ac:dyDescent="0.3">
      <c r="A417" s="2">
        <v>10416</v>
      </c>
      <c r="B417" s="2">
        <v>1160</v>
      </c>
      <c r="C417" s="3">
        <v>44951</v>
      </c>
      <c r="D417" s="3">
        <v>44953</v>
      </c>
      <c r="E417" s="2" t="s">
        <v>40</v>
      </c>
      <c r="F417" s="2" t="s">
        <v>60</v>
      </c>
      <c r="G417" s="2" t="s">
        <v>30</v>
      </c>
      <c r="H417" s="2" t="s">
        <v>24</v>
      </c>
      <c r="I417" s="2" t="s">
        <v>55</v>
      </c>
      <c r="J417" s="2" t="s">
        <v>69</v>
      </c>
      <c r="K417" s="2" t="s">
        <v>39</v>
      </c>
      <c r="L417" s="2">
        <v>8</v>
      </c>
      <c r="M417" s="2">
        <v>2659.82</v>
      </c>
      <c r="N417" s="2">
        <v>0</v>
      </c>
      <c r="O417" s="2">
        <v>21278.560000000001</v>
      </c>
      <c r="P417" s="2">
        <f t="shared" si="60"/>
        <v>21278.560000000001</v>
      </c>
      <c r="Q417" s="2">
        <f t="shared" si="61"/>
        <v>0</v>
      </c>
      <c r="R417" s="2">
        <f t="shared" si="62"/>
        <v>21278.560000000001</v>
      </c>
      <c r="S417" s="2" t="str">
        <f t="shared" si="63"/>
        <v>High</v>
      </c>
      <c r="T417" s="2" t="str" cm="1">
        <f t="array" ref="T417">_xlfn.IFS(L417&gt;5,"High",L417=5,"Medium",L417&lt;5,"Low")</f>
        <v>High</v>
      </c>
      <c r="U417" s="2" t="str">
        <f t="shared" si="64"/>
        <v>High</v>
      </c>
      <c r="V417" s="14" t="str">
        <f t="shared" si="65"/>
        <v>Normal Discount</v>
      </c>
      <c r="W417" s="16" t="str">
        <f t="shared" si="66"/>
        <v>Excellent</v>
      </c>
      <c r="X417" s="18" t="str" cm="1">
        <f t="array" ref="X417">_xlfn.IFS(O417&gt;7000,"Excellent",O417&gt;4000,"Good",O417&lt;4000,"Average")</f>
        <v>Excellent</v>
      </c>
      <c r="AD417" s="23" t="str">
        <f t="shared" si="67"/>
        <v>Eligible</v>
      </c>
      <c r="AE417" s="24" t="str">
        <f t="shared" si="68"/>
        <v>Online</v>
      </c>
      <c r="AF417" s="27" t="str">
        <f t="shared" si="69"/>
        <v>Priority Order</v>
      </c>
    </row>
    <row r="418" spans="1:32" x14ac:dyDescent="0.3">
      <c r="A418" s="2">
        <v>10417</v>
      </c>
      <c r="B418" s="2">
        <v>1579</v>
      </c>
      <c r="C418" s="3">
        <v>45057</v>
      </c>
      <c r="D418" s="3">
        <v>45065</v>
      </c>
      <c r="E418" s="2" t="s">
        <v>28</v>
      </c>
      <c r="F418" s="2" t="s">
        <v>60</v>
      </c>
      <c r="G418" s="2" t="s">
        <v>23</v>
      </c>
      <c r="H418" s="2" t="s">
        <v>50</v>
      </c>
      <c r="I418" s="2" t="s">
        <v>58</v>
      </c>
      <c r="J418" s="2" t="s">
        <v>70</v>
      </c>
      <c r="K418" s="2" t="s">
        <v>51</v>
      </c>
      <c r="L418" s="2">
        <v>1</v>
      </c>
      <c r="M418" s="2">
        <v>3354.81</v>
      </c>
      <c r="N418" s="2">
        <v>0</v>
      </c>
      <c r="O418" s="2">
        <v>3354.81</v>
      </c>
      <c r="P418" s="2">
        <f t="shared" si="60"/>
        <v>3354.81</v>
      </c>
      <c r="Q418" s="2">
        <f t="shared" si="61"/>
        <v>0</v>
      </c>
      <c r="R418" s="2">
        <f t="shared" si="62"/>
        <v>3354.81</v>
      </c>
      <c r="S418" s="2" t="str">
        <f t="shared" si="63"/>
        <v>Low</v>
      </c>
      <c r="T418" s="2" t="str" cm="1">
        <f t="array" ref="T418">_xlfn.IFS(L418&gt;5,"High",L418=5,"Medium",L418&lt;5,"Low")</f>
        <v>Low</v>
      </c>
      <c r="U418" s="2" t="str">
        <f t="shared" si="64"/>
        <v>Low</v>
      </c>
      <c r="V418" s="14" t="str">
        <f t="shared" si="65"/>
        <v>Normal Discount</v>
      </c>
      <c r="W418" s="16" t="str">
        <f t="shared" si="66"/>
        <v>Average</v>
      </c>
      <c r="X418" s="18" t="str" cm="1">
        <f t="array" ref="X418">_xlfn.IFS(O418&gt;7000,"Excellent",O418&gt;4000,"Good",O418&lt;4000,"Average")</f>
        <v>Average</v>
      </c>
      <c r="AD418" s="23" t="str">
        <f t="shared" si="67"/>
        <v>Not Eligible</v>
      </c>
      <c r="AE418" s="24" t="str">
        <f t="shared" si="68"/>
        <v>Online</v>
      </c>
      <c r="AF418" s="27" t="str">
        <f t="shared" si="69"/>
        <v>Normal Order</v>
      </c>
    </row>
    <row r="419" spans="1:32" x14ac:dyDescent="0.3">
      <c r="A419" s="2">
        <v>10418</v>
      </c>
      <c r="B419" s="2">
        <v>1800</v>
      </c>
      <c r="C419" s="3">
        <v>45279</v>
      </c>
      <c r="D419" s="3">
        <v>45280</v>
      </c>
      <c r="E419" s="2" t="s">
        <v>46</v>
      </c>
      <c r="F419" s="2" t="s">
        <v>60</v>
      </c>
      <c r="G419" s="2" t="s">
        <v>30</v>
      </c>
      <c r="H419" s="2" t="s">
        <v>41</v>
      </c>
      <c r="I419" s="2" t="s">
        <v>58</v>
      </c>
      <c r="J419" s="2" t="s">
        <v>62</v>
      </c>
      <c r="K419" s="2" t="s">
        <v>39</v>
      </c>
      <c r="L419" s="2">
        <v>8</v>
      </c>
      <c r="M419" s="2">
        <v>3905.57</v>
      </c>
      <c r="N419" s="2">
        <v>10</v>
      </c>
      <c r="O419" s="2">
        <v>28120.1</v>
      </c>
      <c r="P419" s="2">
        <f t="shared" si="60"/>
        <v>31244.560000000001</v>
      </c>
      <c r="Q419" s="2">
        <f t="shared" si="61"/>
        <v>3124.4560000000001</v>
      </c>
      <c r="R419" s="2">
        <f t="shared" si="62"/>
        <v>28120.103999999999</v>
      </c>
      <c r="S419" s="2" t="str">
        <f t="shared" si="63"/>
        <v>High</v>
      </c>
      <c r="T419" s="2" t="str" cm="1">
        <f t="array" ref="T419">_xlfn.IFS(L419&gt;5,"High",L419=5,"Medium",L419&lt;5,"Low")</f>
        <v>High</v>
      </c>
      <c r="U419" s="2" t="str">
        <f t="shared" si="64"/>
        <v>High</v>
      </c>
      <c r="V419" s="14" t="str">
        <f t="shared" si="65"/>
        <v>Normal Discount</v>
      </c>
      <c r="W419" s="16" t="str">
        <f t="shared" si="66"/>
        <v>Excellent</v>
      </c>
      <c r="X419" s="18" t="str" cm="1">
        <f t="array" ref="X419">_xlfn.IFS(O419&gt;7000,"Excellent",O419&gt;4000,"Good",O419&lt;4000,"Average")</f>
        <v>Excellent</v>
      </c>
      <c r="AD419" s="23" t="str">
        <f t="shared" si="67"/>
        <v>Not Eligible</v>
      </c>
      <c r="AE419" s="24" t="str">
        <f t="shared" si="68"/>
        <v>Online</v>
      </c>
      <c r="AF419" s="27" t="str">
        <f t="shared" si="69"/>
        <v>Priority Order</v>
      </c>
    </row>
    <row r="420" spans="1:32" x14ac:dyDescent="0.3">
      <c r="A420" s="2">
        <v>10419</v>
      </c>
      <c r="B420" s="2">
        <v>1397</v>
      </c>
      <c r="C420" s="3">
        <v>45122</v>
      </c>
      <c r="D420" s="3">
        <v>45129</v>
      </c>
      <c r="E420" s="2" t="s">
        <v>21</v>
      </c>
      <c r="F420" s="2" t="s">
        <v>22</v>
      </c>
      <c r="G420" s="2" t="s">
        <v>30</v>
      </c>
      <c r="H420" s="2" t="s">
        <v>41</v>
      </c>
      <c r="I420" s="2" t="s">
        <v>32</v>
      </c>
      <c r="J420" s="2" t="s">
        <v>33</v>
      </c>
      <c r="K420" s="2" t="s">
        <v>53</v>
      </c>
      <c r="L420" s="2">
        <v>8</v>
      </c>
      <c r="M420" s="2">
        <v>1975.53</v>
      </c>
      <c r="N420" s="2">
        <v>5</v>
      </c>
      <c r="O420" s="2">
        <v>15014.03</v>
      </c>
      <c r="P420" s="2">
        <f t="shared" si="60"/>
        <v>15804.24</v>
      </c>
      <c r="Q420" s="2">
        <f t="shared" si="61"/>
        <v>790.21199999999999</v>
      </c>
      <c r="R420" s="2">
        <f t="shared" si="62"/>
        <v>15014.028</v>
      </c>
      <c r="S420" s="2" t="str">
        <f t="shared" si="63"/>
        <v>High</v>
      </c>
      <c r="T420" s="2" t="str" cm="1">
        <f t="array" ref="T420">_xlfn.IFS(L420&gt;5,"High",L420=5,"Medium",L420&lt;5,"Low")</f>
        <v>High</v>
      </c>
      <c r="U420" s="2" t="str">
        <f t="shared" si="64"/>
        <v>High</v>
      </c>
      <c r="V420" s="14" t="str">
        <f t="shared" si="65"/>
        <v>Normal Discount</v>
      </c>
      <c r="W420" s="16" t="str">
        <f t="shared" si="66"/>
        <v>Excellent</v>
      </c>
      <c r="X420" s="18" t="str" cm="1">
        <f t="array" ref="X420">_xlfn.IFS(O420&gt;7000,"Excellent",O420&gt;4000,"Good",O420&lt;4000,"Average")</f>
        <v>Excellent</v>
      </c>
      <c r="AD420" s="23" t="str">
        <f t="shared" si="67"/>
        <v>Eligible</v>
      </c>
      <c r="AE420" s="24" t="str">
        <f t="shared" si="68"/>
        <v>Online</v>
      </c>
      <c r="AF420" s="27" t="str">
        <f t="shared" si="69"/>
        <v>Priority Order</v>
      </c>
    </row>
    <row r="421" spans="1:32" x14ac:dyDescent="0.3">
      <c r="A421" s="2">
        <v>10420</v>
      </c>
      <c r="B421" s="2">
        <v>1276</v>
      </c>
      <c r="C421" s="3">
        <v>45207</v>
      </c>
      <c r="D421" s="3">
        <v>45209</v>
      </c>
      <c r="E421" s="2" t="s">
        <v>21</v>
      </c>
      <c r="F421" s="2" t="s">
        <v>35</v>
      </c>
      <c r="G421" s="2" t="s">
        <v>30</v>
      </c>
      <c r="H421" s="2" t="s">
        <v>24</v>
      </c>
      <c r="I421" s="2" t="s">
        <v>25</v>
      </c>
      <c r="J421" s="2" t="s">
        <v>72</v>
      </c>
      <c r="K421" s="2" t="s">
        <v>27</v>
      </c>
      <c r="L421" s="2">
        <v>2</v>
      </c>
      <c r="M421" s="2">
        <v>406.77</v>
      </c>
      <c r="N421" s="2">
        <v>10</v>
      </c>
      <c r="O421" s="2">
        <v>732.19</v>
      </c>
      <c r="P421" s="2">
        <f t="shared" si="60"/>
        <v>813.54</v>
      </c>
      <c r="Q421" s="2">
        <f t="shared" si="61"/>
        <v>81.353999999999999</v>
      </c>
      <c r="R421" s="2">
        <f t="shared" si="62"/>
        <v>732.18599999999992</v>
      </c>
      <c r="S421" s="2" t="str">
        <f t="shared" si="63"/>
        <v>Low</v>
      </c>
      <c r="T421" s="2" t="str" cm="1">
        <f t="array" ref="T421">_xlfn.IFS(L421&gt;5,"High",L421=5,"Medium",L421&lt;5,"Low")</f>
        <v>Low</v>
      </c>
      <c r="U421" s="2" t="str">
        <f t="shared" si="64"/>
        <v>Low</v>
      </c>
      <c r="V421" s="14" t="str">
        <f t="shared" si="65"/>
        <v>Normal Discount</v>
      </c>
      <c r="W421" s="16" t="str">
        <f t="shared" si="66"/>
        <v>Average</v>
      </c>
      <c r="X421" s="18" t="str" cm="1">
        <f t="array" ref="X421">_xlfn.IFS(O421&gt;7000,"Excellent",O421&gt;4000,"Good",O421&lt;4000,"Average")</f>
        <v>Average</v>
      </c>
      <c r="AD421" s="23" t="str">
        <f t="shared" si="67"/>
        <v>Not Eligible</v>
      </c>
      <c r="AE421" s="24" t="str">
        <f t="shared" si="68"/>
        <v>Online</v>
      </c>
      <c r="AF421" s="27" t="str">
        <f t="shared" si="69"/>
        <v>Normal Order</v>
      </c>
    </row>
    <row r="422" spans="1:32" x14ac:dyDescent="0.3">
      <c r="A422" s="2">
        <v>10421</v>
      </c>
      <c r="B422" s="2">
        <v>1815</v>
      </c>
      <c r="C422" s="3">
        <v>45080</v>
      </c>
      <c r="D422" s="3">
        <v>45086</v>
      </c>
      <c r="E422" s="2" t="s">
        <v>52</v>
      </c>
      <c r="F422" s="2" t="s">
        <v>29</v>
      </c>
      <c r="G422" s="2" t="s">
        <v>30</v>
      </c>
      <c r="H422" s="2" t="s">
        <v>24</v>
      </c>
      <c r="I422" s="2" t="s">
        <v>58</v>
      </c>
      <c r="J422" s="2" t="s">
        <v>70</v>
      </c>
      <c r="K422" s="2" t="s">
        <v>51</v>
      </c>
      <c r="L422" s="2">
        <v>4</v>
      </c>
      <c r="M422" s="2">
        <v>335.16</v>
      </c>
      <c r="N422" s="2">
        <v>5</v>
      </c>
      <c r="O422" s="2">
        <v>1273.6099999999999</v>
      </c>
      <c r="P422" s="2">
        <f t="shared" si="60"/>
        <v>1340.64</v>
      </c>
      <c r="Q422" s="2">
        <f t="shared" si="61"/>
        <v>67.032000000000011</v>
      </c>
      <c r="R422" s="2">
        <f t="shared" si="62"/>
        <v>1273.6080000000002</v>
      </c>
      <c r="S422" s="2" t="str">
        <f t="shared" si="63"/>
        <v>Low</v>
      </c>
      <c r="T422" s="2" t="str" cm="1">
        <f t="array" ref="T422">_xlfn.IFS(L422&gt;5,"High",L422=5,"Medium",L422&lt;5,"Low")</f>
        <v>Low</v>
      </c>
      <c r="U422" s="2" t="str">
        <f t="shared" si="64"/>
        <v>Low</v>
      </c>
      <c r="V422" s="14" t="str">
        <f t="shared" si="65"/>
        <v>Normal Discount</v>
      </c>
      <c r="W422" s="16" t="str">
        <f t="shared" si="66"/>
        <v>Average</v>
      </c>
      <c r="X422" s="18" t="str" cm="1">
        <f t="array" ref="X422">_xlfn.IFS(O422&gt;7000,"Excellent",O422&gt;4000,"Good",O422&lt;4000,"Average")</f>
        <v>Average</v>
      </c>
      <c r="AD422" s="23" t="str">
        <f t="shared" si="67"/>
        <v>Not Eligible</v>
      </c>
      <c r="AE422" s="24" t="str">
        <f t="shared" si="68"/>
        <v>Online</v>
      </c>
      <c r="AF422" s="27" t="str">
        <f t="shared" si="69"/>
        <v>Normal Order</v>
      </c>
    </row>
    <row r="423" spans="1:32" x14ac:dyDescent="0.3">
      <c r="A423" s="2">
        <v>10422</v>
      </c>
      <c r="B423" s="2">
        <v>1915</v>
      </c>
      <c r="C423" s="3">
        <v>45059</v>
      </c>
      <c r="D423" s="3">
        <v>45061</v>
      </c>
      <c r="E423" s="2" t="s">
        <v>22</v>
      </c>
      <c r="F423" s="2" t="s">
        <v>60</v>
      </c>
      <c r="G423" s="2" t="s">
        <v>23</v>
      </c>
      <c r="H423" s="2" t="s">
        <v>24</v>
      </c>
      <c r="I423" s="2" t="s">
        <v>58</v>
      </c>
      <c r="J423" s="2" t="s">
        <v>70</v>
      </c>
      <c r="K423" s="2" t="s">
        <v>53</v>
      </c>
      <c r="L423" s="2">
        <v>6</v>
      </c>
      <c r="M423" s="2">
        <v>1288.31</v>
      </c>
      <c r="N423" s="2">
        <v>15</v>
      </c>
      <c r="O423" s="2">
        <v>6570.38</v>
      </c>
      <c r="P423" s="2">
        <f t="shared" si="60"/>
        <v>7729.86</v>
      </c>
      <c r="Q423" s="2">
        <f t="shared" si="61"/>
        <v>1159.4789999999998</v>
      </c>
      <c r="R423" s="2">
        <f t="shared" si="62"/>
        <v>6570.3809999999994</v>
      </c>
      <c r="S423" s="2" t="str">
        <f t="shared" si="63"/>
        <v>High</v>
      </c>
      <c r="T423" s="2" t="str" cm="1">
        <f t="array" ref="T423">_xlfn.IFS(L423&gt;5,"High",L423=5,"Medium",L423&lt;5,"Low")</f>
        <v>High</v>
      </c>
      <c r="U423" s="2" t="str">
        <f t="shared" si="64"/>
        <v>High</v>
      </c>
      <c r="V423" s="14" t="str">
        <f t="shared" si="65"/>
        <v>Heavy Discount</v>
      </c>
      <c r="W423" s="16" t="str">
        <f t="shared" si="66"/>
        <v>Good</v>
      </c>
      <c r="X423" s="18" t="str" cm="1">
        <f t="array" ref="X423">_xlfn.IFS(O423&gt;7000,"Excellent",O423&gt;4000,"Good",O423&lt;4000,"Average")</f>
        <v>Good</v>
      </c>
      <c r="AD423" s="23" t="str">
        <f t="shared" si="67"/>
        <v>Not Eligible</v>
      </c>
      <c r="AE423" s="24" t="str">
        <f t="shared" si="68"/>
        <v>Online</v>
      </c>
      <c r="AF423" s="27" t="str">
        <f t="shared" si="69"/>
        <v>Priority Order</v>
      </c>
    </row>
    <row r="424" spans="1:32" x14ac:dyDescent="0.3">
      <c r="A424" s="2">
        <v>10423</v>
      </c>
      <c r="B424" s="2">
        <v>1503</v>
      </c>
      <c r="C424" s="3">
        <v>45153</v>
      </c>
      <c r="D424" s="3">
        <v>45155</v>
      </c>
      <c r="E424" s="2" t="s">
        <v>46</v>
      </c>
      <c r="F424" s="2" t="s">
        <v>22</v>
      </c>
      <c r="G424" s="2" t="s">
        <v>30</v>
      </c>
      <c r="H424" s="2" t="s">
        <v>50</v>
      </c>
      <c r="I424" s="2" t="s">
        <v>58</v>
      </c>
      <c r="J424" s="2" t="s">
        <v>66</v>
      </c>
      <c r="K424" s="2" t="s">
        <v>53</v>
      </c>
      <c r="L424" s="2">
        <v>9</v>
      </c>
      <c r="M424" s="2">
        <v>3740.3</v>
      </c>
      <c r="N424" s="2">
        <v>10</v>
      </c>
      <c r="O424" s="2">
        <v>30296.43</v>
      </c>
      <c r="P424" s="2">
        <f t="shared" si="60"/>
        <v>33662.700000000004</v>
      </c>
      <c r="Q424" s="2">
        <f t="shared" si="61"/>
        <v>3366.2700000000004</v>
      </c>
      <c r="R424" s="2">
        <f t="shared" si="62"/>
        <v>30296.430000000004</v>
      </c>
      <c r="S424" s="2" t="str">
        <f t="shared" si="63"/>
        <v>High</v>
      </c>
      <c r="T424" s="2" t="str" cm="1">
        <f t="array" ref="T424">_xlfn.IFS(L424&gt;5,"High",L424=5,"Medium",L424&lt;5,"Low")</f>
        <v>High</v>
      </c>
      <c r="U424" s="2" t="str">
        <f t="shared" si="64"/>
        <v>High</v>
      </c>
      <c r="V424" s="14" t="str">
        <f t="shared" si="65"/>
        <v>Normal Discount</v>
      </c>
      <c r="W424" s="16" t="str">
        <f t="shared" si="66"/>
        <v>Excellent</v>
      </c>
      <c r="X424" s="18" t="str" cm="1">
        <f t="array" ref="X424">_xlfn.IFS(O424&gt;7000,"Excellent",O424&gt;4000,"Good",O424&lt;4000,"Average")</f>
        <v>Excellent</v>
      </c>
      <c r="AD424" s="23" t="str">
        <f t="shared" si="67"/>
        <v>Not Eligible</v>
      </c>
      <c r="AE424" s="24" t="str">
        <f t="shared" si="68"/>
        <v>Online</v>
      </c>
      <c r="AF424" s="27" t="str">
        <f t="shared" si="69"/>
        <v>Priority Order</v>
      </c>
    </row>
    <row r="425" spans="1:32" x14ac:dyDescent="0.3">
      <c r="A425" s="2">
        <v>10424</v>
      </c>
      <c r="B425" s="2">
        <v>1895</v>
      </c>
      <c r="C425" s="3">
        <v>45115</v>
      </c>
      <c r="D425" s="3">
        <v>45123</v>
      </c>
      <c r="E425" s="2" t="s">
        <v>43</v>
      </c>
      <c r="F425" s="2" t="s">
        <v>22</v>
      </c>
      <c r="G425" s="2" t="s">
        <v>36</v>
      </c>
      <c r="H425" s="2" t="s">
        <v>48</v>
      </c>
      <c r="I425" s="2" t="s">
        <v>58</v>
      </c>
      <c r="J425" s="2" t="s">
        <v>62</v>
      </c>
      <c r="K425" s="2" t="s">
        <v>51</v>
      </c>
      <c r="L425" s="2">
        <v>8</v>
      </c>
      <c r="M425" s="2">
        <v>2164.37</v>
      </c>
      <c r="N425" s="2">
        <v>10</v>
      </c>
      <c r="O425" s="2">
        <v>15583.46</v>
      </c>
      <c r="P425" s="2">
        <f t="shared" si="60"/>
        <v>17314.96</v>
      </c>
      <c r="Q425" s="2">
        <f t="shared" si="61"/>
        <v>1731.4960000000001</v>
      </c>
      <c r="R425" s="2">
        <f t="shared" si="62"/>
        <v>15583.464</v>
      </c>
      <c r="S425" s="2" t="str">
        <f t="shared" si="63"/>
        <v>High</v>
      </c>
      <c r="T425" s="2" t="str" cm="1">
        <f t="array" ref="T425">_xlfn.IFS(L425&gt;5,"High",L425=5,"Medium",L425&lt;5,"Low")</f>
        <v>High</v>
      </c>
      <c r="U425" s="2" t="str">
        <f t="shared" si="64"/>
        <v>High</v>
      </c>
      <c r="V425" s="14" t="str">
        <f t="shared" si="65"/>
        <v>Normal Discount</v>
      </c>
      <c r="W425" s="16" t="str">
        <f t="shared" si="66"/>
        <v>Excellent</v>
      </c>
      <c r="X425" s="18" t="str" cm="1">
        <f t="array" ref="X425">_xlfn.IFS(O425&gt;7000,"Excellent",O425&gt;4000,"Good",O425&lt;4000,"Average")</f>
        <v>Excellent</v>
      </c>
      <c r="AD425" s="23" t="str">
        <f t="shared" si="67"/>
        <v>Not Eligible</v>
      </c>
      <c r="AE425" s="24" t="str">
        <f t="shared" si="68"/>
        <v>Offline</v>
      </c>
      <c r="AF425" s="27" t="str">
        <f t="shared" si="69"/>
        <v>Priority Order</v>
      </c>
    </row>
    <row r="426" spans="1:32" x14ac:dyDescent="0.3">
      <c r="A426" s="2">
        <v>10425</v>
      </c>
      <c r="B426" s="2">
        <v>1391</v>
      </c>
      <c r="C426" s="3">
        <v>45191</v>
      </c>
      <c r="D426" s="3">
        <v>45193</v>
      </c>
      <c r="E426" s="2" t="s">
        <v>22</v>
      </c>
      <c r="F426" s="2" t="s">
        <v>22</v>
      </c>
      <c r="G426" s="2" t="s">
        <v>36</v>
      </c>
      <c r="H426" s="2" t="s">
        <v>24</v>
      </c>
      <c r="I426" s="2" t="s">
        <v>37</v>
      </c>
      <c r="J426" s="2" t="s">
        <v>45</v>
      </c>
      <c r="K426" s="2" t="s">
        <v>39</v>
      </c>
      <c r="L426" s="2">
        <v>8</v>
      </c>
      <c r="M426" s="2">
        <v>1196.3800000000001</v>
      </c>
      <c r="N426" s="2">
        <v>20</v>
      </c>
      <c r="O426" s="2">
        <v>7656.83</v>
      </c>
      <c r="P426" s="2">
        <f t="shared" si="60"/>
        <v>9571.0400000000009</v>
      </c>
      <c r="Q426" s="2">
        <f t="shared" si="61"/>
        <v>1914.2080000000003</v>
      </c>
      <c r="R426" s="2">
        <f t="shared" si="62"/>
        <v>7656.8320000000003</v>
      </c>
      <c r="S426" s="2" t="str">
        <f t="shared" si="63"/>
        <v>High</v>
      </c>
      <c r="T426" s="2" t="str" cm="1">
        <f t="array" ref="T426">_xlfn.IFS(L426&gt;5,"High",L426=5,"Medium",L426&lt;5,"Low")</f>
        <v>High</v>
      </c>
      <c r="U426" s="2" t="str">
        <f t="shared" si="64"/>
        <v>High</v>
      </c>
      <c r="V426" s="14" t="str">
        <f t="shared" si="65"/>
        <v>Heavy Discount</v>
      </c>
      <c r="W426" s="16" t="str">
        <f t="shared" si="66"/>
        <v>Excellent</v>
      </c>
      <c r="X426" s="18" t="str" cm="1">
        <f t="array" ref="X426">_xlfn.IFS(O426&gt;7000,"Excellent",O426&gt;4000,"Good",O426&lt;4000,"Average")</f>
        <v>Excellent</v>
      </c>
      <c r="AD426" s="23" t="str">
        <f t="shared" si="67"/>
        <v>Not Eligible</v>
      </c>
      <c r="AE426" s="24" t="str">
        <f t="shared" si="68"/>
        <v>Offline</v>
      </c>
      <c r="AF426" s="27" t="str">
        <f t="shared" si="69"/>
        <v>Priority Order</v>
      </c>
    </row>
    <row r="427" spans="1:32" x14ac:dyDescent="0.3">
      <c r="A427" s="2">
        <v>10426</v>
      </c>
      <c r="B427" s="2">
        <v>1134</v>
      </c>
      <c r="C427" s="3">
        <v>45060</v>
      </c>
      <c r="D427" s="3">
        <v>45067</v>
      </c>
      <c r="E427" s="2" t="s">
        <v>22</v>
      </c>
      <c r="F427" s="2" t="s">
        <v>35</v>
      </c>
      <c r="G427" s="2" t="s">
        <v>23</v>
      </c>
      <c r="H427" s="2" t="s">
        <v>24</v>
      </c>
      <c r="I427" s="2" t="s">
        <v>37</v>
      </c>
      <c r="J427" s="2" t="s">
        <v>38</v>
      </c>
      <c r="K427" s="2" t="s">
        <v>53</v>
      </c>
      <c r="L427" s="2">
        <v>7</v>
      </c>
      <c r="M427" s="2">
        <v>1686.79</v>
      </c>
      <c r="N427" s="2">
        <v>10</v>
      </c>
      <c r="O427" s="2">
        <v>10626.78</v>
      </c>
      <c r="P427" s="2">
        <f t="shared" si="60"/>
        <v>11807.529999999999</v>
      </c>
      <c r="Q427" s="2">
        <f t="shared" si="61"/>
        <v>1180.7529999999999</v>
      </c>
      <c r="R427" s="2">
        <f t="shared" si="62"/>
        <v>10626.776999999998</v>
      </c>
      <c r="S427" s="2" t="str">
        <f t="shared" si="63"/>
        <v>High</v>
      </c>
      <c r="T427" s="2" t="str" cm="1">
        <f t="array" ref="T427">_xlfn.IFS(L427&gt;5,"High",L427=5,"Medium",L427&lt;5,"Low")</f>
        <v>High</v>
      </c>
      <c r="U427" s="2" t="str">
        <f t="shared" si="64"/>
        <v>High</v>
      </c>
      <c r="V427" s="14" t="str">
        <f t="shared" si="65"/>
        <v>Normal Discount</v>
      </c>
      <c r="W427" s="16" t="str">
        <f t="shared" si="66"/>
        <v>Excellent</v>
      </c>
      <c r="X427" s="18" t="str" cm="1">
        <f t="array" ref="X427">_xlfn.IFS(O427&gt;7000,"Excellent",O427&gt;4000,"Good",O427&lt;4000,"Average")</f>
        <v>Excellent</v>
      </c>
      <c r="AD427" s="23" t="str">
        <f t="shared" si="67"/>
        <v>Not Eligible</v>
      </c>
      <c r="AE427" s="24" t="str">
        <f t="shared" si="68"/>
        <v>Online</v>
      </c>
      <c r="AF427" s="27" t="str">
        <f t="shared" si="69"/>
        <v>Priority Order</v>
      </c>
    </row>
    <row r="428" spans="1:32" x14ac:dyDescent="0.3">
      <c r="A428" s="2">
        <v>10427</v>
      </c>
      <c r="B428" s="2">
        <v>1194</v>
      </c>
      <c r="C428" s="3">
        <v>45137</v>
      </c>
      <c r="D428" s="3">
        <v>45140</v>
      </c>
      <c r="E428" s="2" t="s">
        <v>46</v>
      </c>
      <c r="F428" s="2" t="s">
        <v>29</v>
      </c>
      <c r="G428" s="2" t="s">
        <v>30</v>
      </c>
      <c r="H428" s="2" t="s">
        <v>31</v>
      </c>
      <c r="I428" s="2" t="s">
        <v>25</v>
      </c>
      <c r="J428" s="2" t="s">
        <v>61</v>
      </c>
      <c r="K428" s="2" t="s">
        <v>34</v>
      </c>
      <c r="L428" s="2">
        <v>9</v>
      </c>
      <c r="M428" s="2">
        <v>2454.59</v>
      </c>
      <c r="N428" s="2">
        <v>5</v>
      </c>
      <c r="O428" s="2">
        <v>20986.74</v>
      </c>
      <c r="P428" s="2">
        <f t="shared" si="60"/>
        <v>22091.31</v>
      </c>
      <c r="Q428" s="2">
        <f t="shared" si="61"/>
        <v>1104.5655000000002</v>
      </c>
      <c r="R428" s="2">
        <f t="shared" si="62"/>
        <v>20986.744500000001</v>
      </c>
      <c r="S428" s="2" t="str">
        <f t="shared" si="63"/>
        <v>High</v>
      </c>
      <c r="T428" s="2" t="str" cm="1">
        <f t="array" ref="T428">_xlfn.IFS(L428&gt;5,"High",L428=5,"Medium",L428&lt;5,"Low")</f>
        <v>High</v>
      </c>
      <c r="U428" s="2" t="str">
        <f t="shared" si="64"/>
        <v>High</v>
      </c>
      <c r="V428" s="14" t="str">
        <f t="shared" si="65"/>
        <v>Normal Discount</v>
      </c>
      <c r="W428" s="16" t="str">
        <f t="shared" si="66"/>
        <v>Excellent</v>
      </c>
      <c r="X428" s="18" t="str" cm="1">
        <f t="array" ref="X428">_xlfn.IFS(O428&gt;7000,"Excellent",O428&gt;4000,"Good",O428&lt;4000,"Average")</f>
        <v>Excellent</v>
      </c>
      <c r="AD428" s="23" t="str">
        <f t="shared" si="67"/>
        <v>Eligible</v>
      </c>
      <c r="AE428" s="24" t="str">
        <f t="shared" si="68"/>
        <v>Online</v>
      </c>
      <c r="AF428" s="27" t="str">
        <f t="shared" si="69"/>
        <v>Priority Order</v>
      </c>
    </row>
    <row r="429" spans="1:32" x14ac:dyDescent="0.3">
      <c r="A429" s="2">
        <v>10428</v>
      </c>
      <c r="B429" s="2">
        <v>1400</v>
      </c>
      <c r="C429" s="3">
        <v>44986</v>
      </c>
      <c r="D429" s="3">
        <v>44994</v>
      </c>
      <c r="E429" s="2" t="s">
        <v>28</v>
      </c>
      <c r="F429" s="2" t="s">
        <v>35</v>
      </c>
      <c r="G429" s="2" t="s">
        <v>36</v>
      </c>
      <c r="H429" s="2" t="s">
        <v>50</v>
      </c>
      <c r="I429" s="2" t="s">
        <v>55</v>
      </c>
      <c r="J429" s="2" t="s">
        <v>57</v>
      </c>
      <c r="K429" s="2" t="s">
        <v>53</v>
      </c>
      <c r="L429" s="2">
        <v>2</v>
      </c>
      <c r="M429" s="2">
        <v>2663.86</v>
      </c>
      <c r="N429" s="2">
        <v>20</v>
      </c>
      <c r="O429" s="2">
        <v>4262.18</v>
      </c>
      <c r="P429" s="2">
        <f t="shared" si="60"/>
        <v>5327.72</v>
      </c>
      <c r="Q429" s="2">
        <f t="shared" si="61"/>
        <v>1065.5440000000001</v>
      </c>
      <c r="R429" s="2">
        <f t="shared" si="62"/>
        <v>4262.1760000000004</v>
      </c>
      <c r="S429" s="2" t="str">
        <f t="shared" si="63"/>
        <v>Low</v>
      </c>
      <c r="T429" s="2" t="str" cm="1">
        <f t="array" ref="T429">_xlfn.IFS(L429&gt;5,"High",L429=5,"Medium",L429&lt;5,"Low")</f>
        <v>Low</v>
      </c>
      <c r="U429" s="2" t="str">
        <f t="shared" si="64"/>
        <v>Low</v>
      </c>
      <c r="V429" s="14" t="str">
        <f t="shared" si="65"/>
        <v>Heavy Discount</v>
      </c>
      <c r="W429" s="16" t="str">
        <f t="shared" si="66"/>
        <v>Good</v>
      </c>
      <c r="X429" s="18" t="str" cm="1">
        <f t="array" ref="X429">_xlfn.IFS(O429&gt;7000,"Excellent",O429&gt;4000,"Good",O429&lt;4000,"Average")</f>
        <v>Good</v>
      </c>
      <c r="AD429" s="23" t="str">
        <f t="shared" si="67"/>
        <v>Not Eligible</v>
      </c>
      <c r="AE429" s="24" t="str">
        <f t="shared" si="68"/>
        <v>Offline</v>
      </c>
      <c r="AF429" s="27" t="str">
        <f t="shared" si="69"/>
        <v>Normal Order</v>
      </c>
    </row>
    <row r="430" spans="1:32" x14ac:dyDescent="0.3">
      <c r="A430" s="2">
        <v>10429</v>
      </c>
      <c r="B430" s="2">
        <v>1639</v>
      </c>
      <c r="C430" s="3">
        <v>45290</v>
      </c>
      <c r="D430" s="3">
        <v>45297</v>
      </c>
      <c r="E430" s="2" t="s">
        <v>52</v>
      </c>
      <c r="F430" s="2" t="s">
        <v>44</v>
      </c>
      <c r="G430" s="2" t="s">
        <v>23</v>
      </c>
      <c r="H430" s="2" t="s">
        <v>24</v>
      </c>
      <c r="I430" s="2" t="s">
        <v>58</v>
      </c>
      <c r="J430" s="2" t="s">
        <v>62</v>
      </c>
      <c r="K430" s="2" t="s">
        <v>39</v>
      </c>
      <c r="L430" s="2">
        <v>3</v>
      </c>
      <c r="M430" s="2">
        <v>742.59</v>
      </c>
      <c r="N430" s="2">
        <v>10</v>
      </c>
      <c r="O430" s="2">
        <v>2004.99</v>
      </c>
      <c r="P430" s="2">
        <f t="shared" si="60"/>
        <v>2227.77</v>
      </c>
      <c r="Q430" s="2">
        <f t="shared" si="61"/>
        <v>222.77700000000002</v>
      </c>
      <c r="R430" s="2">
        <f t="shared" si="62"/>
        <v>2004.9929999999999</v>
      </c>
      <c r="S430" s="2" t="str">
        <f t="shared" si="63"/>
        <v>Low</v>
      </c>
      <c r="T430" s="2" t="str" cm="1">
        <f t="array" ref="T430">_xlfn.IFS(L430&gt;5,"High",L430=5,"Medium",L430&lt;5,"Low")</f>
        <v>Low</v>
      </c>
      <c r="U430" s="2" t="str">
        <f t="shared" si="64"/>
        <v>Low</v>
      </c>
      <c r="V430" s="14" t="str">
        <f t="shared" si="65"/>
        <v>Normal Discount</v>
      </c>
      <c r="W430" s="16" t="str">
        <f t="shared" si="66"/>
        <v>Average</v>
      </c>
      <c r="X430" s="18" t="str" cm="1">
        <f t="array" ref="X430">_xlfn.IFS(O430&gt;7000,"Excellent",O430&gt;4000,"Good",O430&lt;4000,"Average")</f>
        <v>Average</v>
      </c>
      <c r="AD430" s="23" t="str">
        <f t="shared" si="67"/>
        <v>Not Eligible</v>
      </c>
      <c r="AE430" s="24" t="str">
        <f t="shared" si="68"/>
        <v>Online</v>
      </c>
      <c r="AF430" s="27" t="str">
        <f t="shared" si="69"/>
        <v>Normal Order</v>
      </c>
    </row>
    <row r="431" spans="1:32" x14ac:dyDescent="0.3">
      <c r="A431" s="2">
        <v>10430</v>
      </c>
      <c r="B431" s="2">
        <v>1032</v>
      </c>
      <c r="C431" s="3">
        <v>45290</v>
      </c>
      <c r="D431" s="3">
        <v>45298</v>
      </c>
      <c r="E431" s="2" t="s">
        <v>52</v>
      </c>
      <c r="F431" s="2" t="s">
        <v>22</v>
      </c>
      <c r="G431" s="2" t="s">
        <v>30</v>
      </c>
      <c r="H431" s="2" t="s">
        <v>31</v>
      </c>
      <c r="I431" s="2" t="s">
        <v>32</v>
      </c>
      <c r="J431" s="2" t="s">
        <v>75</v>
      </c>
      <c r="K431" s="2" t="s">
        <v>39</v>
      </c>
      <c r="L431" s="2">
        <v>8</v>
      </c>
      <c r="M431" s="2">
        <v>3911.57</v>
      </c>
      <c r="N431" s="2">
        <v>10</v>
      </c>
      <c r="O431" s="2">
        <v>28163.3</v>
      </c>
      <c r="P431" s="2">
        <f t="shared" si="60"/>
        <v>31292.560000000001</v>
      </c>
      <c r="Q431" s="2">
        <f t="shared" si="61"/>
        <v>3129.2560000000003</v>
      </c>
      <c r="R431" s="2">
        <f t="shared" si="62"/>
        <v>28163.304</v>
      </c>
      <c r="S431" s="2" t="str">
        <f t="shared" si="63"/>
        <v>High</v>
      </c>
      <c r="T431" s="2" t="str" cm="1">
        <f t="array" ref="T431">_xlfn.IFS(L431&gt;5,"High",L431=5,"Medium",L431&lt;5,"Low")</f>
        <v>High</v>
      </c>
      <c r="U431" s="2" t="str">
        <f t="shared" si="64"/>
        <v>High</v>
      </c>
      <c r="V431" s="14" t="str">
        <f t="shared" si="65"/>
        <v>Normal Discount</v>
      </c>
      <c r="W431" s="16" t="str">
        <f t="shared" si="66"/>
        <v>Excellent</v>
      </c>
      <c r="X431" s="18" t="str" cm="1">
        <f t="array" ref="X431">_xlfn.IFS(O431&gt;7000,"Excellent",O431&gt;4000,"Good",O431&lt;4000,"Average")</f>
        <v>Excellent</v>
      </c>
      <c r="AD431" s="23" t="str">
        <f t="shared" si="67"/>
        <v>Not Eligible</v>
      </c>
      <c r="AE431" s="24" t="str">
        <f t="shared" si="68"/>
        <v>Online</v>
      </c>
      <c r="AF431" s="27" t="str">
        <f t="shared" si="69"/>
        <v>Priority Order</v>
      </c>
    </row>
    <row r="432" spans="1:32" x14ac:dyDescent="0.3">
      <c r="A432" s="2">
        <v>10431</v>
      </c>
      <c r="B432" s="2">
        <v>1687</v>
      </c>
      <c r="C432" s="3">
        <v>45139</v>
      </c>
      <c r="D432" s="3">
        <v>45146</v>
      </c>
      <c r="E432" s="2" t="s">
        <v>52</v>
      </c>
      <c r="F432" s="2" t="s">
        <v>44</v>
      </c>
      <c r="G432" s="2" t="s">
        <v>36</v>
      </c>
      <c r="H432" s="2" t="s">
        <v>41</v>
      </c>
      <c r="I432" s="2" t="s">
        <v>55</v>
      </c>
      <c r="J432" s="2" t="s">
        <v>57</v>
      </c>
      <c r="K432" s="2" t="s">
        <v>34</v>
      </c>
      <c r="L432" s="2">
        <v>6</v>
      </c>
      <c r="M432" s="2">
        <v>2247.37</v>
      </c>
      <c r="N432" s="2">
        <v>15</v>
      </c>
      <c r="O432" s="2">
        <v>11461.59</v>
      </c>
      <c r="P432" s="2">
        <f t="shared" si="60"/>
        <v>13484.22</v>
      </c>
      <c r="Q432" s="2">
        <f t="shared" si="61"/>
        <v>2022.6329999999998</v>
      </c>
      <c r="R432" s="2">
        <f t="shared" si="62"/>
        <v>11461.587</v>
      </c>
      <c r="S432" s="2" t="str">
        <f t="shared" si="63"/>
        <v>High</v>
      </c>
      <c r="T432" s="2" t="str" cm="1">
        <f t="array" ref="T432">_xlfn.IFS(L432&gt;5,"High",L432=5,"Medium",L432&lt;5,"Low")</f>
        <v>High</v>
      </c>
      <c r="U432" s="2" t="str">
        <f t="shared" si="64"/>
        <v>High</v>
      </c>
      <c r="V432" s="14" t="str">
        <f t="shared" si="65"/>
        <v>Heavy Discount</v>
      </c>
      <c r="W432" s="16" t="str">
        <f t="shared" si="66"/>
        <v>Excellent</v>
      </c>
      <c r="X432" s="18" t="str" cm="1">
        <f t="array" ref="X432">_xlfn.IFS(O432&gt;7000,"Excellent",O432&gt;4000,"Good",O432&lt;4000,"Average")</f>
        <v>Excellent</v>
      </c>
      <c r="AD432" s="23" t="str">
        <f t="shared" si="67"/>
        <v>Not Eligible</v>
      </c>
      <c r="AE432" s="24" t="str">
        <f t="shared" si="68"/>
        <v>Offline</v>
      </c>
      <c r="AF432" s="27" t="str">
        <f t="shared" si="69"/>
        <v>Priority Order</v>
      </c>
    </row>
    <row r="433" spans="1:32" x14ac:dyDescent="0.3">
      <c r="A433" s="2">
        <v>10432</v>
      </c>
      <c r="B433" s="2">
        <v>1459</v>
      </c>
      <c r="C433" s="3">
        <v>45142</v>
      </c>
      <c r="D433" s="3">
        <v>45148</v>
      </c>
      <c r="E433" s="2" t="s">
        <v>52</v>
      </c>
      <c r="F433" s="2" t="s">
        <v>47</v>
      </c>
      <c r="G433" s="2" t="s">
        <v>36</v>
      </c>
      <c r="H433" s="2" t="s">
        <v>24</v>
      </c>
      <c r="I433" s="2" t="s">
        <v>32</v>
      </c>
      <c r="J433" s="2" t="s">
        <v>67</v>
      </c>
      <c r="K433" s="2" t="s">
        <v>53</v>
      </c>
      <c r="L433" s="2">
        <v>9</v>
      </c>
      <c r="M433" s="2">
        <v>672.4</v>
      </c>
      <c r="N433" s="2">
        <v>10</v>
      </c>
      <c r="O433" s="2">
        <v>5446.44</v>
      </c>
      <c r="P433" s="2">
        <f t="shared" si="60"/>
        <v>6051.5999999999995</v>
      </c>
      <c r="Q433" s="2">
        <f t="shared" si="61"/>
        <v>605.16</v>
      </c>
      <c r="R433" s="2">
        <f t="shared" si="62"/>
        <v>5446.44</v>
      </c>
      <c r="S433" s="2" t="str">
        <f t="shared" si="63"/>
        <v>High</v>
      </c>
      <c r="T433" s="2" t="str" cm="1">
        <f t="array" ref="T433">_xlfn.IFS(L433&gt;5,"High",L433=5,"Medium",L433&lt;5,"Low")</f>
        <v>High</v>
      </c>
      <c r="U433" s="2" t="str">
        <f t="shared" si="64"/>
        <v>High</v>
      </c>
      <c r="V433" s="14" t="str">
        <f t="shared" si="65"/>
        <v>Normal Discount</v>
      </c>
      <c r="W433" s="16" t="str">
        <f t="shared" si="66"/>
        <v>Good</v>
      </c>
      <c r="X433" s="18" t="str" cm="1">
        <f t="array" ref="X433">_xlfn.IFS(O433&gt;7000,"Excellent",O433&gt;4000,"Good",O433&lt;4000,"Average")</f>
        <v>Good</v>
      </c>
      <c r="AD433" s="23" t="str">
        <f t="shared" si="67"/>
        <v>Not Eligible</v>
      </c>
      <c r="AE433" s="24" t="str">
        <f t="shared" si="68"/>
        <v>Offline</v>
      </c>
      <c r="AF433" s="27" t="str">
        <f t="shared" si="69"/>
        <v>Priority Order</v>
      </c>
    </row>
    <row r="434" spans="1:32" x14ac:dyDescent="0.3">
      <c r="A434" s="2">
        <v>10433</v>
      </c>
      <c r="B434" s="2">
        <v>1954</v>
      </c>
      <c r="C434" s="3">
        <v>45152</v>
      </c>
      <c r="D434" s="3">
        <v>45159</v>
      </c>
      <c r="E434" s="2" t="s">
        <v>21</v>
      </c>
      <c r="F434" s="2" t="s">
        <v>60</v>
      </c>
      <c r="G434" s="2" t="s">
        <v>23</v>
      </c>
      <c r="H434" s="2" t="s">
        <v>24</v>
      </c>
      <c r="I434" s="2" t="s">
        <v>55</v>
      </c>
      <c r="J434" s="2" t="s">
        <v>57</v>
      </c>
      <c r="K434" s="2" t="s">
        <v>39</v>
      </c>
      <c r="L434" s="2">
        <v>4</v>
      </c>
      <c r="M434" s="2">
        <v>3590.5</v>
      </c>
      <c r="N434" s="2">
        <v>0</v>
      </c>
      <c r="O434" s="2">
        <v>14362</v>
      </c>
      <c r="P434" s="2">
        <f t="shared" si="60"/>
        <v>14362</v>
      </c>
      <c r="Q434" s="2">
        <f t="shared" si="61"/>
        <v>0</v>
      </c>
      <c r="R434" s="2">
        <f t="shared" si="62"/>
        <v>14362</v>
      </c>
      <c r="S434" s="2" t="str">
        <f t="shared" si="63"/>
        <v>Low</v>
      </c>
      <c r="T434" s="2" t="str" cm="1">
        <f t="array" ref="T434">_xlfn.IFS(L434&gt;5,"High",L434=5,"Medium",L434&lt;5,"Low")</f>
        <v>Low</v>
      </c>
      <c r="U434" s="2" t="str">
        <f t="shared" si="64"/>
        <v>Low</v>
      </c>
      <c r="V434" s="14" t="str">
        <f t="shared" si="65"/>
        <v>Normal Discount</v>
      </c>
      <c r="W434" s="16" t="str">
        <f t="shared" si="66"/>
        <v>Excellent</v>
      </c>
      <c r="X434" s="18" t="str" cm="1">
        <f t="array" ref="X434">_xlfn.IFS(O434&gt;7000,"Excellent",O434&gt;4000,"Good",O434&lt;4000,"Average")</f>
        <v>Excellent</v>
      </c>
      <c r="AD434" s="23" t="str">
        <f t="shared" si="67"/>
        <v>Eligible</v>
      </c>
      <c r="AE434" s="24" t="str">
        <f t="shared" si="68"/>
        <v>Online</v>
      </c>
      <c r="AF434" s="27" t="str">
        <f t="shared" si="69"/>
        <v>Priority Order</v>
      </c>
    </row>
    <row r="435" spans="1:32" x14ac:dyDescent="0.3">
      <c r="A435" s="2">
        <v>10434</v>
      </c>
      <c r="B435" s="2">
        <v>1882</v>
      </c>
      <c r="C435" s="3">
        <v>45057</v>
      </c>
      <c r="D435" s="3">
        <v>45062</v>
      </c>
      <c r="E435" s="2" t="s">
        <v>52</v>
      </c>
      <c r="F435" s="2" t="s">
        <v>60</v>
      </c>
      <c r="G435" s="2" t="s">
        <v>30</v>
      </c>
      <c r="H435" s="2" t="s">
        <v>31</v>
      </c>
      <c r="I435" s="2" t="s">
        <v>25</v>
      </c>
      <c r="J435" s="2" t="s">
        <v>26</v>
      </c>
      <c r="K435" s="2" t="s">
        <v>51</v>
      </c>
      <c r="L435" s="2">
        <v>8</v>
      </c>
      <c r="M435" s="2">
        <v>437.36</v>
      </c>
      <c r="N435" s="2">
        <v>20</v>
      </c>
      <c r="O435" s="2">
        <v>2799.1</v>
      </c>
      <c r="P435" s="2">
        <f t="shared" si="60"/>
        <v>3498.88</v>
      </c>
      <c r="Q435" s="2">
        <f t="shared" si="61"/>
        <v>699.77600000000007</v>
      </c>
      <c r="R435" s="2">
        <f t="shared" si="62"/>
        <v>2799.1040000000003</v>
      </c>
      <c r="S435" s="2" t="str">
        <f t="shared" si="63"/>
        <v>High</v>
      </c>
      <c r="T435" s="2" t="str" cm="1">
        <f t="array" ref="T435">_xlfn.IFS(L435&gt;5,"High",L435=5,"Medium",L435&lt;5,"Low")</f>
        <v>High</v>
      </c>
      <c r="U435" s="2" t="str">
        <f t="shared" si="64"/>
        <v>High</v>
      </c>
      <c r="V435" s="14" t="str">
        <f t="shared" si="65"/>
        <v>Heavy Discount</v>
      </c>
      <c r="W435" s="16" t="str">
        <f t="shared" si="66"/>
        <v>Average</v>
      </c>
      <c r="X435" s="18" t="str" cm="1">
        <f t="array" ref="X435">_xlfn.IFS(O435&gt;7000,"Excellent",O435&gt;4000,"Good",O435&lt;4000,"Average")</f>
        <v>Average</v>
      </c>
      <c r="AD435" s="23" t="str">
        <f t="shared" si="67"/>
        <v>Not Eligible</v>
      </c>
      <c r="AE435" s="24" t="str">
        <f t="shared" si="68"/>
        <v>Online</v>
      </c>
      <c r="AF435" s="27" t="str">
        <f t="shared" si="69"/>
        <v>Priority Order</v>
      </c>
    </row>
    <row r="436" spans="1:32" x14ac:dyDescent="0.3">
      <c r="A436" s="2">
        <v>10435</v>
      </c>
      <c r="B436" s="2">
        <v>1469</v>
      </c>
      <c r="C436" s="3">
        <v>45002</v>
      </c>
      <c r="D436" s="3">
        <v>45009</v>
      </c>
      <c r="E436" s="2" t="s">
        <v>21</v>
      </c>
      <c r="F436" s="2" t="s">
        <v>35</v>
      </c>
      <c r="G436" s="2" t="s">
        <v>30</v>
      </c>
      <c r="H436" s="2" t="s">
        <v>50</v>
      </c>
      <c r="I436" s="2" t="s">
        <v>58</v>
      </c>
      <c r="J436" s="2" t="s">
        <v>62</v>
      </c>
      <c r="K436" s="2" t="s">
        <v>27</v>
      </c>
      <c r="L436" s="2">
        <v>3</v>
      </c>
      <c r="M436" s="2">
        <v>3644.78</v>
      </c>
      <c r="N436" s="2">
        <v>0</v>
      </c>
      <c r="O436" s="2">
        <v>10934.34</v>
      </c>
      <c r="P436" s="2">
        <f t="shared" si="60"/>
        <v>10934.34</v>
      </c>
      <c r="Q436" s="2">
        <f t="shared" si="61"/>
        <v>0</v>
      </c>
      <c r="R436" s="2">
        <f t="shared" si="62"/>
        <v>10934.34</v>
      </c>
      <c r="S436" s="2" t="str">
        <f t="shared" si="63"/>
        <v>Low</v>
      </c>
      <c r="T436" s="2" t="str" cm="1">
        <f t="array" ref="T436">_xlfn.IFS(L436&gt;5,"High",L436=5,"Medium",L436&lt;5,"Low")</f>
        <v>Low</v>
      </c>
      <c r="U436" s="2" t="str">
        <f t="shared" si="64"/>
        <v>Low</v>
      </c>
      <c r="V436" s="14" t="str">
        <f t="shared" si="65"/>
        <v>Normal Discount</v>
      </c>
      <c r="W436" s="16" t="str">
        <f t="shared" si="66"/>
        <v>Excellent</v>
      </c>
      <c r="X436" s="18" t="str" cm="1">
        <f t="array" ref="X436">_xlfn.IFS(O436&gt;7000,"Excellent",O436&gt;4000,"Good",O436&lt;4000,"Average")</f>
        <v>Excellent</v>
      </c>
      <c r="AD436" s="23" t="str">
        <f t="shared" si="67"/>
        <v>Eligible</v>
      </c>
      <c r="AE436" s="24" t="str">
        <f t="shared" si="68"/>
        <v>Online</v>
      </c>
      <c r="AF436" s="27" t="str">
        <f t="shared" si="69"/>
        <v>Priority Order</v>
      </c>
    </row>
    <row r="437" spans="1:32" x14ac:dyDescent="0.3">
      <c r="A437" s="2">
        <v>10436</v>
      </c>
      <c r="B437" s="2">
        <v>1374</v>
      </c>
      <c r="C437" s="3">
        <v>45212</v>
      </c>
      <c r="D437" s="3">
        <v>45213</v>
      </c>
      <c r="E437" s="2" t="s">
        <v>21</v>
      </c>
      <c r="F437" s="2" t="s">
        <v>29</v>
      </c>
      <c r="G437" s="2" t="s">
        <v>36</v>
      </c>
      <c r="H437" s="2" t="s">
        <v>24</v>
      </c>
      <c r="I437" s="2" t="s">
        <v>58</v>
      </c>
      <c r="J437" s="2" t="s">
        <v>66</v>
      </c>
      <c r="K437" s="2" t="s">
        <v>27</v>
      </c>
      <c r="L437" s="2">
        <v>3</v>
      </c>
      <c r="M437" s="2">
        <v>3986.78</v>
      </c>
      <c r="N437" s="2">
        <v>20</v>
      </c>
      <c r="O437" s="2">
        <v>9568.27</v>
      </c>
      <c r="P437" s="2">
        <f t="shared" si="60"/>
        <v>11960.34</v>
      </c>
      <c r="Q437" s="2">
        <f t="shared" si="61"/>
        <v>2392.0680000000002</v>
      </c>
      <c r="R437" s="2">
        <f t="shared" si="62"/>
        <v>9568.2720000000008</v>
      </c>
      <c r="S437" s="2" t="str">
        <f t="shared" si="63"/>
        <v>Low</v>
      </c>
      <c r="T437" s="2" t="str" cm="1">
        <f t="array" ref="T437">_xlfn.IFS(L437&gt;5,"High",L437=5,"Medium",L437&lt;5,"Low")</f>
        <v>Low</v>
      </c>
      <c r="U437" s="2" t="str">
        <f t="shared" si="64"/>
        <v>Low</v>
      </c>
      <c r="V437" s="14" t="str">
        <f t="shared" si="65"/>
        <v>Heavy Discount</v>
      </c>
      <c r="W437" s="16" t="str">
        <f t="shared" si="66"/>
        <v>Excellent</v>
      </c>
      <c r="X437" s="18" t="str" cm="1">
        <f t="array" ref="X437">_xlfn.IFS(O437&gt;7000,"Excellent",O437&gt;4000,"Good",O437&lt;4000,"Average")</f>
        <v>Excellent</v>
      </c>
      <c r="AD437" s="23" t="str">
        <f t="shared" si="67"/>
        <v>Not Eligible</v>
      </c>
      <c r="AE437" s="24" t="str">
        <f t="shared" si="68"/>
        <v>Offline</v>
      </c>
      <c r="AF437" s="27" t="str">
        <f t="shared" si="69"/>
        <v>Priority Order</v>
      </c>
    </row>
    <row r="438" spans="1:32" x14ac:dyDescent="0.3">
      <c r="A438" s="2">
        <v>10437</v>
      </c>
      <c r="B438" s="2">
        <v>1021</v>
      </c>
      <c r="C438" s="3">
        <v>45203</v>
      </c>
      <c r="D438" s="3">
        <v>45204</v>
      </c>
      <c r="E438" s="2" t="s">
        <v>28</v>
      </c>
      <c r="F438" s="2" t="s">
        <v>44</v>
      </c>
      <c r="G438" s="2" t="s">
        <v>36</v>
      </c>
      <c r="H438" s="2" t="s">
        <v>41</v>
      </c>
      <c r="I438" s="2" t="s">
        <v>63</v>
      </c>
      <c r="J438" s="2" t="s">
        <v>68</v>
      </c>
      <c r="K438" s="2" t="s">
        <v>27</v>
      </c>
      <c r="L438" s="2">
        <v>8</v>
      </c>
      <c r="M438" s="2">
        <v>2846.66</v>
      </c>
      <c r="N438" s="2">
        <v>15</v>
      </c>
      <c r="O438" s="2">
        <v>19357.29</v>
      </c>
      <c r="P438" s="2">
        <f t="shared" si="60"/>
        <v>22773.279999999999</v>
      </c>
      <c r="Q438" s="2">
        <f t="shared" si="61"/>
        <v>3415.9919999999997</v>
      </c>
      <c r="R438" s="2">
        <f t="shared" si="62"/>
        <v>19357.288</v>
      </c>
      <c r="S438" s="2" t="str">
        <f t="shared" si="63"/>
        <v>High</v>
      </c>
      <c r="T438" s="2" t="str" cm="1">
        <f t="array" ref="T438">_xlfn.IFS(L438&gt;5,"High",L438=5,"Medium",L438&lt;5,"Low")</f>
        <v>High</v>
      </c>
      <c r="U438" s="2" t="str">
        <f t="shared" si="64"/>
        <v>High</v>
      </c>
      <c r="V438" s="14" t="str">
        <f t="shared" si="65"/>
        <v>Heavy Discount</v>
      </c>
      <c r="W438" s="16" t="str">
        <f t="shared" si="66"/>
        <v>Excellent</v>
      </c>
      <c r="X438" s="18" t="str" cm="1">
        <f t="array" ref="X438">_xlfn.IFS(O438&gt;7000,"Excellent",O438&gt;4000,"Good",O438&lt;4000,"Average")</f>
        <v>Excellent</v>
      </c>
      <c r="AD438" s="23" t="str">
        <f t="shared" si="67"/>
        <v>Not Eligible</v>
      </c>
      <c r="AE438" s="24" t="str">
        <f t="shared" si="68"/>
        <v>Offline</v>
      </c>
      <c r="AF438" s="27" t="str">
        <f t="shared" si="69"/>
        <v>Priority Order</v>
      </c>
    </row>
    <row r="439" spans="1:32" x14ac:dyDescent="0.3">
      <c r="A439" s="2">
        <v>10438</v>
      </c>
      <c r="B439" s="2">
        <v>1749</v>
      </c>
      <c r="C439" s="3">
        <v>45082</v>
      </c>
      <c r="D439" s="3">
        <v>45091</v>
      </c>
      <c r="E439" s="2" t="s">
        <v>52</v>
      </c>
      <c r="F439" s="2" t="s">
        <v>29</v>
      </c>
      <c r="G439" s="2" t="s">
        <v>36</v>
      </c>
      <c r="H439" s="2" t="s">
        <v>24</v>
      </c>
      <c r="I439" s="2" t="s">
        <v>32</v>
      </c>
      <c r="J439" s="2" t="s">
        <v>67</v>
      </c>
      <c r="K439" s="2" t="s">
        <v>53</v>
      </c>
      <c r="L439" s="2">
        <v>5</v>
      </c>
      <c r="M439" s="2">
        <v>3116.22</v>
      </c>
      <c r="N439" s="2">
        <v>10</v>
      </c>
      <c r="O439" s="2">
        <v>14022.99</v>
      </c>
      <c r="P439" s="2">
        <f t="shared" si="60"/>
        <v>15581.099999999999</v>
      </c>
      <c r="Q439" s="2">
        <f t="shared" si="61"/>
        <v>1558.11</v>
      </c>
      <c r="R439" s="2">
        <f t="shared" si="62"/>
        <v>14022.989999999998</v>
      </c>
      <c r="S439" s="2" t="str">
        <f t="shared" si="63"/>
        <v>High</v>
      </c>
      <c r="T439" s="2" t="str" cm="1">
        <f t="array" ref="T439">_xlfn.IFS(L439&gt;5,"High",L439=5,"Medium",L439&lt;5,"Low")</f>
        <v>Medium</v>
      </c>
      <c r="U439" s="2" t="str">
        <f t="shared" si="64"/>
        <v>Medium</v>
      </c>
      <c r="V439" s="14" t="str">
        <f t="shared" si="65"/>
        <v>Normal Discount</v>
      </c>
      <c r="W439" s="16" t="str">
        <f t="shared" si="66"/>
        <v>Excellent</v>
      </c>
      <c r="X439" s="18" t="str" cm="1">
        <f t="array" ref="X439">_xlfn.IFS(O439&gt;7000,"Excellent",O439&gt;4000,"Good",O439&lt;4000,"Average")</f>
        <v>Excellent</v>
      </c>
      <c r="AD439" s="23" t="str">
        <f t="shared" si="67"/>
        <v>Not Eligible</v>
      </c>
      <c r="AE439" s="24" t="str">
        <f t="shared" si="68"/>
        <v>Offline</v>
      </c>
      <c r="AF439" s="27" t="str">
        <f t="shared" si="69"/>
        <v>Priority Order</v>
      </c>
    </row>
    <row r="440" spans="1:32" x14ac:dyDescent="0.3">
      <c r="A440" s="2">
        <v>10439</v>
      </c>
      <c r="B440" s="2">
        <v>1669</v>
      </c>
      <c r="C440" s="3">
        <v>45174</v>
      </c>
      <c r="D440" s="3">
        <v>45179</v>
      </c>
      <c r="E440" s="2" t="s">
        <v>40</v>
      </c>
      <c r="F440" s="2" t="s">
        <v>35</v>
      </c>
      <c r="G440" s="2" t="s">
        <v>30</v>
      </c>
      <c r="H440" s="2" t="s">
        <v>41</v>
      </c>
      <c r="I440" s="2" t="s">
        <v>55</v>
      </c>
      <c r="J440" s="2" t="s">
        <v>57</v>
      </c>
      <c r="K440" s="2" t="s">
        <v>34</v>
      </c>
      <c r="L440" s="2">
        <v>3</v>
      </c>
      <c r="M440" s="2">
        <v>1448.62</v>
      </c>
      <c r="N440" s="2">
        <v>10</v>
      </c>
      <c r="O440" s="2">
        <v>3911.27</v>
      </c>
      <c r="P440" s="2">
        <f t="shared" si="60"/>
        <v>4345.8599999999997</v>
      </c>
      <c r="Q440" s="2">
        <f t="shared" si="61"/>
        <v>434.58600000000001</v>
      </c>
      <c r="R440" s="2">
        <f t="shared" si="62"/>
        <v>3911.2739999999994</v>
      </c>
      <c r="S440" s="2" t="str">
        <f t="shared" si="63"/>
        <v>Low</v>
      </c>
      <c r="T440" s="2" t="str" cm="1">
        <f t="array" ref="T440">_xlfn.IFS(L440&gt;5,"High",L440=5,"Medium",L440&lt;5,"Low")</f>
        <v>Low</v>
      </c>
      <c r="U440" s="2" t="str">
        <f t="shared" si="64"/>
        <v>Low</v>
      </c>
      <c r="V440" s="14" t="str">
        <f t="shared" si="65"/>
        <v>Normal Discount</v>
      </c>
      <c r="W440" s="16" t="str">
        <f t="shared" si="66"/>
        <v>Average</v>
      </c>
      <c r="X440" s="18" t="str" cm="1">
        <f t="array" ref="X440">_xlfn.IFS(O440&gt;7000,"Excellent",O440&gt;4000,"Good",O440&lt;4000,"Average")</f>
        <v>Average</v>
      </c>
      <c r="AD440" s="23" t="str">
        <f t="shared" si="67"/>
        <v>Not Eligible</v>
      </c>
      <c r="AE440" s="24" t="str">
        <f t="shared" si="68"/>
        <v>Online</v>
      </c>
      <c r="AF440" s="27" t="str">
        <f t="shared" si="69"/>
        <v>Normal Order</v>
      </c>
    </row>
    <row r="441" spans="1:32" x14ac:dyDescent="0.3">
      <c r="A441" s="2">
        <v>10440</v>
      </c>
      <c r="B441" s="2">
        <v>1037</v>
      </c>
      <c r="C441" s="3">
        <v>45144</v>
      </c>
      <c r="D441" s="3">
        <v>45149</v>
      </c>
      <c r="E441" s="2" t="s">
        <v>43</v>
      </c>
      <c r="F441" s="2" t="s">
        <v>60</v>
      </c>
      <c r="G441" s="2" t="s">
        <v>23</v>
      </c>
      <c r="H441" s="2" t="s">
        <v>48</v>
      </c>
      <c r="I441" s="2" t="s">
        <v>55</v>
      </c>
      <c r="J441" s="2" t="s">
        <v>56</v>
      </c>
      <c r="K441" s="2" t="s">
        <v>39</v>
      </c>
      <c r="L441" s="2">
        <v>1</v>
      </c>
      <c r="M441" s="2">
        <v>3775.07</v>
      </c>
      <c r="N441" s="2">
        <v>10</v>
      </c>
      <c r="O441" s="2">
        <v>3397.56</v>
      </c>
      <c r="P441" s="2">
        <f t="shared" si="60"/>
        <v>3775.07</v>
      </c>
      <c r="Q441" s="2">
        <f t="shared" si="61"/>
        <v>377.50700000000006</v>
      </c>
      <c r="R441" s="2">
        <f t="shared" si="62"/>
        <v>3397.5630000000001</v>
      </c>
      <c r="S441" s="2" t="str">
        <f t="shared" si="63"/>
        <v>Low</v>
      </c>
      <c r="T441" s="2" t="str" cm="1">
        <f t="array" ref="T441">_xlfn.IFS(L441&gt;5,"High",L441=5,"Medium",L441&lt;5,"Low")</f>
        <v>Low</v>
      </c>
      <c r="U441" s="2" t="str">
        <f t="shared" si="64"/>
        <v>Low</v>
      </c>
      <c r="V441" s="14" t="str">
        <f t="shared" si="65"/>
        <v>Normal Discount</v>
      </c>
      <c r="W441" s="16" t="str">
        <f t="shared" si="66"/>
        <v>Average</v>
      </c>
      <c r="X441" s="18" t="str" cm="1">
        <f t="array" ref="X441">_xlfn.IFS(O441&gt;7000,"Excellent",O441&gt;4000,"Good",O441&lt;4000,"Average")</f>
        <v>Average</v>
      </c>
      <c r="AD441" s="23" t="str">
        <f t="shared" si="67"/>
        <v>Not Eligible</v>
      </c>
      <c r="AE441" s="24" t="str">
        <f t="shared" si="68"/>
        <v>Online</v>
      </c>
      <c r="AF441" s="27" t="str">
        <f t="shared" si="69"/>
        <v>Normal Order</v>
      </c>
    </row>
    <row r="442" spans="1:32" x14ac:dyDescent="0.3">
      <c r="A442" s="2">
        <v>10441</v>
      </c>
      <c r="B442" s="2">
        <v>1229</v>
      </c>
      <c r="C442" s="3">
        <v>45116</v>
      </c>
      <c r="D442" s="3">
        <v>45119</v>
      </c>
      <c r="E442" s="2" t="s">
        <v>22</v>
      </c>
      <c r="F442" s="2" t="s">
        <v>29</v>
      </c>
      <c r="G442" s="2" t="s">
        <v>23</v>
      </c>
      <c r="H442" s="2" t="s">
        <v>48</v>
      </c>
      <c r="I442" s="2" t="s">
        <v>37</v>
      </c>
      <c r="J442" s="2" t="s">
        <v>71</v>
      </c>
      <c r="K442" s="2" t="s">
        <v>51</v>
      </c>
      <c r="L442" s="2">
        <v>3</v>
      </c>
      <c r="M442" s="2">
        <v>2189.4</v>
      </c>
      <c r="N442" s="2">
        <v>20</v>
      </c>
      <c r="O442" s="2">
        <v>5254.56</v>
      </c>
      <c r="P442" s="2">
        <f t="shared" si="60"/>
        <v>6568.2000000000007</v>
      </c>
      <c r="Q442" s="2">
        <f t="shared" si="61"/>
        <v>1313.6400000000003</v>
      </c>
      <c r="R442" s="2">
        <f t="shared" si="62"/>
        <v>5254.56</v>
      </c>
      <c r="S442" s="2" t="str">
        <f t="shared" si="63"/>
        <v>Low</v>
      </c>
      <c r="T442" s="2" t="str" cm="1">
        <f t="array" ref="T442">_xlfn.IFS(L442&gt;5,"High",L442=5,"Medium",L442&lt;5,"Low")</f>
        <v>Low</v>
      </c>
      <c r="U442" s="2" t="str">
        <f t="shared" si="64"/>
        <v>Low</v>
      </c>
      <c r="V442" s="14" t="str">
        <f t="shared" si="65"/>
        <v>Heavy Discount</v>
      </c>
      <c r="W442" s="16" t="str">
        <f t="shared" si="66"/>
        <v>Good</v>
      </c>
      <c r="X442" s="18" t="str" cm="1">
        <f t="array" ref="X442">_xlfn.IFS(O442&gt;7000,"Excellent",O442&gt;4000,"Good",O442&lt;4000,"Average")</f>
        <v>Good</v>
      </c>
      <c r="AD442" s="23" t="str">
        <f t="shared" si="67"/>
        <v>Not Eligible</v>
      </c>
      <c r="AE442" s="24" t="str">
        <f t="shared" si="68"/>
        <v>Online</v>
      </c>
      <c r="AF442" s="27" t="str">
        <f t="shared" si="69"/>
        <v>Normal Order</v>
      </c>
    </row>
    <row r="443" spans="1:32" x14ac:dyDescent="0.3">
      <c r="A443" s="2">
        <v>10442</v>
      </c>
      <c r="B443" s="2">
        <v>1364</v>
      </c>
      <c r="C443" s="3">
        <v>45089</v>
      </c>
      <c r="D443" s="3">
        <v>45094</v>
      </c>
      <c r="E443" s="2" t="s">
        <v>21</v>
      </c>
      <c r="F443" s="2" t="s">
        <v>29</v>
      </c>
      <c r="G443" s="2" t="s">
        <v>30</v>
      </c>
      <c r="H443" s="2" t="s">
        <v>41</v>
      </c>
      <c r="I443" s="2" t="s">
        <v>63</v>
      </c>
      <c r="J443" s="2" t="s">
        <v>64</v>
      </c>
      <c r="K443" s="2" t="s">
        <v>51</v>
      </c>
      <c r="L443" s="2">
        <v>9</v>
      </c>
      <c r="M443" s="2">
        <v>2969.7</v>
      </c>
      <c r="N443" s="2">
        <v>10</v>
      </c>
      <c r="O443" s="2">
        <v>24054.57</v>
      </c>
      <c r="P443" s="2">
        <f t="shared" si="60"/>
        <v>26727.3</v>
      </c>
      <c r="Q443" s="2">
        <f t="shared" si="61"/>
        <v>2672.73</v>
      </c>
      <c r="R443" s="2">
        <f t="shared" si="62"/>
        <v>24054.57</v>
      </c>
      <c r="S443" s="2" t="str">
        <f t="shared" si="63"/>
        <v>High</v>
      </c>
      <c r="T443" s="2" t="str" cm="1">
        <f t="array" ref="T443">_xlfn.IFS(L443&gt;5,"High",L443=5,"Medium",L443&lt;5,"Low")</f>
        <v>High</v>
      </c>
      <c r="U443" s="2" t="str">
        <f t="shared" si="64"/>
        <v>High</v>
      </c>
      <c r="V443" s="14" t="str">
        <f t="shared" si="65"/>
        <v>Normal Discount</v>
      </c>
      <c r="W443" s="16" t="str">
        <f t="shared" si="66"/>
        <v>Excellent</v>
      </c>
      <c r="X443" s="18" t="str" cm="1">
        <f t="array" ref="X443">_xlfn.IFS(O443&gt;7000,"Excellent",O443&gt;4000,"Good",O443&lt;4000,"Average")</f>
        <v>Excellent</v>
      </c>
      <c r="AD443" s="23" t="str">
        <f t="shared" si="67"/>
        <v>Not Eligible</v>
      </c>
      <c r="AE443" s="24" t="str">
        <f t="shared" si="68"/>
        <v>Online</v>
      </c>
      <c r="AF443" s="27" t="str">
        <f t="shared" si="69"/>
        <v>Priority Order</v>
      </c>
    </row>
    <row r="444" spans="1:32" x14ac:dyDescent="0.3">
      <c r="A444" s="2">
        <v>10443</v>
      </c>
      <c r="B444" s="2">
        <v>1562</v>
      </c>
      <c r="C444" s="3">
        <v>45106</v>
      </c>
      <c r="D444" s="3">
        <v>45109</v>
      </c>
      <c r="E444" s="2" t="s">
        <v>46</v>
      </c>
      <c r="F444" s="2" t="s">
        <v>60</v>
      </c>
      <c r="G444" s="2" t="s">
        <v>23</v>
      </c>
      <c r="H444" s="2" t="s">
        <v>50</v>
      </c>
      <c r="I444" s="2" t="s">
        <v>37</v>
      </c>
      <c r="J444" s="2" t="s">
        <v>71</v>
      </c>
      <c r="K444" s="2" t="s">
        <v>53</v>
      </c>
      <c r="L444" s="2">
        <v>5</v>
      </c>
      <c r="M444" s="2">
        <v>3707.81</v>
      </c>
      <c r="N444" s="2">
        <v>0</v>
      </c>
      <c r="O444" s="2">
        <v>18539.05</v>
      </c>
      <c r="P444" s="2">
        <f t="shared" si="60"/>
        <v>18539.05</v>
      </c>
      <c r="Q444" s="2">
        <f t="shared" si="61"/>
        <v>0</v>
      </c>
      <c r="R444" s="2">
        <f t="shared" si="62"/>
        <v>18539.05</v>
      </c>
      <c r="S444" s="2" t="str">
        <f t="shared" si="63"/>
        <v>High</v>
      </c>
      <c r="T444" s="2" t="str" cm="1">
        <f t="array" ref="T444">_xlfn.IFS(L444&gt;5,"High",L444=5,"Medium",L444&lt;5,"Low")</f>
        <v>Medium</v>
      </c>
      <c r="U444" s="2" t="str">
        <f t="shared" si="64"/>
        <v>Medium</v>
      </c>
      <c r="V444" s="14" t="str">
        <f t="shared" si="65"/>
        <v>Normal Discount</v>
      </c>
      <c r="W444" s="16" t="str">
        <f t="shared" si="66"/>
        <v>Excellent</v>
      </c>
      <c r="X444" s="18" t="str" cm="1">
        <f t="array" ref="X444">_xlfn.IFS(O444&gt;7000,"Excellent",O444&gt;4000,"Good",O444&lt;4000,"Average")</f>
        <v>Excellent</v>
      </c>
      <c r="AD444" s="23" t="str">
        <f t="shared" si="67"/>
        <v>Eligible</v>
      </c>
      <c r="AE444" s="24" t="str">
        <f t="shared" si="68"/>
        <v>Online</v>
      </c>
      <c r="AF444" s="27" t="str">
        <f t="shared" si="69"/>
        <v>Priority Order</v>
      </c>
    </row>
    <row r="445" spans="1:32" x14ac:dyDescent="0.3">
      <c r="A445" s="2">
        <v>10444</v>
      </c>
      <c r="B445" s="2">
        <v>1437</v>
      </c>
      <c r="C445" s="3">
        <v>44960</v>
      </c>
      <c r="D445" s="3">
        <v>44969</v>
      </c>
      <c r="E445" s="2" t="s">
        <v>46</v>
      </c>
      <c r="F445" s="2" t="s">
        <v>44</v>
      </c>
      <c r="G445" s="2" t="s">
        <v>36</v>
      </c>
      <c r="H445" s="2" t="s">
        <v>24</v>
      </c>
      <c r="I445" s="2" t="s">
        <v>37</v>
      </c>
      <c r="J445" s="2" t="s">
        <v>38</v>
      </c>
      <c r="K445" s="2" t="s">
        <v>27</v>
      </c>
      <c r="L445" s="2">
        <v>2</v>
      </c>
      <c r="M445" s="2">
        <v>3904.44</v>
      </c>
      <c r="N445" s="2">
        <v>10</v>
      </c>
      <c r="O445" s="2">
        <v>7027.99</v>
      </c>
      <c r="P445" s="2">
        <f t="shared" si="60"/>
        <v>7808.88</v>
      </c>
      <c r="Q445" s="2">
        <f t="shared" si="61"/>
        <v>780.88800000000003</v>
      </c>
      <c r="R445" s="2">
        <f t="shared" si="62"/>
        <v>7027.9920000000002</v>
      </c>
      <c r="S445" s="2" t="str">
        <f t="shared" si="63"/>
        <v>Low</v>
      </c>
      <c r="T445" s="2" t="str" cm="1">
        <f t="array" ref="T445">_xlfn.IFS(L445&gt;5,"High",L445=5,"Medium",L445&lt;5,"Low")</f>
        <v>Low</v>
      </c>
      <c r="U445" s="2" t="str">
        <f t="shared" si="64"/>
        <v>Low</v>
      </c>
      <c r="V445" s="14" t="str">
        <f t="shared" si="65"/>
        <v>Normal Discount</v>
      </c>
      <c r="W445" s="16" t="str">
        <f t="shared" si="66"/>
        <v>Excellent</v>
      </c>
      <c r="X445" s="18" t="str" cm="1">
        <f t="array" ref="X445">_xlfn.IFS(O445&gt;7000,"Excellent",O445&gt;4000,"Good",O445&lt;4000,"Average")</f>
        <v>Excellent</v>
      </c>
      <c r="AD445" s="23" t="str">
        <f t="shared" si="67"/>
        <v>Not Eligible</v>
      </c>
      <c r="AE445" s="24" t="str">
        <f t="shared" si="68"/>
        <v>Offline</v>
      </c>
      <c r="AF445" s="27" t="str">
        <f t="shared" si="69"/>
        <v>Priority Order</v>
      </c>
    </row>
    <row r="446" spans="1:32" x14ac:dyDescent="0.3">
      <c r="A446" s="2">
        <v>10445</v>
      </c>
      <c r="B446" s="2">
        <v>1775</v>
      </c>
      <c r="C446" s="3">
        <v>44967</v>
      </c>
      <c r="D446" s="3">
        <v>44976</v>
      </c>
      <c r="E446" s="2" t="s">
        <v>43</v>
      </c>
      <c r="F446" s="2" t="s">
        <v>60</v>
      </c>
      <c r="G446" s="2" t="s">
        <v>23</v>
      </c>
      <c r="H446" s="2" t="s">
        <v>24</v>
      </c>
      <c r="I446" s="2" t="s">
        <v>37</v>
      </c>
      <c r="J446" s="2" t="s">
        <v>54</v>
      </c>
      <c r="K446" s="2" t="s">
        <v>53</v>
      </c>
      <c r="L446" s="2">
        <v>7</v>
      </c>
      <c r="M446" s="2">
        <v>3357.84</v>
      </c>
      <c r="N446" s="2">
        <v>15</v>
      </c>
      <c r="O446" s="2">
        <v>19979.150000000001</v>
      </c>
      <c r="P446" s="2">
        <f t="shared" si="60"/>
        <v>23504.880000000001</v>
      </c>
      <c r="Q446" s="2">
        <f t="shared" si="61"/>
        <v>3525.732</v>
      </c>
      <c r="R446" s="2">
        <f t="shared" si="62"/>
        <v>19979.148000000001</v>
      </c>
      <c r="S446" s="2" t="str">
        <f t="shared" si="63"/>
        <v>High</v>
      </c>
      <c r="T446" s="2" t="str" cm="1">
        <f t="array" ref="T446">_xlfn.IFS(L446&gt;5,"High",L446=5,"Medium",L446&lt;5,"Low")</f>
        <v>High</v>
      </c>
      <c r="U446" s="2" t="str">
        <f t="shared" si="64"/>
        <v>High</v>
      </c>
      <c r="V446" s="14" t="str">
        <f t="shared" si="65"/>
        <v>Heavy Discount</v>
      </c>
      <c r="W446" s="16" t="str">
        <f t="shared" si="66"/>
        <v>Excellent</v>
      </c>
      <c r="X446" s="18" t="str" cm="1">
        <f t="array" ref="X446">_xlfn.IFS(O446&gt;7000,"Excellent",O446&gt;4000,"Good",O446&lt;4000,"Average")</f>
        <v>Excellent</v>
      </c>
      <c r="AD446" s="23" t="str">
        <f t="shared" si="67"/>
        <v>Not Eligible</v>
      </c>
      <c r="AE446" s="24" t="str">
        <f t="shared" si="68"/>
        <v>Online</v>
      </c>
      <c r="AF446" s="27" t="str">
        <f t="shared" si="69"/>
        <v>Priority Order</v>
      </c>
    </row>
    <row r="447" spans="1:32" x14ac:dyDescent="0.3">
      <c r="A447" s="2">
        <v>10446</v>
      </c>
      <c r="B447" s="2">
        <v>1282</v>
      </c>
      <c r="C447" s="3">
        <v>45233</v>
      </c>
      <c r="D447" s="3">
        <v>45239</v>
      </c>
      <c r="E447" s="2" t="s">
        <v>46</v>
      </c>
      <c r="F447" s="2" t="s">
        <v>29</v>
      </c>
      <c r="G447" s="2" t="s">
        <v>23</v>
      </c>
      <c r="H447" s="2" t="s">
        <v>48</v>
      </c>
      <c r="I447" s="2" t="s">
        <v>32</v>
      </c>
      <c r="J447" s="2" t="s">
        <v>33</v>
      </c>
      <c r="K447" s="2" t="s">
        <v>34</v>
      </c>
      <c r="L447" s="2">
        <v>2</v>
      </c>
      <c r="M447" s="2">
        <v>1316.62</v>
      </c>
      <c r="N447" s="2">
        <v>0</v>
      </c>
      <c r="O447" s="2">
        <v>2633.24</v>
      </c>
      <c r="P447" s="2">
        <f t="shared" si="60"/>
        <v>2633.24</v>
      </c>
      <c r="Q447" s="2">
        <f t="shared" si="61"/>
        <v>0</v>
      </c>
      <c r="R447" s="2">
        <f t="shared" si="62"/>
        <v>2633.24</v>
      </c>
      <c r="S447" s="2" t="str">
        <f t="shared" si="63"/>
        <v>Low</v>
      </c>
      <c r="T447" s="2" t="str" cm="1">
        <f t="array" ref="T447">_xlfn.IFS(L447&gt;5,"High",L447=5,"Medium",L447&lt;5,"Low")</f>
        <v>Low</v>
      </c>
      <c r="U447" s="2" t="str">
        <f t="shared" si="64"/>
        <v>Low</v>
      </c>
      <c r="V447" s="14" t="str">
        <f t="shared" si="65"/>
        <v>Normal Discount</v>
      </c>
      <c r="W447" s="16" t="str">
        <f t="shared" si="66"/>
        <v>Average</v>
      </c>
      <c r="X447" s="18" t="str" cm="1">
        <f t="array" ref="X447">_xlfn.IFS(O447&gt;7000,"Excellent",O447&gt;4000,"Good",O447&lt;4000,"Average")</f>
        <v>Average</v>
      </c>
      <c r="AD447" s="23" t="str">
        <f t="shared" si="67"/>
        <v>Not Eligible</v>
      </c>
      <c r="AE447" s="24" t="str">
        <f t="shared" si="68"/>
        <v>Online</v>
      </c>
      <c r="AF447" s="27" t="str">
        <f t="shared" si="69"/>
        <v>Normal Order</v>
      </c>
    </row>
    <row r="448" spans="1:32" x14ac:dyDescent="0.3">
      <c r="A448" s="2">
        <v>10447</v>
      </c>
      <c r="B448" s="2">
        <v>1026</v>
      </c>
      <c r="C448" s="3">
        <v>45264</v>
      </c>
      <c r="D448" s="3">
        <v>45265</v>
      </c>
      <c r="E448" s="2" t="s">
        <v>40</v>
      </c>
      <c r="F448" s="2" t="s">
        <v>44</v>
      </c>
      <c r="G448" s="2" t="s">
        <v>23</v>
      </c>
      <c r="H448" s="2" t="s">
        <v>41</v>
      </c>
      <c r="I448" s="2" t="s">
        <v>32</v>
      </c>
      <c r="J448" s="2" t="s">
        <v>75</v>
      </c>
      <c r="K448" s="2" t="s">
        <v>34</v>
      </c>
      <c r="L448" s="2">
        <v>4</v>
      </c>
      <c r="M448" s="2">
        <v>3871.21</v>
      </c>
      <c r="N448" s="2">
        <v>10</v>
      </c>
      <c r="O448" s="2">
        <v>13936.36</v>
      </c>
      <c r="P448" s="2">
        <f t="shared" si="60"/>
        <v>15484.84</v>
      </c>
      <c r="Q448" s="2">
        <f t="shared" si="61"/>
        <v>1548.4840000000002</v>
      </c>
      <c r="R448" s="2">
        <f t="shared" si="62"/>
        <v>13936.356</v>
      </c>
      <c r="S448" s="2" t="str">
        <f t="shared" si="63"/>
        <v>Low</v>
      </c>
      <c r="T448" s="2" t="str" cm="1">
        <f t="array" ref="T448">_xlfn.IFS(L448&gt;5,"High",L448=5,"Medium",L448&lt;5,"Low")</f>
        <v>Low</v>
      </c>
      <c r="U448" s="2" t="str">
        <f t="shared" si="64"/>
        <v>Low</v>
      </c>
      <c r="V448" s="14" t="str">
        <f t="shared" si="65"/>
        <v>Normal Discount</v>
      </c>
      <c r="W448" s="16" t="str">
        <f t="shared" si="66"/>
        <v>Excellent</v>
      </c>
      <c r="X448" s="18" t="str" cm="1">
        <f t="array" ref="X448">_xlfn.IFS(O448&gt;7000,"Excellent",O448&gt;4000,"Good",O448&lt;4000,"Average")</f>
        <v>Excellent</v>
      </c>
      <c r="AD448" s="23" t="str">
        <f t="shared" si="67"/>
        <v>Not Eligible</v>
      </c>
      <c r="AE448" s="24" t="str">
        <f t="shared" si="68"/>
        <v>Online</v>
      </c>
      <c r="AF448" s="27" t="str">
        <f t="shared" si="69"/>
        <v>Priority Order</v>
      </c>
    </row>
    <row r="449" spans="1:32" x14ac:dyDescent="0.3">
      <c r="A449" s="2">
        <v>10448</v>
      </c>
      <c r="B449" s="2">
        <v>1225</v>
      </c>
      <c r="C449" s="3">
        <v>45240</v>
      </c>
      <c r="D449" s="3">
        <v>45247</v>
      </c>
      <c r="E449" s="2" t="s">
        <v>46</v>
      </c>
      <c r="F449" s="2" t="s">
        <v>44</v>
      </c>
      <c r="G449" s="2" t="s">
        <v>36</v>
      </c>
      <c r="H449" s="2" t="s">
        <v>24</v>
      </c>
      <c r="I449" s="2" t="s">
        <v>25</v>
      </c>
      <c r="J449" s="2" t="s">
        <v>26</v>
      </c>
      <c r="K449" s="2" t="s">
        <v>39</v>
      </c>
      <c r="L449" s="2">
        <v>7</v>
      </c>
      <c r="M449" s="2">
        <v>2568.2600000000002</v>
      </c>
      <c r="N449" s="2">
        <v>10</v>
      </c>
      <c r="O449" s="2">
        <v>16180.04</v>
      </c>
      <c r="P449" s="2">
        <f t="shared" si="60"/>
        <v>17977.82</v>
      </c>
      <c r="Q449" s="2">
        <f t="shared" si="61"/>
        <v>1797.7820000000002</v>
      </c>
      <c r="R449" s="2">
        <f t="shared" si="62"/>
        <v>16180.038</v>
      </c>
      <c r="S449" s="2" t="str">
        <f t="shared" si="63"/>
        <v>High</v>
      </c>
      <c r="T449" s="2" t="str" cm="1">
        <f t="array" ref="T449">_xlfn.IFS(L449&gt;5,"High",L449=5,"Medium",L449&lt;5,"Low")</f>
        <v>High</v>
      </c>
      <c r="U449" s="2" t="str">
        <f t="shared" si="64"/>
        <v>High</v>
      </c>
      <c r="V449" s="14" t="str">
        <f t="shared" si="65"/>
        <v>Normal Discount</v>
      </c>
      <c r="W449" s="16" t="str">
        <f t="shared" si="66"/>
        <v>Excellent</v>
      </c>
      <c r="X449" s="18" t="str" cm="1">
        <f t="array" ref="X449">_xlfn.IFS(O449&gt;7000,"Excellent",O449&gt;4000,"Good",O449&lt;4000,"Average")</f>
        <v>Excellent</v>
      </c>
      <c r="AD449" s="23" t="str">
        <f t="shared" si="67"/>
        <v>Not Eligible</v>
      </c>
      <c r="AE449" s="24" t="str">
        <f t="shared" si="68"/>
        <v>Offline</v>
      </c>
      <c r="AF449" s="27" t="str">
        <f t="shared" si="69"/>
        <v>Priority Order</v>
      </c>
    </row>
    <row r="450" spans="1:32" x14ac:dyDescent="0.3">
      <c r="A450" s="2">
        <v>10449</v>
      </c>
      <c r="B450" s="2">
        <v>1276</v>
      </c>
      <c r="C450" s="3">
        <v>45001</v>
      </c>
      <c r="D450" s="3">
        <v>45008</v>
      </c>
      <c r="E450" s="2" t="s">
        <v>22</v>
      </c>
      <c r="F450" s="2" t="s">
        <v>60</v>
      </c>
      <c r="G450" s="2" t="s">
        <v>30</v>
      </c>
      <c r="H450" s="2" t="s">
        <v>24</v>
      </c>
      <c r="I450" s="2" t="s">
        <v>25</v>
      </c>
      <c r="J450" s="2" t="s">
        <v>72</v>
      </c>
      <c r="K450" s="2" t="s">
        <v>39</v>
      </c>
      <c r="L450" s="2">
        <v>4</v>
      </c>
      <c r="M450" s="2">
        <v>3732.97</v>
      </c>
      <c r="N450" s="2">
        <v>5</v>
      </c>
      <c r="O450" s="2">
        <v>14185.29</v>
      </c>
      <c r="P450" s="2">
        <f t="shared" si="60"/>
        <v>14931.88</v>
      </c>
      <c r="Q450" s="2">
        <f t="shared" si="61"/>
        <v>746.59400000000005</v>
      </c>
      <c r="R450" s="2">
        <f t="shared" si="62"/>
        <v>14185.286</v>
      </c>
      <c r="S450" s="2" t="str">
        <f t="shared" si="63"/>
        <v>Low</v>
      </c>
      <c r="T450" s="2" t="str" cm="1">
        <f t="array" ref="T450">_xlfn.IFS(L450&gt;5,"High",L450=5,"Medium",L450&lt;5,"Low")</f>
        <v>Low</v>
      </c>
      <c r="U450" s="2" t="str">
        <f t="shared" si="64"/>
        <v>Low</v>
      </c>
      <c r="V450" s="14" t="str">
        <f t="shared" si="65"/>
        <v>Normal Discount</v>
      </c>
      <c r="W450" s="16" t="str">
        <f t="shared" si="66"/>
        <v>Excellent</v>
      </c>
      <c r="X450" s="18" t="str" cm="1">
        <f t="array" ref="X450">_xlfn.IFS(O450&gt;7000,"Excellent",O450&gt;4000,"Good",O450&lt;4000,"Average")</f>
        <v>Excellent</v>
      </c>
      <c r="AD450" s="23" t="str">
        <f t="shared" si="67"/>
        <v>Eligible</v>
      </c>
      <c r="AE450" s="24" t="str">
        <f t="shared" si="68"/>
        <v>Online</v>
      </c>
      <c r="AF450" s="27" t="str">
        <f t="shared" si="69"/>
        <v>Priority Order</v>
      </c>
    </row>
    <row r="451" spans="1:32" x14ac:dyDescent="0.3">
      <c r="A451" s="2">
        <v>10450</v>
      </c>
      <c r="B451" s="2">
        <v>1797</v>
      </c>
      <c r="C451" s="3">
        <v>45205</v>
      </c>
      <c r="D451" s="3">
        <v>45209</v>
      </c>
      <c r="E451" s="2" t="s">
        <v>22</v>
      </c>
      <c r="F451" s="2" t="s">
        <v>29</v>
      </c>
      <c r="G451" s="2" t="s">
        <v>36</v>
      </c>
      <c r="H451" s="2" t="s">
        <v>50</v>
      </c>
      <c r="I451" s="2" t="s">
        <v>37</v>
      </c>
      <c r="J451" s="2" t="s">
        <v>38</v>
      </c>
      <c r="K451" s="2" t="s">
        <v>34</v>
      </c>
      <c r="L451" s="2">
        <v>7</v>
      </c>
      <c r="M451" s="2">
        <v>2753</v>
      </c>
      <c r="N451" s="2">
        <v>20</v>
      </c>
      <c r="O451" s="2">
        <v>15416.8</v>
      </c>
      <c r="P451" s="2">
        <f t="shared" ref="P451:P501" si="70">M451*L451</f>
        <v>19271</v>
      </c>
      <c r="Q451" s="2">
        <f t="shared" ref="Q451:Q501" si="71">P451*N451%</f>
        <v>3854.2000000000003</v>
      </c>
      <c r="R451" s="2">
        <f t="shared" ref="R451:R501" si="72">P451-Q451</f>
        <v>15416.8</v>
      </c>
      <c r="S451" s="2" t="str">
        <f t="shared" ref="S451:S501" si="73">IF(L451&gt;=5,"High","Low")</f>
        <v>High</v>
      </c>
      <c r="T451" s="2" t="str" cm="1">
        <f t="array" ref="T451">_xlfn.IFS(L451&gt;5,"High",L451=5,"Medium",L451&lt;5,"Low")</f>
        <v>High</v>
      </c>
      <c r="U451" s="2" t="str">
        <f t="shared" ref="U451:U501" si="74">IF(L451&gt;5,"High",IF(L451=5,"Medium","Low"))</f>
        <v>High</v>
      </c>
      <c r="V451" s="14" t="str">
        <f t="shared" ref="V451:V501" si="75">IF(N451&gt;10,"Heavy Discount","Normal Discount")</f>
        <v>Heavy Discount</v>
      </c>
      <c r="W451" s="16" t="str">
        <f t="shared" ref="W451:W501" si="76">IF(O451&gt;7000,"Excellent",IF(O451&gt;4000,"Good","Average"))</f>
        <v>Excellent</v>
      </c>
      <c r="X451" s="18" t="str" cm="1">
        <f t="array" ref="X451">_xlfn.IFS(O451&gt;7000,"Excellent",O451&gt;4000,"Good",O451&lt;4000,"Average")</f>
        <v>Excellent</v>
      </c>
      <c r="AD451" s="23" t="str">
        <f t="shared" ref="AD451:AD501" si="77">IF(AND(O451&gt;5000,N451&lt;10),"Eligible","Not Eligible")</f>
        <v>Not Eligible</v>
      </c>
      <c r="AE451" s="24" t="str">
        <f t="shared" ref="AE451:AE501" si="78">IF(G451&lt;&gt;"Marketplace","Online","Offline")</f>
        <v>Offline</v>
      </c>
      <c r="AF451" s="27" t="str">
        <f t="shared" ref="AF451:AF501" si="79">IF(OR(O451&gt;7000,L451&gt;5),"Priority Order","Normal Order")</f>
        <v>Priority Order</v>
      </c>
    </row>
    <row r="452" spans="1:32" x14ac:dyDescent="0.3">
      <c r="A452" s="2">
        <v>10451</v>
      </c>
      <c r="B452" s="2">
        <v>1608</v>
      </c>
      <c r="C452" s="3">
        <v>45102</v>
      </c>
      <c r="D452" s="3">
        <v>45110</v>
      </c>
      <c r="E452" s="2" t="s">
        <v>21</v>
      </c>
      <c r="F452" s="2" t="s">
        <v>35</v>
      </c>
      <c r="G452" s="2" t="s">
        <v>30</v>
      </c>
      <c r="H452" s="2" t="s">
        <v>31</v>
      </c>
      <c r="I452" s="2" t="s">
        <v>63</v>
      </c>
      <c r="J452" s="2" t="s">
        <v>65</v>
      </c>
      <c r="K452" s="2" t="s">
        <v>34</v>
      </c>
      <c r="L452" s="2">
        <v>7</v>
      </c>
      <c r="M452" s="2">
        <v>1332.87</v>
      </c>
      <c r="N452" s="2">
        <v>0</v>
      </c>
      <c r="O452" s="2">
        <v>9330.09</v>
      </c>
      <c r="P452" s="2">
        <f t="shared" si="70"/>
        <v>9330.09</v>
      </c>
      <c r="Q452" s="2">
        <f t="shared" si="71"/>
        <v>0</v>
      </c>
      <c r="R452" s="2">
        <f t="shared" si="72"/>
        <v>9330.09</v>
      </c>
      <c r="S452" s="2" t="str">
        <f t="shared" si="73"/>
        <v>High</v>
      </c>
      <c r="T452" s="2" t="str" cm="1">
        <f t="array" ref="T452">_xlfn.IFS(L452&gt;5,"High",L452=5,"Medium",L452&lt;5,"Low")</f>
        <v>High</v>
      </c>
      <c r="U452" s="2" t="str">
        <f t="shared" si="74"/>
        <v>High</v>
      </c>
      <c r="V452" s="14" t="str">
        <f t="shared" si="75"/>
        <v>Normal Discount</v>
      </c>
      <c r="W452" s="16" t="str">
        <f t="shared" si="76"/>
        <v>Excellent</v>
      </c>
      <c r="X452" s="18" t="str" cm="1">
        <f t="array" ref="X452">_xlfn.IFS(O452&gt;7000,"Excellent",O452&gt;4000,"Good",O452&lt;4000,"Average")</f>
        <v>Excellent</v>
      </c>
      <c r="AD452" s="23" t="str">
        <f t="shared" si="77"/>
        <v>Eligible</v>
      </c>
      <c r="AE452" s="24" t="str">
        <f t="shared" si="78"/>
        <v>Online</v>
      </c>
      <c r="AF452" s="27" t="str">
        <f t="shared" si="79"/>
        <v>Priority Order</v>
      </c>
    </row>
    <row r="453" spans="1:32" x14ac:dyDescent="0.3">
      <c r="A453" s="2">
        <v>10452</v>
      </c>
      <c r="B453" s="2">
        <v>1283</v>
      </c>
      <c r="C453" s="3">
        <v>45076</v>
      </c>
      <c r="D453" s="3">
        <v>45082</v>
      </c>
      <c r="E453" s="2" t="s">
        <v>52</v>
      </c>
      <c r="F453" s="2" t="s">
        <v>29</v>
      </c>
      <c r="G453" s="2" t="s">
        <v>30</v>
      </c>
      <c r="H453" s="2" t="s">
        <v>48</v>
      </c>
      <c r="I453" s="2" t="s">
        <v>55</v>
      </c>
      <c r="J453" s="2" t="s">
        <v>74</v>
      </c>
      <c r="K453" s="2" t="s">
        <v>34</v>
      </c>
      <c r="L453" s="2">
        <v>1</v>
      </c>
      <c r="M453" s="2">
        <v>1574.59</v>
      </c>
      <c r="N453" s="2">
        <v>5</v>
      </c>
      <c r="O453" s="2">
        <v>1495.86</v>
      </c>
      <c r="P453" s="2">
        <f t="shared" si="70"/>
        <v>1574.59</v>
      </c>
      <c r="Q453" s="2">
        <f t="shared" si="71"/>
        <v>78.729500000000002</v>
      </c>
      <c r="R453" s="2">
        <f t="shared" si="72"/>
        <v>1495.8605</v>
      </c>
      <c r="S453" s="2" t="str">
        <f t="shared" si="73"/>
        <v>Low</v>
      </c>
      <c r="T453" s="2" t="str" cm="1">
        <f t="array" ref="T453">_xlfn.IFS(L453&gt;5,"High",L453=5,"Medium",L453&lt;5,"Low")</f>
        <v>Low</v>
      </c>
      <c r="U453" s="2" t="str">
        <f t="shared" si="74"/>
        <v>Low</v>
      </c>
      <c r="V453" s="14" t="str">
        <f t="shared" si="75"/>
        <v>Normal Discount</v>
      </c>
      <c r="W453" s="16" t="str">
        <f t="shared" si="76"/>
        <v>Average</v>
      </c>
      <c r="X453" s="18" t="str" cm="1">
        <f t="array" ref="X453">_xlfn.IFS(O453&gt;7000,"Excellent",O453&gt;4000,"Good",O453&lt;4000,"Average")</f>
        <v>Average</v>
      </c>
      <c r="AD453" s="23" t="str">
        <f t="shared" si="77"/>
        <v>Not Eligible</v>
      </c>
      <c r="AE453" s="24" t="str">
        <f t="shared" si="78"/>
        <v>Online</v>
      </c>
      <c r="AF453" s="27" t="str">
        <f t="shared" si="79"/>
        <v>Normal Order</v>
      </c>
    </row>
    <row r="454" spans="1:32" x14ac:dyDescent="0.3">
      <c r="A454" s="2">
        <v>10453</v>
      </c>
      <c r="B454" s="2">
        <v>1878</v>
      </c>
      <c r="C454" s="3">
        <v>45199</v>
      </c>
      <c r="D454" s="3">
        <v>45203</v>
      </c>
      <c r="E454" s="2" t="s">
        <v>28</v>
      </c>
      <c r="F454" s="2" t="s">
        <v>22</v>
      </c>
      <c r="G454" s="2" t="s">
        <v>30</v>
      </c>
      <c r="H454" s="2" t="s">
        <v>48</v>
      </c>
      <c r="I454" s="2" t="s">
        <v>32</v>
      </c>
      <c r="J454" s="2" t="s">
        <v>33</v>
      </c>
      <c r="K454" s="2" t="s">
        <v>53</v>
      </c>
      <c r="L454" s="2">
        <v>6</v>
      </c>
      <c r="M454" s="2">
        <v>2269.3200000000002</v>
      </c>
      <c r="N454" s="2">
        <v>15</v>
      </c>
      <c r="O454" s="2">
        <v>11573.53</v>
      </c>
      <c r="P454" s="2">
        <f t="shared" si="70"/>
        <v>13615.920000000002</v>
      </c>
      <c r="Q454" s="2">
        <f t="shared" si="71"/>
        <v>2042.3880000000001</v>
      </c>
      <c r="R454" s="2">
        <f t="shared" si="72"/>
        <v>11573.532000000001</v>
      </c>
      <c r="S454" s="2" t="str">
        <f t="shared" si="73"/>
        <v>High</v>
      </c>
      <c r="T454" s="2" t="str" cm="1">
        <f t="array" ref="T454">_xlfn.IFS(L454&gt;5,"High",L454=5,"Medium",L454&lt;5,"Low")</f>
        <v>High</v>
      </c>
      <c r="U454" s="2" t="str">
        <f t="shared" si="74"/>
        <v>High</v>
      </c>
      <c r="V454" s="14" t="str">
        <f t="shared" si="75"/>
        <v>Heavy Discount</v>
      </c>
      <c r="W454" s="16" t="str">
        <f t="shared" si="76"/>
        <v>Excellent</v>
      </c>
      <c r="X454" s="18" t="str" cm="1">
        <f t="array" ref="X454">_xlfn.IFS(O454&gt;7000,"Excellent",O454&gt;4000,"Good",O454&lt;4000,"Average")</f>
        <v>Excellent</v>
      </c>
      <c r="AD454" s="23" t="str">
        <f t="shared" si="77"/>
        <v>Not Eligible</v>
      </c>
      <c r="AE454" s="24" t="str">
        <f t="shared" si="78"/>
        <v>Online</v>
      </c>
      <c r="AF454" s="27" t="str">
        <f t="shared" si="79"/>
        <v>Priority Order</v>
      </c>
    </row>
    <row r="455" spans="1:32" x14ac:dyDescent="0.3">
      <c r="A455" s="2">
        <v>10454</v>
      </c>
      <c r="B455" s="2">
        <v>1959</v>
      </c>
      <c r="C455" s="3">
        <v>45251</v>
      </c>
      <c r="D455" s="3">
        <v>45255</v>
      </c>
      <c r="E455" s="2" t="s">
        <v>40</v>
      </c>
      <c r="F455" s="2" t="s">
        <v>47</v>
      </c>
      <c r="G455" s="2" t="s">
        <v>23</v>
      </c>
      <c r="H455" s="2" t="s">
        <v>31</v>
      </c>
      <c r="I455" s="2" t="s">
        <v>63</v>
      </c>
      <c r="J455" s="2" t="s">
        <v>64</v>
      </c>
      <c r="K455" s="2" t="s">
        <v>34</v>
      </c>
      <c r="L455" s="2">
        <v>9</v>
      </c>
      <c r="M455" s="2">
        <v>3191.56</v>
      </c>
      <c r="N455" s="2">
        <v>20</v>
      </c>
      <c r="O455" s="2">
        <v>22979.23</v>
      </c>
      <c r="P455" s="2">
        <f t="shared" si="70"/>
        <v>28724.04</v>
      </c>
      <c r="Q455" s="2">
        <f t="shared" si="71"/>
        <v>5744.8080000000009</v>
      </c>
      <c r="R455" s="2">
        <f t="shared" si="72"/>
        <v>22979.232</v>
      </c>
      <c r="S455" s="2" t="str">
        <f t="shared" si="73"/>
        <v>High</v>
      </c>
      <c r="T455" s="2" t="str" cm="1">
        <f t="array" ref="T455">_xlfn.IFS(L455&gt;5,"High",L455=5,"Medium",L455&lt;5,"Low")</f>
        <v>High</v>
      </c>
      <c r="U455" s="2" t="str">
        <f t="shared" si="74"/>
        <v>High</v>
      </c>
      <c r="V455" s="14" t="str">
        <f t="shared" si="75"/>
        <v>Heavy Discount</v>
      </c>
      <c r="W455" s="16" t="str">
        <f t="shared" si="76"/>
        <v>Excellent</v>
      </c>
      <c r="X455" s="18" t="str" cm="1">
        <f t="array" ref="X455">_xlfn.IFS(O455&gt;7000,"Excellent",O455&gt;4000,"Good",O455&lt;4000,"Average")</f>
        <v>Excellent</v>
      </c>
      <c r="AD455" s="23" t="str">
        <f t="shared" si="77"/>
        <v>Not Eligible</v>
      </c>
      <c r="AE455" s="24" t="str">
        <f t="shared" si="78"/>
        <v>Online</v>
      </c>
      <c r="AF455" s="27" t="str">
        <f t="shared" si="79"/>
        <v>Priority Order</v>
      </c>
    </row>
    <row r="456" spans="1:32" x14ac:dyDescent="0.3">
      <c r="A456" s="2">
        <v>10455</v>
      </c>
      <c r="B456" s="2">
        <v>1480</v>
      </c>
      <c r="C456" s="3">
        <v>45034</v>
      </c>
      <c r="D456" s="3">
        <v>45036</v>
      </c>
      <c r="E456" s="2" t="s">
        <v>21</v>
      </c>
      <c r="F456" s="2" t="s">
        <v>35</v>
      </c>
      <c r="G456" s="2" t="s">
        <v>23</v>
      </c>
      <c r="H456" s="2" t="s">
        <v>24</v>
      </c>
      <c r="I456" s="2" t="s">
        <v>58</v>
      </c>
      <c r="J456" s="2" t="s">
        <v>70</v>
      </c>
      <c r="K456" s="2" t="s">
        <v>51</v>
      </c>
      <c r="L456" s="2">
        <v>2</v>
      </c>
      <c r="M456" s="2">
        <v>1374.23</v>
      </c>
      <c r="N456" s="2">
        <v>0</v>
      </c>
      <c r="O456" s="2">
        <v>2748.46</v>
      </c>
      <c r="P456" s="2">
        <f t="shared" si="70"/>
        <v>2748.46</v>
      </c>
      <c r="Q456" s="2">
        <f t="shared" si="71"/>
        <v>0</v>
      </c>
      <c r="R456" s="2">
        <f t="shared" si="72"/>
        <v>2748.46</v>
      </c>
      <c r="S456" s="2" t="str">
        <f t="shared" si="73"/>
        <v>Low</v>
      </c>
      <c r="T456" s="2" t="str" cm="1">
        <f t="array" ref="T456">_xlfn.IFS(L456&gt;5,"High",L456=5,"Medium",L456&lt;5,"Low")</f>
        <v>Low</v>
      </c>
      <c r="U456" s="2" t="str">
        <f t="shared" si="74"/>
        <v>Low</v>
      </c>
      <c r="V456" s="14" t="str">
        <f t="shared" si="75"/>
        <v>Normal Discount</v>
      </c>
      <c r="W456" s="16" t="str">
        <f t="shared" si="76"/>
        <v>Average</v>
      </c>
      <c r="X456" s="18" t="str" cm="1">
        <f t="array" ref="X456">_xlfn.IFS(O456&gt;7000,"Excellent",O456&gt;4000,"Good",O456&lt;4000,"Average")</f>
        <v>Average</v>
      </c>
      <c r="AD456" s="23" t="str">
        <f t="shared" si="77"/>
        <v>Not Eligible</v>
      </c>
      <c r="AE456" s="24" t="str">
        <f t="shared" si="78"/>
        <v>Online</v>
      </c>
      <c r="AF456" s="27" t="str">
        <f t="shared" si="79"/>
        <v>Normal Order</v>
      </c>
    </row>
    <row r="457" spans="1:32" x14ac:dyDescent="0.3">
      <c r="A457" s="2">
        <v>10456</v>
      </c>
      <c r="B457" s="2">
        <v>1452</v>
      </c>
      <c r="C457" s="3">
        <v>45065</v>
      </c>
      <c r="D457" s="3">
        <v>45067</v>
      </c>
      <c r="E457" s="2" t="s">
        <v>40</v>
      </c>
      <c r="F457" s="2" t="s">
        <v>44</v>
      </c>
      <c r="G457" s="2" t="s">
        <v>30</v>
      </c>
      <c r="H457" s="2" t="s">
        <v>50</v>
      </c>
      <c r="I457" s="2" t="s">
        <v>32</v>
      </c>
      <c r="J457" s="2" t="s">
        <v>33</v>
      </c>
      <c r="K457" s="2" t="s">
        <v>27</v>
      </c>
      <c r="L457" s="2">
        <v>3</v>
      </c>
      <c r="M457" s="2">
        <v>2381.96</v>
      </c>
      <c r="N457" s="2">
        <v>10</v>
      </c>
      <c r="O457" s="2">
        <v>6431.29</v>
      </c>
      <c r="P457" s="2">
        <f t="shared" si="70"/>
        <v>7145.88</v>
      </c>
      <c r="Q457" s="2">
        <f t="shared" si="71"/>
        <v>714.58800000000008</v>
      </c>
      <c r="R457" s="2">
        <f t="shared" si="72"/>
        <v>6431.2920000000004</v>
      </c>
      <c r="S457" s="2" t="str">
        <f t="shared" si="73"/>
        <v>Low</v>
      </c>
      <c r="T457" s="2" t="str" cm="1">
        <f t="array" ref="T457">_xlfn.IFS(L457&gt;5,"High",L457=5,"Medium",L457&lt;5,"Low")</f>
        <v>Low</v>
      </c>
      <c r="U457" s="2" t="str">
        <f t="shared" si="74"/>
        <v>Low</v>
      </c>
      <c r="V457" s="14" t="str">
        <f t="shared" si="75"/>
        <v>Normal Discount</v>
      </c>
      <c r="W457" s="16" t="str">
        <f t="shared" si="76"/>
        <v>Good</v>
      </c>
      <c r="X457" s="18" t="str" cm="1">
        <f t="array" ref="X457">_xlfn.IFS(O457&gt;7000,"Excellent",O457&gt;4000,"Good",O457&lt;4000,"Average")</f>
        <v>Good</v>
      </c>
      <c r="AD457" s="23" t="str">
        <f t="shared" si="77"/>
        <v>Not Eligible</v>
      </c>
      <c r="AE457" s="24" t="str">
        <f t="shared" si="78"/>
        <v>Online</v>
      </c>
      <c r="AF457" s="27" t="str">
        <f t="shared" si="79"/>
        <v>Normal Order</v>
      </c>
    </row>
    <row r="458" spans="1:32" x14ac:dyDescent="0.3">
      <c r="A458" s="2">
        <v>10457</v>
      </c>
      <c r="B458" s="2">
        <v>1828</v>
      </c>
      <c r="C458" s="3">
        <v>45276</v>
      </c>
      <c r="D458" s="3">
        <v>45280</v>
      </c>
      <c r="E458" s="2" t="s">
        <v>52</v>
      </c>
      <c r="F458" s="2" t="s">
        <v>35</v>
      </c>
      <c r="G458" s="2" t="s">
        <v>30</v>
      </c>
      <c r="H458" s="2" t="s">
        <v>50</v>
      </c>
      <c r="I458" s="2" t="s">
        <v>32</v>
      </c>
      <c r="J458" s="2" t="s">
        <v>33</v>
      </c>
      <c r="K458" s="2" t="s">
        <v>34</v>
      </c>
      <c r="L458" s="2">
        <v>5</v>
      </c>
      <c r="M458" s="2">
        <v>1480.66</v>
      </c>
      <c r="N458" s="2">
        <v>0</v>
      </c>
      <c r="O458" s="2">
        <v>7403.3</v>
      </c>
      <c r="P458" s="2">
        <f t="shared" si="70"/>
        <v>7403.3</v>
      </c>
      <c r="Q458" s="2">
        <f t="shared" si="71"/>
        <v>0</v>
      </c>
      <c r="R458" s="2">
        <f t="shared" si="72"/>
        <v>7403.3</v>
      </c>
      <c r="S458" s="2" t="str">
        <f t="shared" si="73"/>
        <v>High</v>
      </c>
      <c r="T458" s="2" t="str" cm="1">
        <f t="array" ref="T458">_xlfn.IFS(L458&gt;5,"High",L458=5,"Medium",L458&lt;5,"Low")</f>
        <v>Medium</v>
      </c>
      <c r="U458" s="2" t="str">
        <f t="shared" si="74"/>
        <v>Medium</v>
      </c>
      <c r="V458" s="14" t="str">
        <f t="shared" si="75"/>
        <v>Normal Discount</v>
      </c>
      <c r="W458" s="16" t="str">
        <f t="shared" si="76"/>
        <v>Excellent</v>
      </c>
      <c r="X458" s="18" t="str" cm="1">
        <f t="array" ref="X458">_xlfn.IFS(O458&gt;7000,"Excellent",O458&gt;4000,"Good",O458&lt;4000,"Average")</f>
        <v>Excellent</v>
      </c>
      <c r="AD458" s="23" t="str">
        <f t="shared" si="77"/>
        <v>Eligible</v>
      </c>
      <c r="AE458" s="24" t="str">
        <f t="shared" si="78"/>
        <v>Online</v>
      </c>
      <c r="AF458" s="27" t="str">
        <f t="shared" si="79"/>
        <v>Priority Order</v>
      </c>
    </row>
    <row r="459" spans="1:32" x14ac:dyDescent="0.3">
      <c r="A459" s="2">
        <v>10458</v>
      </c>
      <c r="B459" s="2">
        <v>1815</v>
      </c>
      <c r="C459" s="3">
        <v>45197</v>
      </c>
      <c r="D459" s="3">
        <v>45202</v>
      </c>
      <c r="E459" s="2" t="s">
        <v>46</v>
      </c>
      <c r="F459" s="2" t="s">
        <v>44</v>
      </c>
      <c r="G459" s="2" t="s">
        <v>23</v>
      </c>
      <c r="H459" s="2" t="s">
        <v>48</v>
      </c>
      <c r="I459" s="2" t="s">
        <v>25</v>
      </c>
      <c r="J459" s="2" t="s">
        <v>61</v>
      </c>
      <c r="K459" s="2" t="s">
        <v>27</v>
      </c>
      <c r="L459" s="2">
        <v>9</v>
      </c>
      <c r="M459" s="2">
        <v>3290.71</v>
      </c>
      <c r="N459" s="2">
        <v>10</v>
      </c>
      <c r="O459" s="2">
        <v>26654.75</v>
      </c>
      <c r="P459" s="2">
        <f t="shared" si="70"/>
        <v>29616.39</v>
      </c>
      <c r="Q459" s="2">
        <f t="shared" si="71"/>
        <v>2961.6390000000001</v>
      </c>
      <c r="R459" s="2">
        <f t="shared" si="72"/>
        <v>26654.751</v>
      </c>
      <c r="S459" s="2" t="str">
        <f t="shared" si="73"/>
        <v>High</v>
      </c>
      <c r="T459" s="2" t="str" cm="1">
        <f t="array" ref="T459">_xlfn.IFS(L459&gt;5,"High",L459=5,"Medium",L459&lt;5,"Low")</f>
        <v>High</v>
      </c>
      <c r="U459" s="2" t="str">
        <f t="shared" si="74"/>
        <v>High</v>
      </c>
      <c r="V459" s="14" t="str">
        <f t="shared" si="75"/>
        <v>Normal Discount</v>
      </c>
      <c r="W459" s="16" t="str">
        <f t="shared" si="76"/>
        <v>Excellent</v>
      </c>
      <c r="X459" s="18" t="str" cm="1">
        <f t="array" ref="X459">_xlfn.IFS(O459&gt;7000,"Excellent",O459&gt;4000,"Good",O459&lt;4000,"Average")</f>
        <v>Excellent</v>
      </c>
      <c r="AD459" s="23" t="str">
        <f t="shared" si="77"/>
        <v>Not Eligible</v>
      </c>
      <c r="AE459" s="24" t="str">
        <f t="shared" si="78"/>
        <v>Online</v>
      </c>
      <c r="AF459" s="27" t="str">
        <f t="shared" si="79"/>
        <v>Priority Order</v>
      </c>
    </row>
    <row r="460" spans="1:32" x14ac:dyDescent="0.3">
      <c r="A460" s="2">
        <v>10459</v>
      </c>
      <c r="B460" s="2">
        <v>1658</v>
      </c>
      <c r="C460" s="3">
        <v>45273</v>
      </c>
      <c r="D460" s="3">
        <v>45281</v>
      </c>
      <c r="E460" s="2" t="s">
        <v>46</v>
      </c>
      <c r="F460" s="2" t="s">
        <v>44</v>
      </c>
      <c r="G460" s="2" t="s">
        <v>36</v>
      </c>
      <c r="H460" s="2" t="s">
        <v>50</v>
      </c>
      <c r="I460" s="2" t="s">
        <v>55</v>
      </c>
      <c r="J460" s="2" t="s">
        <v>69</v>
      </c>
      <c r="K460" s="2" t="s">
        <v>53</v>
      </c>
      <c r="L460" s="2">
        <v>4</v>
      </c>
      <c r="M460" s="2">
        <v>1946.9</v>
      </c>
      <c r="N460" s="2">
        <v>20</v>
      </c>
      <c r="O460" s="2">
        <v>6230.08</v>
      </c>
      <c r="P460" s="2">
        <f t="shared" si="70"/>
        <v>7787.6</v>
      </c>
      <c r="Q460" s="2">
        <f t="shared" si="71"/>
        <v>1557.5200000000002</v>
      </c>
      <c r="R460" s="2">
        <f t="shared" si="72"/>
        <v>6230.08</v>
      </c>
      <c r="S460" s="2" t="str">
        <f t="shared" si="73"/>
        <v>Low</v>
      </c>
      <c r="T460" s="2" t="str" cm="1">
        <f t="array" ref="T460">_xlfn.IFS(L460&gt;5,"High",L460=5,"Medium",L460&lt;5,"Low")</f>
        <v>Low</v>
      </c>
      <c r="U460" s="2" t="str">
        <f t="shared" si="74"/>
        <v>Low</v>
      </c>
      <c r="V460" s="14" t="str">
        <f t="shared" si="75"/>
        <v>Heavy Discount</v>
      </c>
      <c r="W460" s="16" t="str">
        <f t="shared" si="76"/>
        <v>Good</v>
      </c>
      <c r="X460" s="18" t="str" cm="1">
        <f t="array" ref="X460">_xlfn.IFS(O460&gt;7000,"Excellent",O460&gt;4000,"Good",O460&lt;4000,"Average")</f>
        <v>Good</v>
      </c>
      <c r="AD460" s="23" t="str">
        <f t="shared" si="77"/>
        <v>Not Eligible</v>
      </c>
      <c r="AE460" s="24" t="str">
        <f t="shared" si="78"/>
        <v>Offline</v>
      </c>
      <c r="AF460" s="27" t="str">
        <f t="shared" si="79"/>
        <v>Normal Order</v>
      </c>
    </row>
    <row r="461" spans="1:32" x14ac:dyDescent="0.3">
      <c r="A461" s="2">
        <v>10460</v>
      </c>
      <c r="B461" s="2">
        <v>1515</v>
      </c>
      <c r="C461" s="3">
        <v>45215</v>
      </c>
      <c r="D461" s="3">
        <v>45221</v>
      </c>
      <c r="E461" s="2" t="s">
        <v>28</v>
      </c>
      <c r="F461" s="2" t="s">
        <v>35</v>
      </c>
      <c r="G461" s="2" t="s">
        <v>30</v>
      </c>
      <c r="H461" s="2" t="s">
        <v>31</v>
      </c>
      <c r="I461" s="2" t="s">
        <v>55</v>
      </c>
      <c r="J461" s="2" t="s">
        <v>56</v>
      </c>
      <c r="K461" s="2" t="s">
        <v>27</v>
      </c>
      <c r="L461" s="2">
        <v>1</v>
      </c>
      <c r="M461" s="2">
        <v>445.38</v>
      </c>
      <c r="N461" s="2">
        <v>10</v>
      </c>
      <c r="O461" s="2">
        <v>400.84</v>
      </c>
      <c r="P461" s="2">
        <f t="shared" si="70"/>
        <v>445.38</v>
      </c>
      <c r="Q461" s="2">
        <f t="shared" si="71"/>
        <v>44.538000000000004</v>
      </c>
      <c r="R461" s="2">
        <f t="shared" si="72"/>
        <v>400.84199999999998</v>
      </c>
      <c r="S461" s="2" t="str">
        <f t="shared" si="73"/>
        <v>Low</v>
      </c>
      <c r="T461" s="2" t="str" cm="1">
        <f t="array" ref="T461">_xlfn.IFS(L461&gt;5,"High",L461=5,"Medium",L461&lt;5,"Low")</f>
        <v>Low</v>
      </c>
      <c r="U461" s="2" t="str">
        <f t="shared" si="74"/>
        <v>Low</v>
      </c>
      <c r="V461" s="14" t="str">
        <f t="shared" si="75"/>
        <v>Normal Discount</v>
      </c>
      <c r="W461" s="16" t="str">
        <f t="shared" si="76"/>
        <v>Average</v>
      </c>
      <c r="X461" s="18" t="str" cm="1">
        <f t="array" ref="X461">_xlfn.IFS(O461&gt;7000,"Excellent",O461&gt;4000,"Good",O461&lt;4000,"Average")</f>
        <v>Average</v>
      </c>
      <c r="AD461" s="23" t="str">
        <f t="shared" si="77"/>
        <v>Not Eligible</v>
      </c>
      <c r="AE461" s="24" t="str">
        <f t="shared" si="78"/>
        <v>Online</v>
      </c>
      <c r="AF461" s="27" t="str">
        <f t="shared" si="79"/>
        <v>Normal Order</v>
      </c>
    </row>
    <row r="462" spans="1:32" x14ac:dyDescent="0.3">
      <c r="A462" s="2">
        <v>10461</v>
      </c>
      <c r="B462" s="2">
        <v>1546</v>
      </c>
      <c r="C462" s="3">
        <v>45138</v>
      </c>
      <c r="D462" s="3">
        <v>45142</v>
      </c>
      <c r="E462" s="2" t="s">
        <v>52</v>
      </c>
      <c r="F462" s="2" t="s">
        <v>44</v>
      </c>
      <c r="G462" s="2" t="s">
        <v>36</v>
      </c>
      <c r="H462" s="2" t="s">
        <v>24</v>
      </c>
      <c r="I462" s="2" t="s">
        <v>58</v>
      </c>
      <c r="J462" s="2" t="s">
        <v>70</v>
      </c>
      <c r="K462" s="2" t="s">
        <v>53</v>
      </c>
      <c r="L462" s="2">
        <v>4</v>
      </c>
      <c r="M462" s="2">
        <v>789.3</v>
      </c>
      <c r="N462" s="2">
        <v>15</v>
      </c>
      <c r="O462" s="2">
        <v>2683.62</v>
      </c>
      <c r="P462" s="2">
        <f t="shared" si="70"/>
        <v>3157.2</v>
      </c>
      <c r="Q462" s="2">
        <f t="shared" si="71"/>
        <v>473.57999999999993</v>
      </c>
      <c r="R462" s="2">
        <f t="shared" si="72"/>
        <v>2683.62</v>
      </c>
      <c r="S462" s="2" t="str">
        <f t="shared" si="73"/>
        <v>Low</v>
      </c>
      <c r="T462" s="2" t="str" cm="1">
        <f t="array" ref="T462">_xlfn.IFS(L462&gt;5,"High",L462=5,"Medium",L462&lt;5,"Low")</f>
        <v>Low</v>
      </c>
      <c r="U462" s="2" t="str">
        <f t="shared" si="74"/>
        <v>Low</v>
      </c>
      <c r="V462" s="14" t="str">
        <f t="shared" si="75"/>
        <v>Heavy Discount</v>
      </c>
      <c r="W462" s="16" t="str">
        <f t="shared" si="76"/>
        <v>Average</v>
      </c>
      <c r="X462" s="18" t="str" cm="1">
        <f t="array" ref="X462">_xlfn.IFS(O462&gt;7000,"Excellent",O462&gt;4000,"Good",O462&lt;4000,"Average")</f>
        <v>Average</v>
      </c>
      <c r="AD462" s="23" t="str">
        <f t="shared" si="77"/>
        <v>Not Eligible</v>
      </c>
      <c r="AE462" s="24" t="str">
        <f t="shared" si="78"/>
        <v>Offline</v>
      </c>
      <c r="AF462" s="27" t="str">
        <f t="shared" si="79"/>
        <v>Normal Order</v>
      </c>
    </row>
    <row r="463" spans="1:32" x14ac:dyDescent="0.3">
      <c r="A463" s="2">
        <v>10462</v>
      </c>
      <c r="B463" s="2">
        <v>1191</v>
      </c>
      <c r="C463" s="3">
        <v>45198</v>
      </c>
      <c r="D463" s="3">
        <v>45205</v>
      </c>
      <c r="E463" s="2" t="s">
        <v>21</v>
      </c>
      <c r="F463" s="2" t="s">
        <v>44</v>
      </c>
      <c r="G463" s="2" t="s">
        <v>23</v>
      </c>
      <c r="H463" s="2" t="s">
        <v>31</v>
      </c>
      <c r="I463" s="2" t="s">
        <v>58</v>
      </c>
      <c r="J463" s="2" t="s">
        <v>70</v>
      </c>
      <c r="K463" s="2" t="s">
        <v>51</v>
      </c>
      <c r="L463" s="2">
        <v>6</v>
      </c>
      <c r="M463" s="2">
        <v>385.25</v>
      </c>
      <c r="N463" s="2">
        <v>10</v>
      </c>
      <c r="O463" s="2">
        <v>2080.35</v>
      </c>
      <c r="P463" s="2">
        <f t="shared" si="70"/>
        <v>2311.5</v>
      </c>
      <c r="Q463" s="2">
        <f t="shared" si="71"/>
        <v>231.15</v>
      </c>
      <c r="R463" s="2">
        <f t="shared" si="72"/>
        <v>2080.35</v>
      </c>
      <c r="S463" s="2" t="str">
        <f t="shared" si="73"/>
        <v>High</v>
      </c>
      <c r="T463" s="2" t="str" cm="1">
        <f t="array" ref="T463">_xlfn.IFS(L463&gt;5,"High",L463=5,"Medium",L463&lt;5,"Low")</f>
        <v>High</v>
      </c>
      <c r="U463" s="2" t="str">
        <f t="shared" si="74"/>
        <v>High</v>
      </c>
      <c r="V463" s="14" t="str">
        <f t="shared" si="75"/>
        <v>Normal Discount</v>
      </c>
      <c r="W463" s="16" t="str">
        <f t="shared" si="76"/>
        <v>Average</v>
      </c>
      <c r="X463" s="18" t="str" cm="1">
        <f t="array" ref="X463">_xlfn.IFS(O463&gt;7000,"Excellent",O463&gt;4000,"Good",O463&lt;4000,"Average")</f>
        <v>Average</v>
      </c>
      <c r="AD463" s="23" t="str">
        <f t="shared" si="77"/>
        <v>Not Eligible</v>
      </c>
      <c r="AE463" s="24" t="str">
        <f t="shared" si="78"/>
        <v>Online</v>
      </c>
      <c r="AF463" s="27" t="str">
        <f t="shared" si="79"/>
        <v>Priority Order</v>
      </c>
    </row>
    <row r="464" spans="1:32" x14ac:dyDescent="0.3">
      <c r="A464" s="2">
        <v>10463</v>
      </c>
      <c r="B464" s="2">
        <v>1048</v>
      </c>
      <c r="C464" s="3">
        <v>44992</v>
      </c>
      <c r="D464" s="3">
        <v>45000</v>
      </c>
      <c r="E464" s="2" t="s">
        <v>28</v>
      </c>
      <c r="F464" s="2" t="s">
        <v>22</v>
      </c>
      <c r="G464" s="2" t="s">
        <v>30</v>
      </c>
      <c r="H464" s="2" t="s">
        <v>41</v>
      </c>
      <c r="I464" s="2" t="s">
        <v>32</v>
      </c>
      <c r="J464" s="2" t="s">
        <v>42</v>
      </c>
      <c r="K464" s="2" t="s">
        <v>53</v>
      </c>
      <c r="L464" s="2">
        <v>5</v>
      </c>
      <c r="M464" s="2">
        <v>2072.3200000000002</v>
      </c>
      <c r="N464" s="2">
        <v>15</v>
      </c>
      <c r="O464" s="2">
        <v>8807.36</v>
      </c>
      <c r="P464" s="2">
        <f t="shared" si="70"/>
        <v>10361.6</v>
      </c>
      <c r="Q464" s="2">
        <f t="shared" si="71"/>
        <v>1554.24</v>
      </c>
      <c r="R464" s="2">
        <f t="shared" si="72"/>
        <v>8807.36</v>
      </c>
      <c r="S464" s="2" t="str">
        <f t="shared" si="73"/>
        <v>High</v>
      </c>
      <c r="T464" s="2" t="str" cm="1">
        <f t="array" ref="T464">_xlfn.IFS(L464&gt;5,"High",L464=5,"Medium",L464&lt;5,"Low")</f>
        <v>Medium</v>
      </c>
      <c r="U464" s="2" t="str">
        <f t="shared" si="74"/>
        <v>Medium</v>
      </c>
      <c r="V464" s="14" t="str">
        <f t="shared" si="75"/>
        <v>Heavy Discount</v>
      </c>
      <c r="W464" s="16" t="str">
        <f t="shared" si="76"/>
        <v>Excellent</v>
      </c>
      <c r="X464" s="18" t="str" cm="1">
        <f t="array" ref="X464">_xlfn.IFS(O464&gt;7000,"Excellent",O464&gt;4000,"Good",O464&lt;4000,"Average")</f>
        <v>Excellent</v>
      </c>
      <c r="AD464" s="23" t="str">
        <f t="shared" si="77"/>
        <v>Not Eligible</v>
      </c>
      <c r="AE464" s="24" t="str">
        <f t="shared" si="78"/>
        <v>Online</v>
      </c>
      <c r="AF464" s="27" t="str">
        <f t="shared" si="79"/>
        <v>Priority Order</v>
      </c>
    </row>
    <row r="465" spans="1:32" x14ac:dyDescent="0.3">
      <c r="A465" s="2">
        <v>10464</v>
      </c>
      <c r="B465" s="2">
        <v>1511</v>
      </c>
      <c r="C465" s="3">
        <v>45174</v>
      </c>
      <c r="D465" s="3">
        <v>45176</v>
      </c>
      <c r="E465" s="2" t="s">
        <v>52</v>
      </c>
      <c r="F465" s="2" t="s">
        <v>29</v>
      </c>
      <c r="G465" s="2" t="s">
        <v>36</v>
      </c>
      <c r="H465" s="2" t="s">
        <v>48</v>
      </c>
      <c r="I465" s="2" t="s">
        <v>37</v>
      </c>
      <c r="J465" s="2" t="s">
        <v>71</v>
      </c>
      <c r="K465" s="2" t="s">
        <v>53</v>
      </c>
      <c r="L465" s="2">
        <v>1</v>
      </c>
      <c r="M465" s="2">
        <v>559.4</v>
      </c>
      <c r="N465" s="2">
        <v>20</v>
      </c>
      <c r="O465" s="2">
        <v>447.52</v>
      </c>
      <c r="P465" s="2">
        <f t="shared" si="70"/>
        <v>559.4</v>
      </c>
      <c r="Q465" s="2">
        <f t="shared" si="71"/>
        <v>111.88</v>
      </c>
      <c r="R465" s="2">
        <f t="shared" si="72"/>
        <v>447.52</v>
      </c>
      <c r="S465" s="2" t="str">
        <f t="shared" si="73"/>
        <v>Low</v>
      </c>
      <c r="T465" s="2" t="str" cm="1">
        <f t="array" ref="T465">_xlfn.IFS(L465&gt;5,"High",L465=5,"Medium",L465&lt;5,"Low")</f>
        <v>Low</v>
      </c>
      <c r="U465" s="2" t="str">
        <f t="shared" si="74"/>
        <v>Low</v>
      </c>
      <c r="V465" s="14" t="str">
        <f t="shared" si="75"/>
        <v>Heavy Discount</v>
      </c>
      <c r="W465" s="16" t="str">
        <f t="shared" si="76"/>
        <v>Average</v>
      </c>
      <c r="X465" s="18" t="str" cm="1">
        <f t="array" ref="X465">_xlfn.IFS(O465&gt;7000,"Excellent",O465&gt;4000,"Good",O465&lt;4000,"Average")</f>
        <v>Average</v>
      </c>
      <c r="AD465" s="23" t="str">
        <f t="shared" si="77"/>
        <v>Not Eligible</v>
      </c>
      <c r="AE465" s="24" t="str">
        <f t="shared" si="78"/>
        <v>Offline</v>
      </c>
      <c r="AF465" s="27" t="str">
        <f t="shared" si="79"/>
        <v>Normal Order</v>
      </c>
    </row>
    <row r="466" spans="1:32" x14ac:dyDescent="0.3">
      <c r="A466" s="2">
        <v>10465</v>
      </c>
      <c r="B466" s="2">
        <v>1016</v>
      </c>
      <c r="C466" s="3">
        <v>45082</v>
      </c>
      <c r="D466" s="3">
        <v>45089</v>
      </c>
      <c r="E466" s="2" t="s">
        <v>43</v>
      </c>
      <c r="F466" s="2" t="s">
        <v>29</v>
      </c>
      <c r="G466" s="2" t="s">
        <v>36</v>
      </c>
      <c r="H466" s="2" t="s">
        <v>50</v>
      </c>
      <c r="I466" s="2" t="s">
        <v>25</v>
      </c>
      <c r="J466" s="2" t="s">
        <v>49</v>
      </c>
      <c r="K466" s="2" t="s">
        <v>39</v>
      </c>
      <c r="L466" s="2">
        <v>4</v>
      </c>
      <c r="M466" s="2">
        <v>589.44000000000005</v>
      </c>
      <c r="N466" s="2">
        <v>20</v>
      </c>
      <c r="O466" s="2">
        <v>1886.21</v>
      </c>
      <c r="P466" s="2">
        <f t="shared" si="70"/>
        <v>2357.7600000000002</v>
      </c>
      <c r="Q466" s="2">
        <f t="shared" si="71"/>
        <v>471.55200000000008</v>
      </c>
      <c r="R466" s="2">
        <f t="shared" si="72"/>
        <v>1886.2080000000001</v>
      </c>
      <c r="S466" s="2" t="str">
        <f t="shared" si="73"/>
        <v>Low</v>
      </c>
      <c r="T466" s="2" t="str" cm="1">
        <f t="array" ref="T466">_xlfn.IFS(L466&gt;5,"High",L466=5,"Medium",L466&lt;5,"Low")</f>
        <v>Low</v>
      </c>
      <c r="U466" s="2" t="str">
        <f t="shared" si="74"/>
        <v>Low</v>
      </c>
      <c r="V466" s="14" t="str">
        <f t="shared" si="75"/>
        <v>Heavy Discount</v>
      </c>
      <c r="W466" s="16" t="str">
        <f t="shared" si="76"/>
        <v>Average</v>
      </c>
      <c r="X466" s="18" t="str" cm="1">
        <f t="array" ref="X466">_xlfn.IFS(O466&gt;7000,"Excellent",O466&gt;4000,"Good",O466&lt;4000,"Average")</f>
        <v>Average</v>
      </c>
      <c r="AD466" s="23" t="str">
        <f t="shared" si="77"/>
        <v>Not Eligible</v>
      </c>
      <c r="AE466" s="24" t="str">
        <f t="shared" si="78"/>
        <v>Offline</v>
      </c>
      <c r="AF466" s="27" t="str">
        <f t="shared" si="79"/>
        <v>Normal Order</v>
      </c>
    </row>
    <row r="467" spans="1:32" x14ac:dyDescent="0.3">
      <c r="A467" s="2">
        <v>10466</v>
      </c>
      <c r="B467" s="2">
        <v>1171</v>
      </c>
      <c r="C467" s="3">
        <v>44973</v>
      </c>
      <c r="D467" s="3">
        <v>44975</v>
      </c>
      <c r="E467" s="2" t="s">
        <v>22</v>
      </c>
      <c r="F467" s="2" t="s">
        <v>47</v>
      </c>
      <c r="G467" s="2" t="s">
        <v>36</v>
      </c>
      <c r="H467" s="2" t="s">
        <v>41</v>
      </c>
      <c r="I467" s="2" t="s">
        <v>25</v>
      </c>
      <c r="J467" s="2" t="s">
        <v>49</v>
      </c>
      <c r="K467" s="2" t="s">
        <v>34</v>
      </c>
      <c r="L467" s="2">
        <v>6</v>
      </c>
      <c r="M467" s="2">
        <v>3773.04</v>
      </c>
      <c r="N467" s="2">
        <v>0</v>
      </c>
      <c r="O467" s="2">
        <v>22638.240000000002</v>
      </c>
      <c r="P467" s="2">
        <f t="shared" si="70"/>
        <v>22638.239999999998</v>
      </c>
      <c r="Q467" s="2">
        <f t="shared" si="71"/>
        <v>0</v>
      </c>
      <c r="R467" s="2">
        <f t="shared" si="72"/>
        <v>22638.239999999998</v>
      </c>
      <c r="S467" s="2" t="str">
        <f t="shared" si="73"/>
        <v>High</v>
      </c>
      <c r="T467" s="2" t="str" cm="1">
        <f t="array" ref="T467">_xlfn.IFS(L467&gt;5,"High",L467=5,"Medium",L467&lt;5,"Low")</f>
        <v>High</v>
      </c>
      <c r="U467" s="2" t="str">
        <f t="shared" si="74"/>
        <v>High</v>
      </c>
      <c r="V467" s="14" t="str">
        <f t="shared" si="75"/>
        <v>Normal Discount</v>
      </c>
      <c r="W467" s="16" t="str">
        <f t="shared" si="76"/>
        <v>Excellent</v>
      </c>
      <c r="X467" s="18" t="str" cm="1">
        <f t="array" ref="X467">_xlfn.IFS(O467&gt;7000,"Excellent",O467&gt;4000,"Good",O467&lt;4000,"Average")</f>
        <v>Excellent</v>
      </c>
      <c r="AD467" s="23" t="str">
        <f t="shared" si="77"/>
        <v>Eligible</v>
      </c>
      <c r="AE467" s="24" t="str">
        <f t="shared" si="78"/>
        <v>Offline</v>
      </c>
      <c r="AF467" s="27" t="str">
        <f t="shared" si="79"/>
        <v>Priority Order</v>
      </c>
    </row>
    <row r="468" spans="1:32" x14ac:dyDescent="0.3">
      <c r="A468" s="2">
        <v>10467</v>
      </c>
      <c r="B468" s="2">
        <v>1219</v>
      </c>
      <c r="C468" s="3">
        <v>45127</v>
      </c>
      <c r="D468" s="3">
        <v>45129</v>
      </c>
      <c r="E468" s="2" t="s">
        <v>28</v>
      </c>
      <c r="F468" s="2" t="s">
        <v>47</v>
      </c>
      <c r="G468" s="2" t="s">
        <v>23</v>
      </c>
      <c r="H468" s="2" t="s">
        <v>50</v>
      </c>
      <c r="I468" s="2" t="s">
        <v>32</v>
      </c>
      <c r="J468" s="2" t="s">
        <v>75</v>
      </c>
      <c r="K468" s="2" t="s">
        <v>34</v>
      </c>
      <c r="L468" s="2">
        <v>4</v>
      </c>
      <c r="M468" s="2">
        <v>3509.72</v>
      </c>
      <c r="N468" s="2">
        <v>15</v>
      </c>
      <c r="O468" s="2">
        <v>11933.05</v>
      </c>
      <c r="P468" s="2">
        <f t="shared" si="70"/>
        <v>14038.88</v>
      </c>
      <c r="Q468" s="2">
        <f t="shared" si="71"/>
        <v>2105.8319999999999</v>
      </c>
      <c r="R468" s="2">
        <f t="shared" si="72"/>
        <v>11933.047999999999</v>
      </c>
      <c r="S468" s="2" t="str">
        <f t="shared" si="73"/>
        <v>Low</v>
      </c>
      <c r="T468" s="2" t="str" cm="1">
        <f t="array" ref="T468">_xlfn.IFS(L468&gt;5,"High",L468=5,"Medium",L468&lt;5,"Low")</f>
        <v>Low</v>
      </c>
      <c r="U468" s="2" t="str">
        <f t="shared" si="74"/>
        <v>Low</v>
      </c>
      <c r="V468" s="14" t="str">
        <f t="shared" si="75"/>
        <v>Heavy Discount</v>
      </c>
      <c r="W468" s="16" t="str">
        <f t="shared" si="76"/>
        <v>Excellent</v>
      </c>
      <c r="X468" s="18" t="str" cm="1">
        <f t="array" ref="X468">_xlfn.IFS(O468&gt;7000,"Excellent",O468&gt;4000,"Good",O468&lt;4000,"Average")</f>
        <v>Excellent</v>
      </c>
      <c r="AD468" s="23" t="str">
        <f t="shared" si="77"/>
        <v>Not Eligible</v>
      </c>
      <c r="AE468" s="24" t="str">
        <f t="shared" si="78"/>
        <v>Online</v>
      </c>
      <c r="AF468" s="27" t="str">
        <f t="shared" si="79"/>
        <v>Priority Order</v>
      </c>
    </row>
    <row r="469" spans="1:32" x14ac:dyDescent="0.3">
      <c r="A469" s="2">
        <v>10468</v>
      </c>
      <c r="B469" s="2">
        <v>1157</v>
      </c>
      <c r="C469" s="3">
        <v>45074</v>
      </c>
      <c r="D469" s="3">
        <v>45082</v>
      </c>
      <c r="E469" s="2" t="s">
        <v>28</v>
      </c>
      <c r="F469" s="2" t="s">
        <v>22</v>
      </c>
      <c r="G469" s="2" t="s">
        <v>23</v>
      </c>
      <c r="H469" s="2" t="s">
        <v>24</v>
      </c>
      <c r="I469" s="2" t="s">
        <v>63</v>
      </c>
      <c r="J469" s="2" t="s">
        <v>65</v>
      </c>
      <c r="K469" s="2" t="s">
        <v>51</v>
      </c>
      <c r="L469" s="2">
        <v>9</v>
      </c>
      <c r="M469" s="2">
        <v>1890.53</v>
      </c>
      <c r="N469" s="2">
        <v>15</v>
      </c>
      <c r="O469" s="2">
        <v>14462.55</v>
      </c>
      <c r="P469" s="2">
        <f t="shared" si="70"/>
        <v>17014.77</v>
      </c>
      <c r="Q469" s="2">
        <f t="shared" si="71"/>
        <v>2552.2154999999998</v>
      </c>
      <c r="R469" s="2">
        <f t="shared" si="72"/>
        <v>14462.5545</v>
      </c>
      <c r="S469" s="2" t="str">
        <f t="shared" si="73"/>
        <v>High</v>
      </c>
      <c r="T469" s="2" t="str" cm="1">
        <f t="array" ref="T469">_xlfn.IFS(L469&gt;5,"High",L469=5,"Medium",L469&lt;5,"Low")</f>
        <v>High</v>
      </c>
      <c r="U469" s="2" t="str">
        <f t="shared" si="74"/>
        <v>High</v>
      </c>
      <c r="V469" s="14" t="str">
        <f t="shared" si="75"/>
        <v>Heavy Discount</v>
      </c>
      <c r="W469" s="16" t="str">
        <f t="shared" si="76"/>
        <v>Excellent</v>
      </c>
      <c r="X469" s="18" t="str" cm="1">
        <f t="array" ref="X469">_xlfn.IFS(O469&gt;7000,"Excellent",O469&gt;4000,"Good",O469&lt;4000,"Average")</f>
        <v>Excellent</v>
      </c>
      <c r="AD469" s="23" t="str">
        <f t="shared" si="77"/>
        <v>Not Eligible</v>
      </c>
      <c r="AE469" s="24" t="str">
        <f t="shared" si="78"/>
        <v>Online</v>
      </c>
      <c r="AF469" s="27" t="str">
        <f t="shared" si="79"/>
        <v>Priority Order</v>
      </c>
    </row>
    <row r="470" spans="1:32" x14ac:dyDescent="0.3">
      <c r="A470" s="2">
        <v>10469</v>
      </c>
      <c r="B470" s="2">
        <v>1476</v>
      </c>
      <c r="C470" s="3">
        <v>45050</v>
      </c>
      <c r="D470" s="3">
        <v>45052</v>
      </c>
      <c r="E470" s="2" t="s">
        <v>21</v>
      </c>
      <c r="F470" s="2" t="s">
        <v>47</v>
      </c>
      <c r="G470" s="2" t="s">
        <v>36</v>
      </c>
      <c r="H470" s="2" t="s">
        <v>24</v>
      </c>
      <c r="I470" s="2" t="s">
        <v>37</v>
      </c>
      <c r="J470" s="2" t="s">
        <v>54</v>
      </c>
      <c r="K470" s="2" t="s">
        <v>51</v>
      </c>
      <c r="L470" s="2">
        <v>5</v>
      </c>
      <c r="M470" s="2">
        <v>3945.35</v>
      </c>
      <c r="N470" s="2">
        <v>5</v>
      </c>
      <c r="O470" s="2">
        <v>18740.41</v>
      </c>
      <c r="P470" s="2">
        <f t="shared" si="70"/>
        <v>19726.75</v>
      </c>
      <c r="Q470" s="2">
        <f t="shared" si="71"/>
        <v>986.33750000000009</v>
      </c>
      <c r="R470" s="2">
        <f t="shared" si="72"/>
        <v>18740.412499999999</v>
      </c>
      <c r="S470" s="2" t="str">
        <f t="shared" si="73"/>
        <v>High</v>
      </c>
      <c r="T470" s="2" t="str" cm="1">
        <f t="array" ref="T470">_xlfn.IFS(L470&gt;5,"High",L470=5,"Medium",L470&lt;5,"Low")</f>
        <v>Medium</v>
      </c>
      <c r="U470" s="2" t="str">
        <f t="shared" si="74"/>
        <v>Medium</v>
      </c>
      <c r="V470" s="14" t="str">
        <f t="shared" si="75"/>
        <v>Normal Discount</v>
      </c>
      <c r="W470" s="16" t="str">
        <f t="shared" si="76"/>
        <v>Excellent</v>
      </c>
      <c r="X470" s="18" t="str" cm="1">
        <f t="array" ref="X470">_xlfn.IFS(O470&gt;7000,"Excellent",O470&gt;4000,"Good",O470&lt;4000,"Average")</f>
        <v>Excellent</v>
      </c>
      <c r="AD470" s="23" t="str">
        <f t="shared" si="77"/>
        <v>Eligible</v>
      </c>
      <c r="AE470" s="24" t="str">
        <f t="shared" si="78"/>
        <v>Offline</v>
      </c>
      <c r="AF470" s="27" t="str">
        <f t="shared" si="79"/>
        <v>Priority Order</v>
      </c>
    </row>
    <row r="471" spans="1:32" x14ac:dyDescent="0.3">
      <c r="A471" s="2">
        <v>10470</v>
      </c>
      <c r="B471" s="2">
        <v>1045</v>
      </c>
      <c r="C471" s="3">
        <v>44927</v>
      </c>
      <c r="D471" s="3">
        <v>44936</v>
      </c>
      <c r="E471" s="2" t="s">
        <v>40</v>
      </c>
      <c r="F471" s="2" t="s">
        <v>35</v>
      </c>
      <c r="G471" s="2" t="s">
        <v>36</v>
      </c>
      <c r="H471" s="2" t="s">
        <v>24</v>
      </c>
      <c r="I471" s="2" t="s">
        <v>32</v>
      </c>
      <c r="J471" s="2" t="s">
        <v>42</v>
      </c>
      <c r="K471" s="2" t="s">
        <v>34</v>
      </c>
      <c r="L471" s="2">
        <v>8</v>
      </c>
      <c r="M471" s="2">
        <v>150.72</v>
      </c>
      <c r="N471" s="2">
        <v>5</v>
      </c>
      <c r="O471" s="2">
        <v>1145.47</v>
      </c>
      <c r="P471" s="2">
        <f t="shared" si="70"/>
        <v>1205.76</v>
      </c>
      <c r="Q471" s="2">
        <f t="shared" si="71"/>
        <v>60.288000000000004</v>
      </c>
      <c r="R471" s="2">
        <f t="shared" si="72"/>
        <v>1145.472</v>
      </c>
      <c r="S471" s="2" t="str">
        <f t="shared" si="73"/>
        <v>High</v>
      </c>
      <c r="T471" s="2" t="str" cm="1">
        <f t="array" ref="T471">_xlfn.IFS(L471&gt;5,"High",L471=5,"Medium",L471&lt;5,"Low")</f>
        <v>High</v>
      </c>
      <c r="U471" s="2" t="str">
        <f t="shared" si="74"/>
        <v>High</v>
      </c>
      <c r="V471" s="14" t="str">
        <f t="shared" si="75"/>
        <v>Normal Discount</v>
      </c>
      <c r="W471" s="16" t="str">
        <f t="shared" si="76"/>
        <v>Average</v>
      </c>
      <c r="X471" s="18" t="str" cm="1">
        <f t="array" ref="X471">_xlfn.IFS(O471&gt;7000,"Excellent",O471&gt;4000,"Good",O471&lt;4000,"Average")</f>
        <v>Average</v>
      </c>
      <c r="AD471" s="23" t="str">
        <f t="shared" si="77"/>
        <v>Not Eligible</v>
      </c>
      <c r="AE471" s="24" t="str">
        <f t="shared" si="78"/>
        <v>Offline</v>
      </c>
      <c r="AF471" s="27" t="str">
        <f t="shared" si="79"/>
        <v>Priority Order</v>
      </c>
    </row>
    <row r="472" spans="1:32" x14ac:dyDescent="0.3">
      <c r="A472" s="2">
        <v>10471</v>
      </c>
      <c r="B472" s="2">
        <v>1372</v>
      </c>
      <c r="C472" s="3">
        <v>45173</v>
      </c>
      <c r="D472" s="3">
        <v>45174</v>
      </c>
      <c r="E472" s="2" t="s">
        <v>43</v>
      </c>
      <c r="F472" s="2" t="s">
        <v>60</v>
      </c>
      <c r="G472" s="2" t="s">
        <v>23</v>
      </c>
      <c r="H472" s="2" t="s">
        <v>50</v>
      </c>
      <c r="I472" s="2" t="s">
        <v>37</v>
      </c>
      <c r="J472" s="2" t="s">
        <v>54</v>
      </c>
      <c r="K472" s="2" t="s">
        <v>39</v>
      </c>
      <c r="L472" s="2">
        <v>9</v>
      </c>
      <c r="M472" s="2">
        <v>2513.8200000000002</v>
      </c>
      <c r="N472" s="2">
        <v>5</v>
      </c>
      <c r="O472" s="2">
        <v>21493.16</v>
      </c>
      <c r="P472" s="2">
        <f t="shared" si="70"/>
        <v>22624.38</v>
      </c>
      <c r="Q472" s="2">
        <f t="shared" si="71"/>
        <v>1131.2190000000001</v>
      </c>
      <c r="R472" s="2">
        <f t="shared" si="72"/>
        <v>21493.161</v>
      </c>
      <c r="S472" s="2" t="str">
        <f t="shared" si="73"/>
        <v>High</v>
      </c>
      <c r="T472" s="2" t="str" cm="1">
        <f t="array" ref="T472">_xlfn.IFS(L472&gt;5,"High",L472=5,"Medium",L472&lt;5,"Low")</f>
        <v>High</v>
      </c>
      <c r="U472" s="2" t="str">
        <f t="shared" si="74"/>
        <v>High</v>
      </c>
      <c r="V472" s="14" t="str">
        <f t="shared" si="75"/>
        <v>Normal Discount</v>
      </c>
      <c r="W472" s="16" t="str">
        <f t="shared" si="76"/>
        <v>Excellent</v>
      </c>
      <c r="X472" s="18" t="str" cm="1">
        <f t="array" ref="X472">_xlfn.IFS(O472&gt;7000,"Excellent",O472&gt;4000,"Good",O472&lt;4000,"Average")</f>
        <v>Excellent</v>
      </c>
      <c r="AD472" s="23" t="str">
        <f t="shared" si="77"/>
        <v>Eligible</v>
      </c>
      <c r="AE472" s="24" t="str">
        <f t="shared" si="78"/>
        <v>Online</v>
      </c>
      <c r="AF472" s="27" t="str">
        <f t="shared" si="79"/>
        <v>Priority Order</v>
      </c>
    </row>
    <row r="473" spans="1:32" x14ac:dyDescent="0.3">
      <c r="A473" s="2">
        <v>10472</v>
      </c>
      <c r="B473" s="2">
        <v>1517</v>
      </c>
      <c r="C473" s="3">
        <v>45269</v>
      </c>
      <c r="D473" s="3">
        <v>45278</v>
      </c>
      <c r="E473" s="2" t="s">
        <v>21</v>
      </c>
      <c r="F473" s="2" t="s">
        <v>60</v>
      </c>
      <c r="G473" s="2" t="s">
        <v>36</v>
      </c>
      <c r="H473" s="2" t="s">
        <v>41</v>
      </c>
      <c r="I473" s="2" t="s">
        <v>37</v>
      </c>
      <c r="J473" s="2" t="s">
        <v>54</v>
      </c>
      <c r="K473" s="2" t="s">
        <v>34</v>
      </c>
      <c r="L473" s="2">
        <v>5</v>
      </c>
      <c r="M473" s="2">
        <v>2523.25</v>
      </c>
      <c r="N473" s="2">
        <v>10</v>
      </c>
      <c r="O473" s="2">
        <v>11354.63</v>
      </c>
      <c r="P473" s="2">
        <f t="shared" si="70"/>
        <v>12616.25</v>
      </c>
      <c r="Q473" s="2">
        <f t="shared" si="71"/>
        <v>1261.625</v>
      </c>
      <c r="R473" s="2">
        <f t="shared" si="72"/>
        <v>11354.625</v>
      </c>
      <c r="S473" s="2" t="str">
        <f t="shared" si="73"/>
        <v>High</v>
      </c>
      <c r="T473" s="2" t="str" cm="1">
        <f t="array" ref="T473">_xlfn.IFS(L473&gt;5,"High",L473=5,"Medium",L473&lt;5,"Low")</f>
        <v>Medium</v>
      </c>
      <c r="U473" s="2" t="str">
        <f t="shared" si="74"/>
        <v>Medium</v>
      </c>
      <c r="V473" s="14" t="str">
        <f t="shared" si="75"/>
        <v>Normal Discount</v>
      </c>
      <c r="W473" s="16" t="str">
        <f t="shared" si="76"/>
        <v>Excellent</v>
      </c>
      <c r="X473" s="18" t="str" cm="1">
        <f t="array" ref="X473">_xlfn.IFS(O473&gt;7000,"Excellent",O473&gt;4000,"Good",O473&lt;4000,"Average")</f>
        <v>Excellent</v>
      </c>
      <c r="AD473" s="23" t="str">
        <f t="shared" si="77"/>
        <v>Not Eligible</v>
      </c>
      <c r="AE473" s="24" t="str">
        <f t="shared" si="78"/>
        <v>Offline</v>
      </c>
      <c r="AF473" s="27" t="str">
        <f t="shared" si="79"/>
        <v>Priority Order</v>
      </c>
    </row>
    <row r="474" spans="1:32" x14ac:dyDescent="0.3">
      <c r="A474" s="2">
        <v>10473</v>
      </c>
      <c r="B474" s="2">
        <v>1098</v>
      </c>
      <c r="C474" s="3">
        <v>45054</v>
      </c>
      <c r="D474" s="3">
        <v>45055</v>
      </c>
      <c r="E474" s="2" t="s">
        <v>52</v>
      </c>
      <c r="F474" s="2" t="s">
        <v>60</v>
      </c>
      <c r="G474" s="2" t="s">
        <v>36</v>
      </c>
      <c r="H474" s="2" t="s">
        <v>24</v>
      </c>
      <c r="I474" s="2" t="s">
        <v>37</v>
      </c>
      <c r="J474" s="2" t="s">
        <v>54</v>
      </c>
      <c r="K474" s="2" t="s">
        <v>39</v>
      </c>
      <c r="L474" s="2">
        <v>6</v>
      </c>
      <c r="M474" s="2">
        <v>1911.16</v>
      </c>
      <c r="N474" s="2">
        <v>5</v>
      </c>
      <c r="O474" s="2">
        <v>10893.61</v>
      </c>
      <c r="P474" s="2">
        <f t="shared" si="70"/>
        <v>11466.960000000001</v>
      </c>
      <c r="Q474" s="2">
        <f t="shared" si="71"/>
        <v>573.34800000000007</v>
      </c>
      <c r="R474" s="2">
        <f t="shared" si="72"/>
        <v>10893.612000000001</v>
      </c>
      <c r="S474" s="2" t="str">
        <f t="shared" si="73"/>
        <v>High</v>
      </c>
      <c r="T474" s="2" t="str" cm="1">
        <f t="array" ref="T474">_xlfn.IFS(L474&gt;5,"High",L474=5,"Medium",L474&lt;5,"Low")</f>
        <v>High</v>
      </c>
      <c r="U474" s="2" t="str">
        <f t="shared" si="74"/>
        <v>High</v>
      </c>
      <c r="V474" s="14" t="str">
        <f t="shared" si="75"/>
        <v>Normal Discount</v>
      </c>
      <c r="W474" s="16" t="str">
        <f t="shared" si="76"/>
        <v>Excellent</v>
      </c>
      <c r="X474" s="18" t="str" cm="1">
        <f t="array" ref="X474">_xlfn.IFS(O474&gt;7000,"Excellent",O474&gt;4000,"Good",O474&lt;4000,"Average")</f>
        <v>Excellent</v>
      </c>
      <c r="AD474" s="23" t="str">
        <f t="shared" si="77"/>
        <v>Eligible</v>
      </c>
      <c r="AE474" s="24" t="str">
        <f t="shared" si="78"/>
        <v>Offline</v>
      </c>
      <c r="AF474" s="27" t="str">
        <f t="shared" si="79"/>
        <v>Priority Order</v>
      </c>
    </row>
    <row r="475" spans="1:32" x14ac:dyDescent="0.3">
      <c r="A475" s="2">
        <v>10474</v>
      </c>
      <c r="B475" s="2">
        <v>1891</v>
      </c>
      <c r="C475" s="3">
        <v>45117</v>
      </c>
      <c r="D475" s="3">
        <v>45119</v>
      </c>
      <c r="E475" s="2" t="s">
        <v>52</v>
      </c>
      <c r="F475" s="2" t="s">
        <v>22</v>
      </c>
      <c r="G475" s="2" t="s">
        <v>23</v>
      </c>
      <c r="H475" s="2" t="s">
        <v>41</v>
      </c>
      <c r="I475" s="2" t="s">
        <v>32</v>
      </c>
      <c r="J475" s="2" t="s">
        <v>33</v>
      </c>
      <c r="K475" s="2" t="s">
        <v>51</v>
      </c>
      <c r="L475" s="2">
        <v>1</v>
      </c>
      <c r="M475" s="2">
        <v>1678.25</v>
      </c>
      <c r="N475" s="2">
        <v>15</v>
      </c>
      <c r="O475" s="2">
        <v>1426.51</v>
      </c>
      <c r="P475" s="2">
        <f t="shared" si="70"/>
        <v>1678.25</v>
      </c>
      <c r="Q475" s="2">
        <f t="shared" si="71"/>
        <v>251.73749999999998</v>
      </c>
      <c r="R475" s="2">
        <f t="shared" si="72"/>
        <v>1426.5125</v>
      </c>
      <c r="S475" s="2" t="str">
        <f t="shared" si="73"/>
        <v>Low</v>
      </c>
      <c r="T475" s="2" t="str" cm="1">
        <f t="array" ref="T475">_xlfn.IFS(L475&gt;5,"High",L475=5,"Medium",L475&lt;5,"Low")</f>
        <v>Low</v>
      </c>
      <c r="U475" s="2" t="str">
        <f t="shared" si="74"/>
        <v>Low</v>
      </c>
      <c r="V475" s="14" t="str">
        <f t="shared" si="75"/>
        <v>Heavy Discount</v>
      </c>
      <c r="W475" s="16" t="str">
        <f t="shared" si="76"/>
        <v>Average</v>
      </c>
      <c r="X475" s="18" t="str" cm="1">
        <f t="array" ref="X475">_xlfn.IFS(O475&gt;7000,"Excellent",O475&gt;4000,"Good",O475&lt;4000,"Average")</f>
        <v>Average</v>
      </c>
      <c r="AD475" s="23" t="str">
        <f t="shared" si="77"/>
        <v>Not Eligible</v>
      </c>
      <c r="AE475" s="24" t="str">
        <f t="shared" si="78"/>
        <v>Online</v>
      </c>
      <c r="AF475" s="27" t="str">
        <f t="shared" si="79"/>
        <v>Normal Order</v>
      </c>
    </row>
    <row r="476" spans="1:32" x14ac:dyDescent="0.3">
      <c r="A476" s="2">
        <v>10475</v>
      </c>
      <c r="B476" s="2">
        <v>1744</v>
      </c>
      <c r="C476" s="3">
        <v>44993</v>
      </c>
      <c r="D476" s="3">
        <v>44999</v>
      </c>
      <c r="E476" s="2" t="s">
        <v>52</v>
      </c>
      <c r="F476" s="2" t="s">
        <v>22</v>
      </c>
      <c r="G476" s="2" t="s">
        <v>36</v>
      </c>
      <c r="H476" s="2" t="s">
        <v>50</v>
      </c>
      <c r="I476" s="2" t="s">
        <v>25</v>
      </c>
      <c r="J476" s="2" t="s">
        <v>61</v>
      </c>
      <c r="K476" s="2" t="s">
        <v>27</v>
      </c>
      <c r="L476" s="2">
        <v>7</v>
      </c>
      <c r="M476" s="2">
        <v>1903.23</v>
      </c>
      <c r="N476" s="2">
        <v>10</v>
      </c>
      <c r="O476" s="2">
        <v>11990.35</v>
      </c>
      <c r="P476" s="2">
        <f t="shared" si="70"/>
        <v>13322.61</v>
      </c>
      <c r="Q476" s="2">
        <f t="shared" si="71"/>
        <v>1332.2610000000002</v>
      </c>
      <c r="R476" s="2">
        <f t="shared" si="72"/>
        <v>11990.349</v>
      </c>
      <c r="S476" s="2" t="str">
        <f t="shared" si="73"/>
        <v>High</v>
      </c>
      <c r="T476" s="2" t="str" cm="1">
        <f t="array" ref="T476">_xlfn.IFS(L476&gt;5,"High",L476=5,"Medium",L476&lt;5,"Low")</f>
        <v>High</v>
      </c>
      <c r="U476" s="2" t="str">
        <f t="shared" si="74"/>
        <v>High</v>
      </c>
      <c r="V476" s="14" t="str">
        <f t="shared" si="75"/>
        <v>Normal Discount</v>
      </c>
      <c r="W476" s="16" t="str">
        <f t="shared" si="76"/>
        <v>Excellent</v>
      </c>
      <c r="X476" s="18" t="str" cm="1">
        <f t="array" ref="X476">_xlfn.IFS(O476&gt;7000,"Excellent",O476&gt;4000,"Good",O476&lt;4000,"Average")</f>
        <v>Excellent</v>
      </c>
      <c r="AD476" s="23" t="str">
        <f t="shared" si="77"/>
        <v>Not Eligible</v>
      </c>
      <c r="AE476" s="24" t="str">
        <f t="shared" si="78"/>
        <v>Offline</v>
      </c>
      <c r="AF476" s="27" t="str">
        <f t="shared" si="79"/>
        <v>Priority Order</v>
      </c>
    </row>
    <row r="477" spans="1:32" x14ac:dyDescent="0.3">
      <c r="A477" s="2">
        <v>10476</v>
      </c>
      <c r="B477" s="2">
        <v>1036</v>
      </c>
      <c r="C477" s="3">
        <v>44930</v>
      </c>
      <c r="D477" s="3">
        <v>44936</v>
      </c>
      <c r="E477" s="2" t="s">
        <v>52</v>
      </c>
      <c r="F477" s="2" t="s">
        <v>44</v>
      </c>
      <c r="G477" s="2" t="s">
        <v>36</v>
      </c>
      <c r="H477" s="2" t="s">
        <v>41</v>
      </c>
      <c r="I477" s="2" t="s">
        <v>25</v>
      </c>
      <c r="J477" s="2" t="s">
        <v>26</v>
      </c>
      <c r="K477" s="2" t="s">
        <v>51</v>
      </c>
      <c r="L477" s="2">
        <v>4</v>
      </c>
      <c r="M477" s="2">
        <v>1747.6</v>
      </c>
      <c r="N477" s="2">
        <v>20</v>
      </c>
      <c r="O477" s="2">
        <v>5592.32</v>
      </c>
      <c r="P477" s="2">
        <f t="shared" si="70"/>
        <v>6990.4</v>
      </c>
      <c r="Q477" s="2">
        <f t="shared" si="71"/>
        <v>1398.08</v>
      </c>
      <c r="R477" s="2">
        <f t="shared" si="72"/>
        <v>5592.32</v>
      </c>
      <c r="S477" s="2" t="str">
        <f t="shared" si="73"/>
        <v>Low</v>
      </c>
      <c r="T477" s="2" t="str" cm="1">
        <f t="array" ref="T477">_xlfn.IFS(L477&gt;5,"High",L477=5,"Medium",L477&lt;5,"Low")</f>
        <v>Low</v>
      </c>
      <c r="U477" s="2" t="str">
        <f t="shared" si="74"/>
        <v>Low</v>
      </c>
      <c r="V477" s="14" t="str">
        <f t="shared" si="75"/>
        <v>Heavy Discount</v>
      </c>
      <c r="W477" s="16" t="str">
        <f t="shared" si="76"/>
        <v>Good</v>
      </c>
      <c r="X477" s="18" t="str" cm="1">
        <f t="array" ref="X477">_xlfn.IFS(O477&gt;7000,"Excellent",O477&gt;4000,"Good",O477&lt;4000,"Average")</f>
        <v>Good</v>
      </c>
      <c r="AD477" s="23" t="str">
        <f t="shared" si="77"/>
        <v>Not Eligible</v>
      </c>
      <c r="AE477" s="24" t="str">
        <f t="shared" si="78"/>
        <v>Offline</v>
      </c>
      <c r="AF477" s="27" t="str">
        <f t="shared" si="79"/>
        <v>Normal Order</v>
      </c>
    </row>
    <row r="478" spans="1:32" x14ac:dyDescent="0.3">
      <c r="A478" s="2">
        <v>10477</v>
      </c>
      <c r="B478" s="2">
        <v>1279</v>
      </c>
      <c r="C478" s="3">
        <v>45229</v>
      </c>
      <c r="D478" s="3">
        <v>45230</v>
      </c>
      <c r="E478" s="2" t="s">
        <v>40</v>
      </c>
      <c r="F478" s="2" t="s">
        <v>60</v>
      </c>
      <c r="G478" s="2" t="s">
        <v>36</v>
      </c>
      <c r="H478" s="2" t="s">
        <v>50</v>
      </c>
      <c r="I478" s="2" t="s">
        <v>37</v>
      </c>
      <c r="J478" s="2" t="s">
        <v>54</v>
      </c>
      <c r="K478" s="2" t="s">
        <v>51</v>
      </c>
      <c r="L478" s="2">
        <v>2</v>
      </c>
      <c r="M478" s="2">
        <v>2962.4</v>
      </c>
      <c r="N478" s="2">
        <v>0</v>
      </c>
      <c r="O478" s="2">
        <v>5924.8</v>
      </c>
      <c r="P478" s="2">
        <f t="shared" si="70"/>
        <v>5924.8</v>
      </c>
      <c r="Q478" s="2">
        <f t="shared" si="71"/>
        <v>0</v>
      </c>
      <c r="R478" s="2">
        <f t="shared" si="72"/>
        <v>5924.8</v>
      </c>
      <c r="S478" s="2" t="str">
        <f t="shared" si="73"/>
        <v>Low</v>
      </c>
      <c r="T478" s="2" t="str" cm="1">
        <f t="array" ref="T478">_xlfn.IFS(L478&gt;5,"High",L478=5,"Medium",L478&lt;5,"Low")</f>
        <v>Low</v>
      </c>
      <c r="U478" s="2" t="str">
        <f t="shared" si="74"/>
        <v>Low</v>
      </c>
      <c r="V478" s="14" t="str">
        <f t="shared" si="75"/>
        <v>Normal Discount</v>
      </c>
      <c r="W478" s="16" t="str">
        <f t="shared" si="76"/>
        <v>Good</v>
      </c>
      <c r="X478" s="18" t="str" cm="1">
        <f t="array" ref="X478">_xlfn.IFS(O478&gt;7000,"Excellent",O478&gt;4000,"Good",O478&lt;4000,"Average")</f>
        <v>Good</v>
      </c>
      <c r="AD478" s="23" t="str">
        <f t="shared" si="77"/>
        <v>Eligible</v>
      </c>
      <c r="AE478" s="24" t="str">
        <f t="shared" si="78"/>
        <v>Offline</v>
      </c>
      <c r="AF478" s="27" t="str">
        <f t="shared" si="79"/>
        <v>Normal Order</v>
      </c>
    </row>
    <row r="479" spans="1:32" x14ac:dyDescent="0.3">
      <c r="A479" s="2">
        <v>10478</v>
      </c>
      <c r="B479" s="2">
        <v>1348</v>
      </c>
      <c r="C479" s="3">
        <v>45220</v>
      </c>
      <c r="D479" s="3">
        <v>45227</v>
      </c>
      <c r="E479" s="2" t="s">
        <v>43</v>
      </c>
      <c r="F479" s="2" t="s">
        <v>35</v>
      </c>
      <c r="G479" s="2" t="s">
        <v>23</v>
      </c>
      <c r="H479" s="2" t="s">
        <v>50</v>
      </c>
      <c r="I479" s="2" t="s">
        <v>63</v>
      </c>
      <c r="J479" s="2" t="s">
        <v>68</v>
      </c>
      <c r="K479" s="2" t="s">
        <v>53</v>
      </c>
      <c r="L479" s="2">
        <v>5</v>
      </c>
      <c r="M479" s="2">
        <v>671.12</v>
      </c>
      <c r="N479" s="2">
        <v>5</v>
      </c>
      <c r="O479" s="2">
        <v>3187.82</v>
      </c>
      <c r="P479" s="2">
        <f t="shared" si="70"/>
        <v>3355.6</v>
      </c>
      <c r="Q479" s="2">
        <f t="shared" si="71"/>
        <v>167.78</v>
      </c>
      <c r="R479" s="2">
        <f t="shared" si="72"/>
        <v>3187.8199999999997</v>
      </c>
      <c r="S479" s="2" t="str">
        <f t="shared" si="73"/>
        <v>High</v>
      </c>
      <c r="T479" s="2" t="str" cm="1">
        <f t="array" ref="T479">_xlfn.IFS(L479&gt;5,"High",L479=5,"Medium",L479&lt;5,"Low")</f>
        <v>Medium</v>
      </c>
      <c r="U479" s="2" t="str">
        <f t="shared" si="74"/>
        <v>Medium</v>
      </c>
      <c r="V479" s="14" t="str">
        <f t="shared" si="75"/>
        <v>Normal Discount</v>
      </c>
      <c r="W479" s="16" t="str">
        <f t="shared" si="76"/>
        <v>Average</v>
      </c>
      <c r="X479" s="18" t="str" cm="1">
        <f t="array" ref="X479">_xlfn.IFS(O479&gt;7000,"Excellent",O479&gt;4000,"Good",O479&lt;4000,"Average")</f>
        <v>Average</v>
      </c>
      <c r="AD479" s="23" t="str">
        <f t="shared" si="77"/>
        <v>Not Eligible</v>
      </c>
      <c r="AE479" s="24" t="str">
        <f t="shared" si="78"/>
        <v>Online</v>
      </c>
      <c r="AF479" s="27" t="str">
        <f t="shared" si="79"/>
        <v>Normal Order</v>
      </c>
    </row>
    <row r="480" spans="1:32" x14ac:dyDescent="0.3">
      <c r="A480" s="2">
        <v>10479</v>
      </c>
      <c r="B480" s="2">
        <v>1496</v>
      </c>
      <c r="C480" s="3">
        <v>45069</v>
      </c>
      <c r="D480" s="3">
        <v>45077</v>
      </c>
      <c r="E480" s="2" t="s">
        <v>46</v>
      </c>
      <c r="F480" s="2" t="s">
        <v>47</v>
      </c>
      <c r="G480" s="2" t="s">
        <v>36</v>
      </c>
      <c r="H480" s="2" t="s">
        <v>48</v>
      </c>
      <c r="I480" s="2" t="s">
        <v>55</v>
      </c>
      <c r="J480" s="2" t="s">
        <v>74</v>
      </c>
      <c r="K480" s="2" t="s">
        <v>53</v>
      </c>
      <c r="L480" s="2">
        <v>3</v>
      </c>
      <c r="M480" s="2">
        <v>910.91</v>
      </c>
      <c r="N480" s="2">
        <v>20</v>
      </c>
      <c r="O480" s="2">
        <v>2186.1799999999998</v>
      </c>
      <c r="P480" s="2">
        <f t="shared" si="70"/>
        <v>2732.73</v>
      </c>
      <c r="Q480" s="2">
        <f t="shared" si="71"/>
        <v>546.54600000000005</v>
      </c>
      <c r="R480" s="2">
        <f t="shared" si="72"/>
        <v>2186.1840000000002</v>
      </c>
      <c r="S480" s="2" t="str">
        <f t="shared" si="73"/>
        <v>Low</v>
      </c>
      <c r="T480" s="2" t="str" cm="1">
        <f t="array" ref="T480">_xlfn.IFS(L480&gt;5,"High",L480=5,"Medium",L480&lt;5,"Low")</f>
        <v>Low</v>
      </c>
      <c r="U480" s="2" t="str">
        <f t="shared" si="74"/>
        <v>Low</v>
      </c>
      <c r="V480" s="14" t="str">
        <f t="shared" si="75"/>
        <v>Heavy Discount</v>
      </c>
      <c r="W480" s="16" t="str">
        <f t="shared" si="76"/>
        <v>Average</v>
      </c>
      <c r="X480" s="18" t="str" cm="1">
        <f t="array" ref="X480">_xlfn.IFS(O480&gt;7000,"Excellent",O480&gt;4000,"Good",O480&lt;4000,"Average")</f>
        <v>Average</v>
      </c>
      <c r="AD480" s="23" t="str">
        <f t="shared" si="77"/>
        <v>Not Eligible</v>
      </c>
      <c r="AE480" s="24" t="str">
        <f t="shared" si="78"/>
        <v>Offline</v>
      </c>
      <c r="AF480" s="27" t="str">
        <f t="shared" si="79"/>
        <v>Normal Order</v>
      </c>
    </row>
    <row r="481" spans="1:32" x14ac:dyDescent="0.3">
      <c r="A481" s="2">
        <v>10480</v>
      </c>
      <c r="B481" s="2">
        <v>1301</v>
      </c>
      <c r="C481" s="3">
        <v>45117</v>
      </c>
      <c r="D481" s="3">
        <v>45119</v>
      </c>
      <c r="E481" s="2" t="s">
        <v>22</v>
      </c>
      <c r="F481" s="2" t="s">
        <v>35</v>
      </c>
      <c r="G481" s="2" t="s">
        <v>23</v>
      </c>
      <c r="H481" s="2" t="s">
        <v>50</v>
      </c>
      <c r="I481" s="2" t="s">
        <v>32</v>
      </c>
      <c r="J481" s="2" t="s">
        <v>42</v>
      </c>
      <c r="K481" s="2" t="s">
        <v>53</v>
      </c>
      <c r="L481" s="2">
        <v>6</v>
      </c>
      <c r="M481" s="2">
        <v>845</v>
      </c>
      <c r="N481" s="2">
        <v>15</v>
      </c>
      <c r="O481" s="2">
        <v>4309.5</v>
      </c>
      <c r="P481" s="2">
        <f t="shared" si="70"/>
        <v>5070</v>
      </c>
      <c r="Q481" s="2">
        <f t="shared" si="71"/>
        <v>760.5</v>
      </c>
      <c r="R481" s="2">
        <f t="shared" si="72"/>
        <v>4309.5</v>
      </c>
      <c r="S481" s="2" t="str">
        <f t="shared" si="73"/>
        <v>High</v>
      </c>
      <c r="T481" s="2" t="str" cm="1">
        <f t="array" ref="T481">_xlfn.IFS(L481&gt;5,"High",L481=5,"Medium",L481&lt;5,"Low")</f>
        <v>High</v>
      </c>
      <c r="U481" s="2" t="str">
        <f t="shared" si="74"/>
        <v>High</v>
      </c>
      <c r="V481" s="14" t="str">
        <f t="shared" si="75"/>
        <v>Heavy Discount</v>
      </c>
      <c r="W481" s="16" t="str">
        <f t="shared" si="76"/>
        <v>Good</v>
      </c>
      <c r="X481" s="18" t="str" cm="1">
        <f t="array" ref="X481">_xlfn.IFS(O481&gt;7000,"Excellent",O481&gt;4000,"Good",O481&lt;4000,"Average")</f>
        <v>Good</v>
      </c>
      <c r="AD481" s="23" t="str">
        <f t="shared" si="77"/>
        <v>Not Eligible</v>
      </c>
      <c r="AE481" s="24" t="str">
        <f t="shared" si="78"/>
        <v>Online</v>
      </c>
      <c r="AF481" s="27" t="str">
        <f t="shared" si="79"/>
        <v>Priority Order</v>
      </c>
    </row>
    <row r="482" spans="1:32" x14ac:dyDescent="0.3">
      <c r="A482" s="2">
        <v>10481</v>
      </c>
      <c r="B482" s="2">
        <v>1180</v>
      </c>
      <c r="C482" s="3">
        <v>44947</v>
      </c>
      <c r="D482" s="3">
        <v>44955</v>
      </c>
      <c r="E482" s="2" t="s">
        <v>40</v>
      </c>
      <c r="F482" s="2" t="s">
        <v>47</v>
      </c>
      <c r="G482" s="2" t="s">
        <v>23</v>
      </c>
      <c r="H482" s="2" t="s">
        <v>50</v>
      </c>
      <c r="I482" s="2" t="s">
        <v>55</v>
      </c>
      <c r="J482" s="2" t="s">
        <v>56</v>
      </c>
      <c r="K482" s="2" t="s">
        <v>53</v>
      </c>
      <c r="L482" s="2">
        <v>8</v>
      </c>
      <c r="M482" s="2">
        <v>1160.51</v>
      </c>
      <c r="N482" s="2">
        <v>0</v>
      </c>
      <c r="O482" s="2">
        <v>9284.08</v>
      </c>
      <c r="P482" s="2">
        <f t="shared" si="70"/>
        <v>9284.08</v>
      </c>
      <c r="Q482" s="2">
        <f t="shared" si="71"/>
        <v>0</v>
      </c>
      <c r="R482" s="2">
        <f t="shared" si="72"/>
        <v>9284.08</v>
      </c>
      <c r="S482" s="2" t="str">
        <f t="shared" si="73"/>
        <v>High</v>
      </c>
      <c r="T482" s="2" t="str" cm="1">
        <f t="array" ref="T482">_xlfn.IFS(L482&gt;5,"High",L482=5,"Medium",L482&lt;5,"Low")</f>
        <v>High</v>
      </c>
      <c r="U482" s="2" t="str">
        <f t="shared" si="74"/>
        <v>High</v>
      </c>
      <c r="V482" s="14" t="str">
        <f t="shared" si="75"/>
        <v>Normal Discount</v>
      </c>
      <c r="W482" s="16" t="str">
        <f t="shared" si="76"/>
        <v>Excellent</v>
      </c>
      <c r="X482" s="18" t="str" cm="1">
        <f t="array" ref="X482">_xlfn.IFS(O482&gt;7000,"Excellent",O482&gt;4000,"Good",O482&lt;4000,"Average")</f>
        <v>Excellent</v>
      </c>
      <c r="AD482" s="23" t="str">
        <f t="shared" si="77"/>
        <v>Eligible</v>
      </c>
      <c r="AE482" s="24" t="str">
        <f t="shared" si="78"/>
        <v>Online</v>
      </c>
      <c r="AF482" s="27" t="str">
        <f t="shared" si="79"/>
        <v>Priority Order</v>
      </c>
    </row>
    <row r="483" spans="1:32" x14ac:dyDescent="0.3">
      <c r="A483" s="2">
        <v>10482</v>
      </c>
      <c r="B483" s="2">
        <v>1606</v>
      </c>
      <c r="C483" s="3">
        <v>45153</v>
      </c>
      <c r="D483" s="3">
        <v>45162</v>
      </c>
      <c r="E483" s="2" t="s">
        <v>40</v>
      </c>
      <c r="F483" s="2" t="s">
        <v>60</v>
      </c>
      <c r="G483" s="2" t="s">
        <v>30</v>
      </c>
      <c r="H483" s="2" t="s">
        <v>31</v>
      </c>
      <c r="I483" s="2" t="s">
        <v>63</v>
      </c>
      <c r="J483" s="2" t="s">
        <v>73</v>
      </c>
      <c r="K483" s="2" t="s">
        <v>39</v>
      </c>
      <c r="L483" s="2">
        <v>7</v>
      </c>
      <c r="M483" s="2">
        <v>2172.2399999999998</v>
      </c>
      <c r="N483" s="2">
        <v>20</v>
      </c>
      <c r="O483" s="2">
        <v>12164.54</v>
      </c>
      <c r="P483" s="2">
        <f t="shared" si="70"/>
        <v>15205.679999999998</v>
      </c>
      <c r="Q483" s="2">
        <f t="shared" si="71"/>
        <v>3041.136</v>
      </c>
      <c r="R483" s="2">
        <f t="shared" si="72"/>
        <v>12164.543999999998</v>
      </c>
      <c r="S483" s="2" t="str">
        <f t="shared" si="73"/>
        <v>High</v>
      </c>
      <c r="T483" s="2" t="str" cm="1">
        <f t="array" ref="T483">_xlfn.IFS(L483&gt;5,"High",L483=5,"Medium",L483&lt;5,"Low")</f>
        <v>High</v>
      </c>
      <c r="U483" s="2" t="str">
        <f t="shared" si="74"/>
        <v>High</v>
      </c>
      <c r="V483" s="14" t="str">
        <f t="shared" si="75"/>
        <v>Heavy Discount</v>
      </c>
      <c r="W483" s="16" t="str">
        <f t="shared" si="76"/>
        <v>Excellent</v>
      </c>
      <c r="X483" s="18" t="str" cm="1">
        <f t="array" ref="X483">_xlfn.IFS(O483&gt;7000,"Excellent",O483&gt;4000,"Good",O483&lt;4000,"Average")</f>
        <v>Excellent</v>
      </c>
      <c r="AD483" s="23" t="str">
        <f t="shared" si="77"/>
        <v>Not Eligible</v>
      </c>
      <c r="AE483" s="24" t="str">
        <f t="shared" si="78"/>
        <v>Online</v>
      </c>
      <c r="AF483" s="27" t="str">
        <f t="shared" si="79"/>
        <v>Priority Order</v>
      </c>
    </row>
    <row r="484" spans="1:32" x14ac:dyDescent="0.3">
      <c r="A484" s="2">
        <v>10483</v>
      </c>
      <c r="B484" s="2">
        <v>1098</v>
      </c>
      <c r="C484" s="3">
        <v>45239</v>
      </c>
      <c r="D484" s="3">
        <v>45245</v>
      </c>
      <c r="E484" s="2" t="s">
        <v>46</v>
      </c>
      <c r="F484" s="2" t="s">
        <v>60</v>
      </c>
      <c r="G484" s="2" t="s">
        <v>30</v>
      </c>
      <c r="H484" s="2" t="s">
        <v>24</v>
      </c>
      <c r="I484" s="2" t="s">
        <v>32</v>
      </c>
      <c r="J484" s="2" t="s">
        <v>67</v>
      </c>
      <c r="K484" s="2" t="s">
        <v>34</v>
      </c>
      <c r="L484" s="2">
        <v>3</v>
      </c>
      <c r="M484" s="2">
        <v>578.15</v>
      </c>
      <c r="N484" s="2">
        <v>0</v>
      </c>
      <c r="O484" s="2">
        <v>1734.45</v>
      </c>
      <c r="P484" s="2">
        <f t="shared" si="70"/>
        <v>1734.4499999999998</v>
      </c>
      <c r="Q484" s="2">
        <f t="shared" si="71"/>
        <v>0</v>
      </c>
      <c r="R484" s="2">
        <f t="shared" si="72"/>
        <v>1734.4499999999998</v>
      </c>
      <c r="S484" s="2" t="str">
        <f t="shared" si="73"/>
        <v>Low</v>
      </c>
      <c r="T484" s="2" t="str" cm="1">
        <f t="array" ref="T484">_xlfn.IFS(L484&gt;5,"High",L484=5,"Medium",L484&lt;5,"Low")</f>
        <v>Low</v>
      </c>
      <c r="U484" s="2" t="str">
        <f t="shared" si="74"/>
        <v>Low</v>
      </c>
      <c r="V484" s="14" t="str">
        <f t="shared" si="75"/>
        <v>Normal Discount</v>
      </c>
      <c r="W484" s="16" t="str">
        <f t="shared" si="76"/>
        <v>Average</v>
      </c>
      <c r="X484" s="18" t="str" cm="1">
        <f t="array" ref="X484">_xlfn.IFS(O484&gt;7000,"Excellent",O484&gt;4000,"Good",O484&lt;4000,"Average")</f>
        <v>Average</v>
      </c>
      <c r="AD484" s="23" t="str">
        <f t="shared" si="77"/>
        <v>Not Eligible</v>
      </c>
      <c r="AE484" s="24" t="str">
        <f t="shared" si="78"/>
        <v>Online</v>
      </c>
      <c r="AF484" s="27" t="str">
        <f t="shared" si="79"/>
        <v>Normal Order</v>
      </c>
    </row>
    <row r="485" spans="1:32" x14ac:dyDescent="0.3">
      <c r="A485" s="2">
        <v>10484</v>
      </c>
      <c r="B485" s="2">
        <v>1699</v>
      </c>
      <c r="C485" s="3">
        <v>45043</v>
      </c>
      <c r="D485" s="3">
        <v>45048</v>
      </c>
      <c r="E485" s="2" t="s">
        <v>46</v>
      </c>
      <c r="F485" s="2" t="s">
        <v>60</v>
      </c>
      <c r="G485" s="2" t="s">
        <v>36</v>
      </c>
      <c r="H485" s="2" t="s">
        <v>48</v>
      </c>
      <c r="I485" s="2" t="s">
        <v>37</v>
      </c>
      <c r="J485" s="2" t="s">
        <v>71</v>
      </c>
      <c r="K485" s="2" t="s">
        <v>27</v>
      </c>
      <c r="L485" s="2">
        <v>8</v>
      </c>
      <c r="M485" s="2">
        <v>3492.45</v>
      </c>
      <c r="N485" s="2">
        <v>5</v>
      </c>
      <c r="O485" s="2">
        <v>26542.62</v>
      </c>
      <c r="P485" s="2">
        <f t="shared" si="70"/>
        <v>27939.599999999999</v>
      </c>
      <c r="Q485" s="2">
        <f t="shared" si="71"/>
        <v>1396.98</v>
      </c>
      <c r="R485" s="2">
        <f t="shared" si="72"/>
        <v>26542.62</v>
      </c>
      <c r="S485" s="2" t="str">
        <f t="shared" si="73"/>
        <v>High</v>
      </c>
      <c r="T485" s="2" t="str" cm="1">
        <f t="array" ref="T485">_xlfn.IFS(L485&gt;5,"High",L485=5,"Medium",L485&lt;5,"Low")</f>
        <v>High</v>
      </c>
      <c r="U485" s="2" t="str">
        <f t="shared" si="74"/>
        <v>High</v>
      </c>
      <c r="V485" s="14" t="str">
        <f t="shared" si="75"/>
        <v>Normal Discount</v>
      </c>
      <c r="W485" s="16" t="str">
        <f t="shared" si="76"/>
        <v>Excellent</v>
      </c>
      <c r="X485" s="18" t="str" cm="1">
        <f t="array" ref="X485">_xlfn.IFS(O485&gt;7000,"Excellent",O485&gt;4000,"Good",O485&lt;4000,"Average")</f>
        <v>Excellent</v>
      </c>
      <c r="AD485" s="23" t="str">
        <f t="shared" si="77"/>
        <v>Eligible</v>
      </c>
      <c r="AE485" s="24" t="str">
        <f t="shared" si="78"/>
        <v>Offline</v>
      </c>
      <c r="AF485" s="27" t="str">
        <f t="shared" si="79"/>
        <v>Priority Order</v>
      </c>
    </row>
    <row r="486" spans="1:32" x14ac:dyDescent="0.3">
      <c r="A486" s="2">
        <v>10485</v>
      </c>
      <c r="B486" s="2">
        <v>1992</v>
      </c>
      <c r="C486" s="3">
        <v>45228</v>
      </c>
      <c r="D486" s="3">
        <v>45237</v>
      </c>
      <c r="E486" s="2" t="s">
        <v>22</v>
      </c>
      <c r="F486" s="2" t="s">
        <v>22</v>
      </c>
      <c r="G486" s="2" t="s">
        <v>23</v>
      </c>
      <c r="H486" s="2" t="s">
        <v>48</v>
      </c>
      <c r="I486" s="2" t="s">
        <v>25</v>
      </c>
      <c r="J486" s="2" t="s">
        <v>49</v>
      </c>
      <c r="K486" s="2" t="s">
        <v>51</v>
      </c>
      <c r="L486" s="2">
        <v>2</v>
      </c>
      <c r="M486" s="2">
        <v>1294.8399999999999</v>
      </c>
      <c r="N486" s="2">
        <v>15</v>
      </c>
      <c r="O486" s="2">
        <v>2201.23</v>
      </c>
      <c r="P486" s="2">
        <f t="shared" si="70"/>
        <v>2589.6799999999998</v>
      </c>
      <c r="Q486" s="2">
        <f t="shared" si="71"/>
        <v>388.45199999999994</v>
      </c>
      <c r="R486" s="2">
        <f t="shared" si="72"/>
        <v>2201.2280000000001</v>
      </c>
      <c r="S486" s="2" t="str">
        <f t="shared" si="73"/>
        <v>Low</v>
      </c>
      <c r="T486" s="2" t="str" cm="1">
        <f t="array" ref="T486">_xlfn.IFS(L486&gt;5,"High",L486=5,"Medium",L486&lt;5,"Low")</f>
        <v>Low</v>
      </c>
      <c r="U486" s="2" t="str">
        <f t="shared" si="74"/>
        <v>Low</v>
      </c>
      <c r="V486" s="14" t="str">
        <f t="shared" si="75"/>
        <v>Heavy Discount</v>
      </c>
      <c r="W486" s="16" t="str">
        <f t="shared" si="76"/>
        <v>Average</v>
      </c>
      <c r="X486" s="18" t="str" cm="1">
        <f t="array" ref="X486">_xlfn.IFS(O486&gt;7000,"Excellent",O486&gt;4000,"Good",O486&lt;4000,"Average")</f>
        <v>Average</v>
      </c>
      <c r="AD486" s="23" t="str">
        <f t="shared" si="77"/>
        <v>Not Eligible</v>
      </c>
      <c r="AE486" s="24" t="str">
        <f t="shared" si="78"/>
        <v>Online</v>
      </c>
      <c r="AF486" s="27" t="str">
        <f t="shared" si="79"/>
        <v>Normal Order</v>
      </c>
    </row>
    <row r="487" spans="1:32" x14ac:dyDescent="0.3">
      <c r="A487" s="2">
        <v>10486</v>
      </c>
      <c r="B487" s="2">
        <v>1115</v>
      </c>
      <c r="C487" s="3">
        <v>45068</v>
      </c>
      <c r="D487" s="3">
        <v>45077</v>
      </c>
      <c r="E487" s="2" t="s">
        <v>22</v>
      </c>
      <c r="F487" s="2" t="s">
        <v>47</v>
      </c>
      <c r="G487" s="2" t="s">
        <v>30</v>
      </c>
      <c r="H487" s="2" t="s">
        <v>48</v>
      </c>
      <c r="I487" s="2" t="s">
        <v>55</v>
      </c>
      <c r="J487" s="2" t="s">
        <v>69</v>
      </c>
      <c r="K487" s="2" t="s">
        <v>39</v>
      </c>
      <c r="L487" s="2">
        <v>9</v>
      </c>
      <c r="M487" s="2">
        <v>775.77</v>
      </c>
      <c r="N487" s="2">
        <v>0</v>
      </c>
      <c r="O487" s="2">
        <v>6981.93</v>
      </c>
      <c r="P487" s="2">
        <f t="shared" si="70"/>
        <v>6981.93</v>
      </c>
      <c r="Q487" s="2">
        <f t="shared" si="71"/>
        <v>0</v>
      </c>
      <c r="R487" s="2">
        <f t="shared" si="72"/>
        <v>6981.93</v>
      </c>
      <c r="S487" s="2" t="str">
        <f t="shared" si="73"/>
        <v>High</v>
      </c>
      <c r="T487" s="2" t="str" cm="1">
        <f t="array" ref="T487">_xlfn.IFS(L487&gt;5,"High",L487=5,"Medium",L487&lt;5,"Low")</f>
        <v>High</v>
      </c>
      <c r="U487" s="2" t="str">
        <f t="shared" si="74"/>
        <v>High</v>
      </c>
      <c r="V487" s="14" t="str">
        <f t="shared" si="75"/>
        <v>Normal Discount</v>
      </c>
      <c r="W487" s="16" t="str">
        <f t="shared" si="76"/>
        <v>Good</v>
      </c>
      <c r="X487" s="18" t="str" cm="1">
        <f t="array" ref="X487">_xlfn.IFS(O487&gt;7000,"Excellent",O487&gt;4000,"Good",O487&lt;4000,"Average")</f>
        <v>Good</v>
      </c>
      <c r="AD487" s="23" t="str">
        <f t="shared" si="77"/>
        <v>Eligible</v>
      </c>
      <c r="AE487" s="24" t="str">
        <f t="shared" si="78"/>
        <v>Online</v>
      </c>
      <c r="AF487" s="27" t="str">
        <f t="shared" si="79"/>
        <v>Priority Order</v>
      </c>
    </row>
    <row r="488" spans="1:32" x14ac:dyDescent="0.3">
      <c r="A488" s="2">
        <v>10487</v>
      </c>
      <c r="B488" s="2">
        <v>1190</v>
      </c>
      <c r="C488" s="3">
        <v>44965</v>
      </c>
      <c r="D488" s="3">
        <v>44966</v>
      </c>
      <c r="E488" s="2" t="s">
        <v>46</v>
      </c>
      <c r="F488" s="2" t="s">
        <v>22</v>
      </c>
      <c r="G488" s="2" t="s">
        <v>36</v>
      </c>
      <c r="H488" s="2" t="s">
        <v>31</v>
      </c>
      <c r="I488" s="2" t="s">
        <v>58</v>
      </c>
      <c r="J488" s="2" t="s">
        <v>59</v>
      </c>
      <c r="K488" s="2" t="s">
        <v>27</v>
      </c>
      <c r="L488" s="2">
        <v>4</v>
      </c>
      <c r="M488" s="2">
        <v>2751.14</v>
      </c>
      <c r="N488" s="2">
        <v>20</v>
      </c>
      <c r="O488" s="2">
        <v>8803.65</v>
      </c>
      <c r="P488" s="2">
        <f t="shared" si="70"/>
        <v>11004.56</v>
      </c>
      <c r="Q488" s="2">
        <f t="shared" si="71"/>
        <v>2200.9119999999998</v>
      </c>
      <c r="R488" s="2">
        <f t="shared" si="72"/>
        <v>8803.6479999999992</v>
      </c>
      <c r="S488" s="2" t="str">
        <f t="shared" si="73"/>
        <v>Low</v>
      </c>
      <c r="T488" s="2" t="str" cm="1">
        <f t="array" ref="T488">_xlfn.IFS(L488&gt;5,"High",L488=5,"Medium",L488&lt;5,"Low")</f>
        <v>Low</v>
      </c>
      <c r="U488" s="2" t="str">
        <f t="shared" si="74"/>
        <v>Low</v>
      </c>
      <c r="V488" s="14" t="str">
        <f t="shared" si="75"/>
        <v>Heavy Discount</v>
      </c>
      <c r="W488" s="16" t="str">
        <f t="shared" si="76"/>
        <v>Excellent</v>
      </c>
      <c r="X488" s="18" t="str" cm="1">
        <f t="array" ref="X488">_xlfn.IFS(O488&gt;7000,"Excellent",O488&gt;4000,"Good",O488&lt;4000,"Average")</f>
        <v>Excellent</v>
      </c>
      <c r="AD488" s="23" t="str">
        <f t="shared" si="77"/>
        <v>Not Eligible</v>
      </c>
      <c r="AE488" s="24" t="str">
        <f t="shared" si="78"/>
        <v>Offline</v>
      </c>
      <c r="AF488" s="27" t="str">
        <f t="shared" si="79"/>
        <v>Priority Order</v>
      </c>
    </row>
    <row r="489" spans="1:32" x14ac:dyDescent="0.3">
      <c r="A489" s="2">
        <v>10488</v>
      </c>
      <c r="B489" s="2">
        <v>1252</v>
      </c>
      <c r="C489" s="3">
        <v>45281</v>
      </c>
      <c r="D489" s="3">
        <v>45284</v>
      </c>
      <c r="E489" s="2" t="s">
        <v>52</v>
      </c>
      <c r="F489" s="2" t="s">
        <v>22</v>
      </c>
      <c r="G489" s="2" t="s">
        <v>30</v>
      </c>
      <c r="H489" s="2" t="s">
        <v>50</v>
      </c>
      <c r="I489" s="2" t="s">
        <v>58</v>
      </c>
      <c r="J489" s="2" t="s">
        <v>66</v>
      </c>
      <c r="K489" s="2" t="s">
        <v>39</v>
      </c>
      <c r="L489" s="2">
        <v>1</v>
      </c>
      <c r="M489" s="2">
        <v>296.63</v>
      </c>
      <c r="N489" s="2">
        <v>5</v>
      </c>
      <c r="O489" s="2">
        <v>281.8</v>
      </c>
      <c r="P489" s="2">
        <f t="shared" si="70"/>
        <v>296.63</v>
      </c>
      <c r="Q489" s="2">
        <f t="shared" si="71"/>
        <v>14.8315</v>
      </c>
      <c r="R489" s="2">
        <f t="shared" si="72"/>
        <v>281.79849999999999</v>
      </c>
      <c r="S489" s="2" t="str">
        <f t="shared" si="73"/>
        <v>Low</v>
      </c>
      <c r="T489" s="2" t="str" cm="1">
        <f t="array" ref="T489">_xlfn.IFS(L489&gt;5,"High",L489=5,"Medium",L489&lt;5,"Low")</f>
        <v>Low</v>
      </c>
      <c r="U489" s="2" t="str">
        <f t="shared" si="74"/>
        <v>Low</v>
      </c>
      <c r="V489" s="14" t="str">
        <f t="shared" si="75"/>
        <v>Normal Discount</v>
      </c>
      <c r="W489" s="16" t="str">
        <f t="shared" si="76"/>
        <v>Average</v>
      </c>
      <c r="X489" s="18" t="str" cm="1">
        <f t="array" ref="X489">_xlfn.IFS(O489&gt;7000,"Excellent",O489&gt;4000,"Good",O489&lt;4000,"Average")</f>
        <v>Average</v>
      </c>
      <c r="AD489" s="23" t="str">
        <f t="shared" si="77"/>
        <v>Not Eligible</v>
      </c>
      <c r="AE489" s="24" t="str">
        <f t="shared" si="78"/>
        <v>Online</v>
      </c>
      <c r="AF489" s="27" t="str">
        <f t="shared" si="79"/>
        <v>Normal Order</v>
      </c>
    </row>
    <row r="490" spans="1:32" x14ac:dyDescent="0.3">
      <c r="A490" s="2">
        <v>10489</v>
      </c>
      <c r="B490" s="2">
        <v>1980</v>
      </c>
      <c r="C490" s="3">
        <v>45178</v>
      </c>
      <c r="D490" s="3">
        <v>45187</v>
      </c>
      <c r="E490" s="2" t="s">
        <v>40</v>
      </c>
      <c r="F490" s="2" t="s">
        <v>29</v>
      </c>
      <c r="G490" s="2" t="s">
        <v>30</v>
      </c>
      <c r="H490" s="2" t="s">
        <v>24</v>
      </c>
      <c r="I490" s="2" t="s">
        <v>63</v>
      </c>
      <c r="J490" s="2" t="s">
        <v>68</v>
      </c>
      <c r="K490" s="2" t="s">
        <v>39</v>
      </c>
      <c r="L490" s="2">
        <v>8</v>
      </c>
      <c r="M490" s="2">
        <v>2536.88</v>
      </c>
      <c r="N490" s="2">
        <v>5</v>
      </c>
      <c r="O490" s="2">
        <v>19280.29</v>
      </c>
      <c r="P490" s="2">
        <f t="shared" si="70"/>
        <v>20295.04</v>
      </c>
      <c r="Q490" s="2">
        <f t="shared" si="71"/>
        <v>1014.7520000000001</v>
      </c>
      <c r="R490" s="2">
        <f t="shared" si="72"/>
        <v>19280.288</v>
      </c>
      <c r="S490" s="2" t="str">
        <f t="shared" si="73"/>
        <v>High</v>
      </c>
      <c r="T490" s="2" t="str" cm="1">
        <f t="array" ref="T490">_xlfn.IFS(L490&gt;5,"High",L490=5,"Medium",L490&lt;5,"Low")</f>
        <v>High</v>
      </c>
      <c r="U490" s="2" t="str">
        <f t="shared" si="74"/>
        <v>High</v>
      </c>
      <c r="V490" s="14" t="str">
        <f t="shared" si="75"/>
        <v>Normal Discount</v>
      </c>
      <c r="W490" s="16" t="str">
        <f t="shared" si="76"/>
        <v>Excellent</v>
      </c>
      <c r="X490" s="18" t="str" cm="1">
        <f t="array" ref="X490">_xlfn.IFS(O490&gt;7000,"Excellent",O490&gt;4000,"Good",O490&lt;4000,"Average")</f>
        <v>Excellent</v>
      </c>
      <c r="AD490" s="23" t="str">
        <f t="shared" si="77"/>
        <v>Eligible</v>
      </c>
      <c r="AE490" s="24" t="str">
        <f t="shared" si="78"/>
        <v>Online</v>
      </c>
      <c r="AF490" s="27" t="str">
        <f t="shared" si="79"/>
        <v>Priority Order</v>
      </c>
    </row>
    <row r="491" spans="1:32" x14ac:dyDescent="0.3">
      <c r="A491" s="2">
        <v>10490</v>
      </c>
      <c r="B491" s="2">
        <v>1927</v>
      </c>
      <c r="C491" s="3">
        <v>45259</v>
      </c>
      <c r="D491" s="3">
        <v>45261</v>
      </c>
      <c r="E491" s="2" t="s">
        <v>21</v>
      </c>
      <c r="F491" s="2" t="s">
        <v>35</v>
      </c>
      <c r="G491" s="2" t="s">
        <v>23</v>
      </c>
      <c r="H491" s="2" t="s">
        <v>41</v>
      </c>
      <c r="I491" s="2" t="s">
        <v>37</v>
      </c>
      <c r="J491" s="2" t="s">
        <v>38</v>
      </c>
      <c r="K491" s="2" t="s">
        <v>51</v>
      </c>
      <c r="L491" s="2">
        <v>7</v>
      </c>
      <c r="M491" s="2">
        <v>2838.06</v>
      </c>
      <c r="N491" s="2">
        <v>20</v>
      </c>
      <c r="O491" s="2">
        <v>15893.14</v>
      </c>
      <c r="P491" s="2">
        <f t="shared" si="70"/>
        <v>19866.419999999998</v>
      </c>
      <c r="Q491" s="2">
        <f t="shared" si="71"/>
        <v>3973.2839999999997</v>
      </c>
      <c r="R491" s="2">
        <f t="shared" si="72"/>
        <v>15893.135999999999</v>
      </c>
      <c r="S491" s="2" t="str">
        <f t="shared" si="73"/>
        <v>High</v>
      </c>
      <c r="T491" s="2" t="str" cm="1">
        <f t="array" ref="T491">_xlfn.IFS(L491&gt;5,"High",L491=5,"Medium",L491&lt;5,"Low")</f>
        <v>High</v>
      </c>
      <c r="U491" s="2" t="str">
        <f t="shared" si="74"/>
        <v>High</v>
      </c>
      <c r="V491" s="14" t="str">
        <f t="shared" si="75"/>
        <v>Heavy Discount</v>
      </c>
      <c r="W491" s="16" t="str">
        <f t="shared" si="76"/>
        <v>Excellent</v>
      </c>
      <c r="X491" s="18" t="str" cm="1">
        <f t="array" ref="X491">_xlfn.IFS(O491&gt;7000,"Excellent",O491&gt;4000,"Good",O491&lt;4000,"Average")</f>
        <v>Excellent</v>
      </c>
      <c r="AD491" s="23" t="str">
        <f t="shared" si="77"/>
        <v>Not Eligible</v>
      </c>
      <c r="AE491" s="24" t="str">
        <f t="shared" si="78"/>
        <v>Online</v>
      </c>
      <c r="AF491" s="27" t="str">
        <f t="shared" si="79"/>
        <v>Priority Order</v>
      </c>
    </row>
    <row r="492" spans="1:32" x14ac:dyDescent="0.3">
      <c r="A492" s="2">
        <v>10491</v>
      </c>
      <c r="B492" s="2">
        <v>1982</v>
      </c>
      <c r="C492" s="3">
        <v>45133</v>
      </c>
      <c r="D492" s="3">
        <v>45137</v>
      </c>
      <c r="E492" s="2" t="s">
        <v>22</v>
      </c>
      <c r="F492" s="2" t="s">
        <v>35</v>
      </c>
      <c r="G492" s="2" t="s">
        <v>23</v>
      </c>
      <c r="H492" s="2" t="s">
        <v>50</v>
      </c>
      <c r="I492" s="2" t="s">
        <v>55</v>
      </c>
      <c r="J492" s="2" t="s">
        <v>69</v>
      </c>
      <c r="K492" s="2" t="s">
        <v>34</v>
      </c>
      <c r="L492" s="2">
        <v>5</v>
      </c>
      <c r="M492" s="2">
        <v>977.43</v>
      </c>
      <c r="N492" s="2">
        <v>20</v>
      </c>
      <c r="O492" s="2">
        <v>3909.72</v>
      </c>
      <c r="P492" s="2">
        <f t="shared" si="70"/>
        <v>4887.1499999999996</v>
      </c>
      <c r="Q492" s="2">
        <f t="shared" si="71"/>
        <v>977.43</v>
      </c>
      <c r="R492" s="2">
        <f t="shared" si="72"/>
        <v>3909.72</v>
      </c>
      <c r="S492" s="2" t="str">
        <f t="shared" si="73"/>
        <v>High</v>
      </c>
      <c r="T492" s="2" t="str" cm="1">
        <f t="array" ref="T492">_xlfn.IFS(L492&gt;5,"High",L492=5,"Medium",L492&lt;5,"Low")</f>
        <v>Medium</v>
      </c>
      <c r="U492" s="2" t="str">
        <f t="shared" si="74"/>
        <v>Medium</v>
      </c>
      <c r="V492" s="14" t="str">
        <f t="shared" si="75"/>
        <v>Heavy Discount</v>
      </c>
      <c r="W492" s="16" t="str">
        <f t="shared" si="76"/>
        <v>Average</v>
      </c>
      <c r="X492" s="18" t="str" cm="1">
        <f t="array" ref="X492">_xlfn.IFS(O492&gt;7000,"Excellent",O492&gt;4000,"Good",O492&lt;4000,"Average")</f>
        <v>Average</v>
      </c>
      <c r="AD492" s="23" t="str">
        <f t="shared" si="77"/>
        <v>Not Eligible</v>
      </c>
      <c r="AE492" s="24" t="str">
        <f t="shared" si="78"/>
        <v>Online</v>
      </c>
      <c r="AF492" s="27" t="str">
        <f t="shared" si="79"/>
        <v>Normal Order</v>
      </c>
    </row>
    <row r="493" spans="1:32" x14ac:dyDescent="0.3">
      <c r="A493" s="2">
        <v>10492</v>
      </c>
      <c r="B493" s="2">
        <v>1160</v>
      </c>
      <c r="C493" s="3">
        <v>45136</v>
      </c>
      <c r="D493" s="3">
        <v>45140</v>
      </c>
      <c r="E493" s="2" t="s">
        <v>22</v>
      </c>
      <c r="F493" s="2" t="s">
        <v>44</v>
      </c>
      <c r="G493" s="2" t="s">
        <v>30</v>
      </c>
      <c r="H493" s="2" t="s">
        <v>31</v>
      </c>
      <c r="I493" s="2" t="s">
        <v>37</v>
      </c>
      <c r="J493" s="2" t="s">
        <v>38</v>
      </c>
      <c r="K493" s="2" t="s">
        <v>53</v>
      </c>
      <c r="L493" s="2">
        <v>5</v>
      </c>
      <c r="M493" s="2">
        <v>311.56</v>
      </c>
      <c r="N493" s="2">
        <v>0</v>
      </c>
      <c r="O493" s="2">
        <v>1557.8</v>
      </c>
      <c r="P493" s="2">
        <f t="shared" si="70"/>
        <v>1557.8</v>
      </c>
      <c r="Q493" s="2">
        <f t="shared" si="71"/>
        <v>0</v>
      </c>
      <c r="R493" s="2">
        <f t="shared" si="72"/>
        <v>1557.8</v>
      </c>
      <c r="S493" s="2" t="str">
        <f t="shared" si="73"/>
        <v>High</v>
      </c>
      <c r="T493" s="2" t="str" cm="1">
        <f t="array" ref="T493">_xlfn.IFS(L493&gt;5,"High",L493=5,"Medium",L493&lt;5,"Low")</f>
        <v>Medium</v>
      </c>
      <c r="U493" s="2" t="str">
        <f t="shared" si="74"/>
        <v>Medium</v>
      </c>
      <c r="V493" s="14" t="str">
        <f t="shared" si="75"/>
        <v>Normal Discount</v>
      </c>
      <c r="W493" s="16" t="str">
        <f t="shared" si="76"/>
        <v>Average</v>
      </c>
      <c r="X493" s="18" t="str" cm="1">
        <f t="array" ref="X493">_xlfn.IFS(O493&gt;7000,"Excellent",O493&gt;4000,"Good",O493&lt;4000,"Average")</f>
        <v>Average</v>
      </c>
      <c r="AD493" s="23" t="str">
        <f t="shared" si="77"/>
        <v>Not Eligible</v>
      </c>
      <c r="AE493" s="24" t="str">
        <f t="shared" si="78"/>
        <v>Online</v>
      </c>
      <c r="AF493" s="27" t="str">
        <f t="shared" si="79"/>
        <v>Normal Order</v>
      </c>
    </row>
    <row r="494" spans="1:32" x14ac:dyDescent="0.3">
      <c r="A494" s="2">
        <v>10493</v>
      </c>
      <c r="B494" s="2">
        <v>1255</v>
      </c>
      <c r="C494" s="3">
        <v>45041</v>
      </c>
      <c r="D494" s="3">
        <v>45043</v>
      </c>
      <c r="E494" s="2" t="s">
        <v>46</v>
      </c>
      <c r="F494" s="2" t="s">
        <v>22</v>
      </c>
      <c r="G494" s="2" t="s">
        <v>30</v>
      </c>
      <c r="H494" s="2" t="s">
        <v>50</v>
      </c>
      <c r="I494" s="2" t="s">
        <v>55</v>
      </c>
      <c r="J494" s="2" t="s">
        <v>74</v>
      </c>
      <c r="K494" s="2" t="s">
        <v>34</v>
      </c>
      <c r="L494" s="2">
        <v>7</v>
      </c>
      <c r="M494" s="2">
        <v>1550.03</v>
      </c>
      <c r="N494" s="2">
        <v>10</v>
      </c>
      <c r="O494" s="2">
        <v>9765.19</v>
      </c>
      <c r="P494" s="2">
        <f t="shared" si="70"/>
        <v>10850.21</v>
      </c>
      <c r="Q494" s="2">
        <f t="shared" si="71"/>
        <v>1085.021</v>
      </c>
      <c r="R494" s="2">
        <f t="shared" si="72"/>
        <v>9765.1889999999985</v>
      </c>
      <c r="S494" s="2" t="str">
        <f t="shared" si="73"/>
        <v>High</v>
      </c>
      <c r="T494" s="2" t="str" cm="1">
        <f t="array" ref="T494">_xlfn.IFS(L494&gt;5,"High",L494=5,"Medium",L494&lt;5,"Low")</f>
        <v>High</v>
      </c>
      <c r="U494" s="2" t="str">
        <f t="shared" si="74"/>
        <v>High</v>
      </c>
      <c r="V494" s="14" t="str">
        <f t="shared" si="75"/>
        <v>Normal Discount</v>
      </c>
      <c r="W494" s="16" t="str">
        <f t="shared" si="76"/>
        <v>Excellent</v>
      </c>
      <c r="X494" s="18" t="str" cm="1">
        <f t="array" ref="X494">_xlfn.IFS(O494&gt;7000,"Excellent",O494&gt;4000,"Good",O494&lt;4000,"Average")</f>
        <v>Excellent</v>
      </c>
      <c r="AD494" s="23" t="str">
        <f t="shared" si="77"/>
        <v>Not Eligible</v>
      </c>
      <c r="AE494" s="24" t="str">
        <f t="shared" si="78"/>
        <v>Online</v>
      </c>
      <c r="AF494" s="27" t="str">
        <f t="shared" si="79"/>
        <v>Priority Order</v>
      </c>
    </row>
    <row r="495" spans="1:32" x14ac:dyDescent="0.3">
      <c r="A495" s="2">
        <v>10494</v>
      </c>
      <c r="B495" s="2">
        <v>1322</v>
      </c>
      <c r="C495" s="3">
        <v>45151</v>
      </c>
      <c r="D495" s="3">
        <v>45154</v>
      </c>
      <c r="E495" s="2" t="s">
        <v>43</v>
      </c>
      <c r="F495" s="2" t="s">
        <v>47</v>
      </c>
      <c r="G495" s="2" t="s">
        <v>23</v>
      </c>
      <c r="H495" s="2" t="s">
        <v>50</v>
      </c>
      <c r="I495" s="2" t="s">
        <v>63</v>
      </c>
      <c r="J495" s="2" t="s">
        <v>73</v>
      </c>
      <c r="K495" s="2" t="s">
        <v>51</v>
      </c>
      <c r="L495" s="2">
        <v>5</v>
      </c>
      <c r="M495" s="2">
        <v>529.59</v>
      </c>
      <c r="N495" s="2">
        <v>5</v>
      </c>
      <c r="O495" s="2">
        <v>2515.5500000000002</v>
      </c>
      <c r="P495" s="2">
        <f t="shared" si="70"/>
        <v>2647.9500000000003</v>
      </c>
      <c r="Q495" s="2">
        <f t="shared" si="71"/>
        <v>132.39750000000001</v>
      </c>
      <c r="R495" s="2">
        <f t="shared" si="72"/>
        <v>2515.5525000000002</v>
      </c>
      <c r="S495" s="2" t="str">
        <f t="shared" si="73"/>
        <v>High</v>
      </c>
      <c r="T495" s="2" t="str" cm="1">
        <f t="array" ref="T495">_xlfn.IFS(L495&gt;5,"High",L495=5,"Medium",L495&lt;5,"Low")</f>
        <v>Medium</v>
      </c>
      <c r="U495" s="2" t="str">
        <f t="shared" si="74"/>
        <v>Medium</v>
      </c>
      <c r="V495" s="14" t="str">
        <f t="shared" si="75"/>
        <v>Normal Discount</v>
      </c>
      <c r="W495" s="16" t="str">
        <f t="shared" si="76"/>
        <v>Average</v>
      </c>
      <c r="X495" s="18" t="str" cm="1">
        <f t="array" ref="X495">_xlfn.IFS(O495&gt;7000,"Excellent",O495&gt;4000,"Good",O495&lt;4000,"Average")</f>
        <v>Average</v>
      </c>
      <c r="AD495" s="23" t="str">
        <f t="shared" si="77"/>
        <v>Not Eligible</v>
      </c>
      <c r="AE495" s="24" t="str">
        <f t="shared" si="78"/>
        <v>Online</v>
      </c>
      <c r="AF495" s="27" t="str">
        <f t="shared" si="79"/>
        <v>Normal Order</v>
      </c>
    </row>
    <row r="496" spans="1:32" x14ac:dyDescent="0.3">
      <c r="A496" s="2">
        <v>10495</v>
      </c>
      <c r="B496" s="2">
        <v>1127</v>
      </c>
      <c r="C496" s="3">
        <v>45060</v>
      </c>
      <c r="D496" s="3">
        <v>45063</v>
      </c>
      <c r="E496" s="2" t="s">
        <v>21</v>
      </c>
      <c r="F496" s="2" t="s">
        <v>29</v>
      </c>
      <c r="G496" s="2" t="s">
        <v>36</v>
      </c>
      <c r="H496" s="2" t="s">
        <v>31</v>
      </c>
      <c r="I496" s="2" t="s">
        <v>63</v>
      </c>
      <c r="J496" s="2" t="s">
        <v>65</v>
      </c>
      <c r="K496" s="2" t="s">
        <v>51</v>
      </c>
      <c r="L496" s="2">
        <v>8</v>
      </c>
      <c r="M496" s="2">
        <v>598.44000000000005</v>
      </c>
      <c r="N496" s="2">
        <v>0</v>
      </c>
      <c r="O496" s="2">
        <v>4787.5200000000004</v>
      </c>
      <c r="P496" s="2">
        <f t="shared" si="70"/>
        <v>4787.5200000000004</v>
      </c>
      <c r="Q496" s="2">
        <f t="shared" si="71"/>
        <v>0</v>
      </c>
      <c r="R496" s="2">
        <f t="shared" si="72"/>
        <v>4787.5200000000004</v>
      </c>
      <c r="S496" s="2" t="str">
        <f t="shared" si="73"/>
        <v>High</v>
      </c>
      <c r="T496" s="2" t="str" cm="1">
        <f t="array" ref="T496">_xlfn.IFS(L496&gt;5,"High",L496=5,"Medium",L496&lt;5,"Low")</f>
        <v>High</v>
      </c>
      <c r="U496" s="2" t="str">
        <f t="shared" si="74"/>
        <v>High</v>
      </c>
      <c r="V496" s="14" t="str">
        <f t="shared" si="75"/>
        <v>Normal Discount</v>
      </c>
      <c r="W496" s="16" t="str">
        <f t="shared" si="76"/>
        <v>Good</v>
      </c>
      <c r="X496" s="18" t="str" cm="1">
        <f t="array" ref="X496">_xlfn.IFS(O496&gt;7000,"Excellent",O496&gt;4000,"Good",O496&lt;4000,"Average")</f>
        <v>Good</v>
      </c>
      <c r="AD496" s="23" t="str">
        <f t="shared" si="77"/>
        <v>Not Eligible</v>
      </c>
      <c r="AE496" s="24" t="str">
        <f t="shared" si="78"/>
        <v>Offline</v>
      </c>
      <c r="AF496" s="27" t="str">
        <f t="shared" si="79"/>
        <v>Priority Order</v>
      </c>
    </row>
    <row r="497" spans="1:32" x14ac:dyDescent="0.3">
      <c r="A497" s="2">
        <v>10496</v>
      </c>
      <c r="B497" s="2">
        <v>1017</v>
      </c>
      <c r="C497" s="3">
        <v>45177</v>
      </c>
      <c r="D497" s="3">
        <v>45178</v>
      </c>
      <c r="E497" s="2" t="s">
        <v>21</v>
      </c>
      <c r="F497" s="2" t="s">
        <v>29</v>
      </c>
      <c r="G497" s="2" t="s">
        <v>23</v>
      </c>
      <c r="H497" s="2" t="s">
        <v>48</v>
      </c>
      <c r="I497" s="2" t="s">
        <v>58</v>
      </c>
      <c r="J497" s="2" t="s">
        <v>66</v>
      </c>
      <c r="K497" s="2" t="s">
        <v>51</v>
      </c>
      <c r="L497" s="2">
        <v>6</v>
      </c>
      <c r="M497" s="2">
        <v>1128.9100000000001</v>
      </c>
      <c r="N497" s="2">
        <v>20</v>
      </c>
      <c r="O497" s="2">
        <v>5418.77</v>
      </c>
      <c r="P497" s="2">
        <f t="shared" si="70"/>
        <v>6773.4600000000009</v>
      </c>
      <c r="Q497" s="2">
        <f t="shared" si="71"/>
        <v>1354.6920000000002</v>
      </c>
      <c r="R497" s="2">
        <f t="shared" si="72"/>
        <v>5418.7680000000009</v>
      </c>
      <c r="S497" s="2" t="str">
        <f t="shared" si="73"/>
        <v>High</v>
      </c>
      <c r="T497" s="2" t="str" cm="1">
        <f t="array" ref="T497">_xlfn.IFS(L497&gt;5,"High",L497=5,"Medium",L497&lt;5,"Low")</f>
        <v>High</v>
      </c>
      <c r="U497" s="2" t="str">
        <f t="shared" si="74"/>
        <v>High</v>
      </c>
      <c r="V497" s="14" t="str">
        <f t="shared" si="75"/>
        <v>Heavy Discount</v>
      </c>
      <c r="W497" s="16" t="str">
        <f t="shared" si="76"/>
        <v>Good</v>
      </c>
      <c r="X497" s="18" t="str" cm="1">
        <f t="array" ref="X497">_xlfn.IFS(O497&gt;7000,"Excellent",O497&gt;4000,"Good",O497&lt;4000,"Average")</f>
        <v>Good</v>
      </c>
      <c r="AD497" s="23" t="str">
        <f t="shared" si="77"/>
        <v>Not Eligible</v>
      </c>
      <c r="AE497" s="24" t="str">
        <f t="shared" si="78"/>
        <v>Online</v>
      </c>
      <c r="AF497" s="27" t="str">
        <f t="shared" si="79"/>
        <v>Priority Order</v>
      </c>
    </row>
    <row r="498" spans="1:32" x14ac:dyDescent="0.3">
      <c r="A498" s="2">
        <v>10497</v>
      </c>
      <c r="B498" s="2">
        <v>1792</v>
      </c>
      <c r="C498" s="3">
        <v>45145</v>
      </c>
      <c r="D498" s="3">
        <v>45151</v>
      </c>
      <c r="E498" s="2" t="s">
        <v>22</v>
      </c>
      <c r="F498" s="2" t="s">
        <v>35</v>
      </c>
      <c r="G498" s="2" t="s">
        <v>30</v>
      </c>
      <c r="H498" s="2" t="s">
        <v>48</v>
      </c>
      <c r="I498" s="2" t="s">
        <v>37</v>
      </c>
      <c r="J498" s="2" t="s">
        <v>45</v>
      </c>
      <c r="K498" s="2" t="s">
        <v>27</v>
      </c>
      <c r="L498" s="2">
        <v>5</v>
      </c>
      <c r="M498" s="2">
        <v>1287.55</v>
      </c>
      <c r="N498" s="2">
        <v>0</v>
      </c>
      <c r="O498" s="2">
        <v>6437.75</v>
      </c>
      <c r="P498" s="2">
        <f t="shared" si="70"/>
        <v>6437.75</v>
      </c>
      <c r="Q498" s="2">
        <f t="shared" si="71"/>
        <v>0</v>
      </c>
      <c r="R498" s="2">
        <f t="shared" si="72"/>
        <v>6437.75</v>
      </c>
      <c r="S498" s="2" t="str">
        <f t="shared" si="73"/>
        <v>High</v>
      </c>
      <c r="T498" s="2" t="str" cm="1">
        <f t="array" ref="T498">_xlfn.IFS(L498&gt;5,"High",L498=5,"Medium",L498&lt;5,"Low")</f>
        <v>Medium</v>
      </c>
      <c r="U498" s="2" t="str">
        <f t="shared" si="74"/>
        <v>Medium</v>
      </c>
      <c r="V498" s="14" t="str">
        <f t="shared" si="75"/>
        <v>Normal Discount</v>
      </c>
      <c r="W498" s="16" t="str">
        <f t="shared" si="76"/>
        <v>Good</v>
      </c>
      <c r="X498" s="18" t="str" cm="1">
        <f t="array" ref="X498">_xlfn.IFS(O498&gt;7000,"Excellent",O498&gt;4000,"Good",O498&lt;4000,"Average")</f>
        <v>Good</v>
      </c>
      <c r="AD498" s="23" t="str">
        <f t="shared" si="77"/>
        <v>Eligible</v>
      </c>
      <c r="AE498" s="24" t="str">
        <f t="shared" si="78"/>
        <v>Online</v>
      </c>
      <c r="AF498" s="27" t="str">
        <f t="shared" si="79"/>
        <v>Normal Order</v>
      </c>
    </row>
    <row r="499" spans="1:32" x14ac:dyDescent="0.3">
      <c r="A499" s="2">
        <v>10498</v>
      </c>
      <c r="B499" s="2">
        <v>1734</v>
      </c>
      <c r="C499" s="3">
        <v>45017</v>
      </c>
      <c r="D499" s="3">
        <v>45025</v>
      </c>
      <c r="E499" s="2" t="s">
        <v>52</v>
      </c>
      <c r="F499" s="2" t="s">
        <v>22</v>
      </c>
      <c r="G499" s="2" t="s">
        <v>36</v>
      </c>
      <c r="H499" s="2" t="s">
        <v>24</v>
      </c>
      <c r="I499" s="2" t="s">
        <v>32</v>
      </c>
      <c r="J499" s="2" t="s">
        <v>42</v>
      </c>
      <c r="K499" s="2" t="s">
        <v>34</v>
      </c>
      <c r="L499" s="2">
        <v>9</v>
      </c>
      <c r="M499" s="2">
        <v>2190.39</v>
      </c>
      <c r="N499" s="2">
        <v>20</v>
      </c>
      <c r="O499" s="2">
        <v>15770.81</v>
      </c>
      <c r="P499" s="2">
        <f t="shared" si="70"/>
        <v>19713.509999999998</v>
      </c>
      <c r="Q499" s="2">
        <f t="shared" si="71"/>
        <v>3942.7019999999998</v>
      </c>
      <c r="R499" s="2">
        <f t="shared" si="72"/>
        <v>15770.807999999999</v>
      </c>
      <c r="S499" s="2" t="str">
        <f t="shared" si="73"/>
        <v>High</v>
      </c>
      <c r="T499" s="2" t="str" cm="1">
        <f t="array" ref="T499">_xlfn.IFS(L499&gt;5,"High",L499=5,"Medium",L499&lt;5,"Low")</f>
        <v>High</v>
      </c>
      <c r="U499" s="2" t="str">
        <f t="shared" si="74"/>
        <v>High</v>
      </c>
      <c r="V499" s="14" t="str">
        <f t="shared" si="75"/>
        <v>Heavy Discount</v>
      </c>
      <c r="W499" s="16" t="str">
        <f t="shared" si="76"/>
        <v>Excellent</v>
      </c>
      <c r="X499" s="18" t="str" cm="1">
        <f t="array" ref="X499">_xlfn.IFS(O499&gt;7000,"Excellent",O499&gt;4000,"Good",O499&lt;4000,"Average")</f>
        <v>Excellent</v>
      </c>
      <c r="AD499" s="23" t="str">
        <f t="shared" si="77"/>
        <v>Not Eligible</v>
      </c>
      <c r="AE499" s="24" t="str">
        <f t="shared" si="78"/>
        <v>Offline</v>
      </c>
      <c r="AF499" s="27" t="str">
        <f t="shared" si="79"/>
        <v>Priority Order</v>
      </c>
    </row>
    <row r="500" spans="1:32" x14ac:dyDescent="0.3">
      <c r="A500" s="2">
        <v>10499</v>
      </c>
      <c r="B500" s="2">
        <v>1565</v>
      </c>
      <c r="C500" s="3">
        <v>45280</v>
      </c>
      <c r="D500" s="3">
        <v>45283</v>
      </c>
      <c r="E500" s="2" t="s">
        <v>43</v>
      </c>
      <c r="F500" s="2" t="s">
        <v>44</v>
      </c>
      <c r="G500" s="2" t="s">
        <v>30</v>
      </c>
      <c r="H500" s="2" t="s">
        <v>24</v>
      </c>
      <c r="I500" s="2" t="s">
        <v>58</v>
      </c>
      <c r="J500" s="2" t="s">
        <v>66</v>
      </c>
      <c r="K500" s="2" t="s">
        <v>34</v>
      </c>
      <c r="L500" s="2">
        <v>2</v>
      </c>
      <c r="M500" s="2">
        <v>2761.81</v>
      </c>
      <c r="N500" s="2">
        <v>15</v>
      </c>
      <c r="O500" s="2">
        <v>4695.08</v>
      </c>
      <c r="P500" s="2">
        <f t="shared" si="70"/>
        <v>5523.62</v>
      </c>
      <c r="Q500" s="2">
        <f t="shared" si="71"/>
        <v>828.54300000000001</v>
      </c>
      <c r="R500" s="2">
        <f t="shared" si="72"/>
        <v>4695.0770000000002</v>
      </c>
      <c r="S500" s="2" t="str">
        <f t="shared" si="73"/>
        <v>Low</v>
      </c>
      <c r="T500" s="2" t="str" cm="1">
        <f t="array" ref="T500">_xlfn.IFS(L500&gt;5,"High",L500=5,"Medium",L500&lt;5,"Low")</f>
        <v>Low</v>
      </c>
      <c r="U500" s="2" t="str">
        <f t="shared" si="74"/>
        <v>Low</v>
      </c>
      <c r="V500" s="14" t="str">
        <f t="shared" si="75"/>
        <v>Heavy Discount</v>
      </c>
      <c r="W500" s="16" t="str">
        <f t="shared" si="76"/>
        <v>Good</v>
      </c>
      <c r="X500" s="18" t="str" cm="1">
        <f t="array" ref="X500">_xlfn.IFS(O500&gt;7000,"Excellent",O500&gt;4000,"Good",O500&lt;4000,"Average")</f>
        <v>Good</v>
      </c>
      <c r="AD500" s="23" t="str">
        <f t="shared" si="77"/>
        <v>Not Eligible</v>
      </c>
      <c r="AE500" s="24" t="str">
        <f t="shared" si="78"/>
        <v>Online</v>
      </c>
      <c r="AF500" s="27" t="str">
        <f t="shared" si="79"/>
        <v>Normal Order</v>
      </c>
    </row>
    <row r="501" spans="1:32" x14ac:dyDescent="0.3">
      <c r="A501" s="2">
        <v>10500</v>
      </c>
      <c r="B501" s="2">
        <v>1569</v>
      </c>
      <c r="C501" s="3">
        <v>44972</v>
      </c>
      <c r="D501" s="3">
        <v>44977</v>
      </c>
      <c r="E501" s="2" t="s">
        <v>21</v>
      </c>
      <c r="F501" s="2" t="s">
        <v>22</v>
      </c>
      <c r="G501" s="2" t="s">
        <v>36</v>
      </c>
      <c r="H501" s="2" t="s">
        <v>48</v>
      </c>
      <c r="I501" s="2" t="s">
        <v>37</v>
      </c>
      <c r="J501" s="2" t="s">
        <v>71</v>
      </c>
      <c r="K501" s="2" t="s">
        <v>39</v>
      </c>
      <c r="L501" s="2">
        <v>1</v>
      </c>
      <c r="M501" s="2">
        <v>2432.17</v>
      </c>
      <c r="N501" s="2">
        <v>20</v>
      </c>
      <c r="O501" s="2">
        <v>1945.74</v>
      </c>
      <c r="P501" s="2">
        <f t="shared" si="70"/>
        <v>2432.17</v>
      </c>
      <c r="Q501" s="2">
        <f t="shared" si="71"/>
        <v>486.43400000000003</v>
      </c>
      <c r="R501" s="2">
        <f t="shared" si="72"/>
        <v>1945.7360000000001</v>
      </c>
      <c r="S501" s="2" t="str">
        <f t="shared" si="73"/>
        <v>Low</v>
      </c>
      <c r="T501" s="2" t="str" cm="1">
        <f t="array" ref="T501">_xlfn.IFS(L501&gt;5,"High",L501=5,"Medium",L501&lt;5,"Low")</f>
        <v>Low</v>
      </c>
      <c r="U501" s="2" t="str">
        <f t="shared" si="74"/>
        <v>Low</v>
      </c>
      <c r="V501" s="14" t="str">
        <f t="shared" si="75"/>
        <v>Heavy Discount</v>
      </c>
      <c r="W501" s="16" t="str">
        <f t="shared" si="76"/>
        <v>Average</v>
      </c>
      <c r="X501" s="18" cm="1">
        <f t="array" aca="1" ref="X501" ca="1">A1:X501=_xlfn.IFS(O501&gt;7000,"Excellent",O501&gt;4000,"Good",O501&lt;4000,"Average")</f>
        <v>0</v>
      </c>
      <c r="AD501" s="23" t="str">
        <f t="shared" si="77"/>
        <v>Not Eligible</v>
      </c>
      <c r="AE501" s="24" t="str">
        <f t="shared" si="78"/>
        <v>Offline</v>
      </c>
      <c r="AF501" s="27" t="str">
        <f t="shared" si="79"/>
        <v>Normal Order</v>
      </c>
    </row>
    <row r="502" spans="1:32" x14ac:dyDescent="0.3">
      <c r="P502" s="4">
        <f>SUM(P2:P501)</f>
        <v>5134263.8099999949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KUNDU</dc:creator>
  <cp:lastModifiedBy>Sumon Kundu</cp:lastModifiedBy>
  <dcterms:created xsi:type="dcterms:W3CDTF">2015-06-05T18:17:20Z</dcterms:created>
  <dcterms:modified xsi:type="dcterms:W3CDTF">2026-08-01T02:26:27Z</dcterms:modified>
</cp:coreProperties>
</file>