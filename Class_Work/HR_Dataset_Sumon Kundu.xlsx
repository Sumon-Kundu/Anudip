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Class Work/"/>
    </mc:Choice>
  </mc:AlternateContent>
  <xr:revisionPtr revIDLastSave="108" documentId="8_{40197CFC-67A5-4071-957D-09618CEA9D30}" xr6:coauthVersionLast="47" xr6:coauthVersionMax="47" xr10:uidLastSave="{3E74D15B-0B88-4ED3-97A1-E90B5C000E49}"/>
  <bookViews>
    <workbookView xWindow="-108" yWindow="-108" windowWidth="23256" windowHeight="12456" activeTab="3" xr2:uid="{00000000-000D-0000-FFFF-FFFF00000000}"/>
  </bookViews>
  <sheets>
    <sheet name="Employees" sheetId="1" r:id="rId1"/>
    <sheet name="Sheet1" sheetId="4" r:id="rId2"/>
    <sheet name="Filter(8)" sheetId="6" r:id="rId3"/>
    <sheet name="Sheet2" sheetId="5" r:id="rId4"/>
    <sheet name="Departments" sheetId="2" r:id="rId5"/>
    <sheet name="Performance" sheetId="3" r:id="rId6"/>
  </sheets>
  <definedNames>
    <definedName name="_xlnm.Criteria" localSheetId="2">'Filter(8)'!$S$2:$T$3</definedName>
    <definedName name="_xlnm.Extract" localSheetId="2">'Filter(8)'!$B$1:$P$1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2" i="2"/>
  <c r="U5" i="4"/>
  <c r="O3" i="4" a="1"/>
  <c r="O3" i="4" s="1"/>
  <c r="O4" i="4" a="1"/>
  <c r="O4" i="4" s="1"/>
  <c r="O5" i="4" a="1"/>
  <c r="O5" i="4" s="1"/>
  <c r="O6" i="4" a="1"/>
  <c r="O6" i="4"/>
  <c r="O7" i="4" a="1"/>
  <c r="O7" i="4"/>
  <c r="O8" i="4" a="1"/>
  <c r="O8" i="4"/>
  <c r="O9" i="4" a="1"/>
  <c r="O9" i="4" s="1"/>
  <c r="O10" i="4" a="1"/>
  <c r="O10" i="4" s="1"/>
  <c r="O11" i="4" a="1"/>
  <c r="O11" i="4" s="1"/>
  <c r="O12" i="4" a="1"/>
  <c r="O12" i="4"/>
  <c r="O13" i="4" a="1"/>
  <c r="O13" i="4"/>
  <c r="O14" i="4" a="1"/>
  <c r="O14" i="4"/>
  <c r="O15" i="4" a="1"/>
  <c r="O15" i="4" s="1"/>
  <c r="O16" i="4" a="1"/>
  <c r="O16" i="4" s="1"/>
  <c r="O17" i="4" a="1"/>
  <c r="O17" i="4" s="1"/>
  <c r="O18" i="4" a="1"/>
  <c r="O18" i="4"/>
  <c r="O19" i="4" a="1"/>
  <c r="O19" i="4"/>
  <c r="O20" i="4" a="1"/>
  <c r="O20" i="4"/>
  <c r="O21" i="4" a="1"/>
  <c r="O21" i="4" s="1"/>
  <c r="O22" i="4" a="1"/>
  <c r="O22" i="4" s="1"/>
  <c r="O23" i="4" a="1"/>
  <c r="O23" i="4" s="1"/>
  <c r="O24" i="4" a="1"/>
  <c r="O24" i="4"/>
  <c r="O25" i="4" a="1"/>
  <c r="O25" i="4"/>
  <c r="O26" i="4" a="1"/>
  <c r="O26" i="4"/>
  <c r="O27" i="4" a="1"/>
  <c r="O27" i="4" s="1"/>
  <c r="O28" i="4" a="1"/>
  <c r="O28" i="4" s="1"/>
  <c r="O29" i="4" a="1"/>
  <c r="O29" i="4" s="1"/>
  <c r="O30" i="4" a="1"/>
  <c r="O30" i="4"/>
  <c r="O31" i="4" a="1"/>
  <c r="O31" i="4"/>
  <c r="O32" i="4" a="1"/>
  <c r="O32" i="4"/>
  <c r="O33" i="4" a="1"/>
  <c r="O33" i="4" s="1"/>
  <c r="O34" i="4" a="1"/>
  <c r="O34" i="4" s="1"/>
  <c r="O35" i="4" a="1"/>
  <c r="O35" i="4" s="1"/>
  <c r="O36" i="4" a="1"/>
  <c r="O36" i="4"/>
  <c r="O37" i="4" a="1"/>
  <c r="O37" i="4"/>
  <c r="O38" i="4" a="1"/>
  <c r="O38" i="4"/>
  <c r="O39" i="4" a="1"/>
  <c r="O39" i="4" s="1"/>
  <c r="O40" i="4" a="1"/>
  <c r="O40" i="4" s="1"/>
  <c r="O41" i="4" a="1"/>
  <c r="O41" i="4" s="1"/>
  <c r="O42" i="4" a="1"/>
  <c r="O42" i="4"/>
  <c r="O43" i="4" a="1"/>
  <c r="O43" i="4"/>
  <c r="O44" i="4" a="1"/>
  <c r="O44" i="4"/>
  <c r="O45" i="4" a="1"/>
  <c r="O45" i="4" s="1"/>
  <c r="O46" i="4" a="1"/>
  <c r="O46" i="4" s="1"/>
  <c r="O47" i="4" a="1"/>
  <c r="O47" i="4" s="1"/>
  <c r="O48" i="4" a="1"/>
  <c r="O48" i="4"/>
  <c r="O49" i="4" a="1"/>
  <c r="O49" i="4"/>
  <c r="O50" i="4" a="1"/>
  <c r="O50" i="4"/>
  <c r="O51" i="4" a="1"/>
  <c r="O51" i="4" s="1"/>
  <c r="O52" i="4" a="1"/>
  <c r="O52" i="4" s="1"/>
  <c r="O53" i="4" a="1"/>
  <c r="O53" i="4" s="1"/>
  <c r="O54" i="4" a="1"/>
  <c r="O54" i="4"/>
  <c r="O55" i="4" a="1"/>
  <c r="O55" i="4"/>
  <c r="O56" i="4" a="1"/>
  <c r="O56" i="4"/>
  <c r="O57" i="4" a="1"/>
  <c r="O57" i="4" s="1"/>
  <c r="O58" i="4" a="1"/>
  <c r="O58" i="4" s="1"/>
  <c r="O59" i="4" a="1"/>
  <c r="O59" i="4" s="1"/>
  <c r="O60" i="4" a="1"/>
  <c r="O60" i="4"/>
  <c r="O61" i="4" a="1"/>
  <c r="O61" i="4"/>
  <c r="O62" i="4" a="1"/>
  <c r="O62" i="4"/>
  <c r="O63" i="4" a="1"/>
  <c r="O63" i="4" s="1"/>
  <c r="O64" i="4" a="1"/>
  <c r="O64" i="4" s="1"/>
  <c r="O65" i="4" a="1"/>
  <c r="O65" i="4" s="1"/>
  <c r="O66" i="4" a="1"/>
  <c r="O66" i="4"/>
  <c r="O67" i="4" a="1"/>
  <c r="O67" i="4"/>
  <c r="O68" i="4" a="1"/>
  <c r="O68" i="4"/>
  <c r="O69" i="4" a="1"/>
  <c r="O69" i="4" s="1"/>
  <c r="O70" i="4" a="1"/>
  <c r="O70" i="4" s="1"/>
  <c r="O71" i="4" a="1"/>
  <c r="O71" i="4" s="1"/>
  <c r="O72" i="4" a="1"/>
  <c r="O72" i="4"/>
  <c r="O73" i="4" a="1"/>
  <c r="O73" i="4"/>
  <c r="O74" i="4" a="1"/>
  <c r="O74" i="4"/>
  <c r="O75" i="4" a="1"/>
  <c r="O75" i="4" s="1"/>
  <c r="O76" i="4" a="1"/>
  <c r="O76" i="4" s="1"/>
  <c r="O77" i="4" a="1"/>
  <c r="O77" i="4" s="1"/>
  <c r="O78" i="4" a="1"/>
  <c r="O78" i="4"/>
  <c r="O79" i="4" a="1"/>
  <c r="O79" i="4"/>
  <c r="O80" i="4" a="1"/>
  <c r="O80" i="4"/>
  <c r="O81" i="4" a="1"/>
  <c r="O81" i="4" s="1"/>
  <c r="O82" i="4" a="1"/>
  <c r="O82" i="4" s="1"/>
  <c r="O83" i="4" a="1"/>
  <c r="O83" i="4" s="1"/>
  <c r="O84" i="4" a="1"/>
  <c r="O84" i="4"/>
  <c r="O85" i="4" a="1"/>
  <c r="O85" i="4"/>
  <c r="O86" i="4" a="1"/>
  <c r="O86" i="4"/>
  <c r="O87" i="4" a="1"/>
  <c r="O87" i="4" s="1"/>
  <c r="O88" i="4" a="1"/>
  <c r="O88" i="4" s="1"/>
  <c r="O89" i="4" a="1"/>
  <c r="O89" i="4" s="1"/>
  <c r="O90" i="4" a="1"/>
  <c r="O90" i="4"/>
  <c r="O91" i="4" a="1"/>
  <c r="O91" i="4"/>
  <c r="O92" i="4" a="1"/>
  <c r="O92" i="4"/>
  <c r="O93" i="4" a="1"/>
  <c r="O93" i="4" s="1"/>
  <c r="O94" i="4" a="1"/>
  <c r="O94" i="4" s="1"/>
  <c r="O95" i="4" a="1"/>
  <c r="O95" i="4" s="1"/>
  <c r="O96" i="4" a="1"/>
  <c r="O96" i="4"/>
  <c r="O97" i="4" a="1"/>
  <c r="O97" i="4"/>
  <c r="O98" i="4" a="1"/>
  <c r="O98" i="4"/>
  <c r="O99" i="4" a="1"/>
  <c r="O99" i="4" s="1"/>
  <c r="O100" i="4" a="1"/>
  <c r="O100" i="4" s="1"/>
  <c r="O101" i="4" a="1"/>
  <c r="O101" i="4" s="1"/>
  <c r="O102" i="4" a="1"/>
  <c r="O102" i="4"/>
  <c r="O103" i="4" a="1"/>
  <c r="O103" i="4"/>
  <c r="O104" i="4" a="1"/>
  <c r="O104" i="4"/>
  <c r="O105" i="4" a="1"/>
  <c r="O105" i="4" s="1"/>
  <c r="O106" i="4" a="1"/>
  <c r="O106" i="4" s="1"/>
  <c r="O107" i="4" a="1"/>
  <c r="O107" i="4" s="1"/>
  <c r="O108" i="4" a="1"/>
  <c r="O108" i="4"/>
  <c r="O109" i="4" a="1"/>
  <c r="O109" i="4"/>
  <c r="O110" i="4" a="1"/>
  <c r="O110" i="4"/>
  <c r="O111" i="4" a="1"/>
  <c r="O111" i="4" s="1"/>
  <c r="O112" i="4" a="1"/>
  <c r="O112" i="4" s="1"/>
  <c r="O113" i="4" a="1"/>
  <c r="O113" i="4" s="1"/>
  <c r="O114" i="4" a="1"/>
  <c r="O114" i="4"/>
  <c r="O115" i="4" a="1"/>
  <c r="O115" i="4"/>
  <c r="O116" i="4" a="1"/>
  <c r="O116" i="4"/>
  <c r="O117" i="4" a="1"/>
  <c r="O117" i="4" s="1"/>
  <c r="O118" i="4" a="1"/>
  <c r="O118" i="4" s="1"/>
  <c r="O119" i="4" a="1"/>
  <c r="O119" i="4" s="1"/>
  <c r="O120" i="4" a="1"/>
  <c r="O120" i="4"/>
  <c r="O121" i="4" a="1"/>
  <c r="O121" i="4"/>
  <c r="O122" i="4" a="1"/>
  <c r="O122" i="4"/>
  <c r="O123" i="4" a="1"/>
  <c r="O123" i="4" s="1"/>
  <c r="O124" i="4" a="1"/>
  <c r="O124" i="4" s="1"/>
  <c r="O125" i="4" a="1"/>
  <c r="O125" i="4" s="1"/>
  <c r="O126" i="4" a="1"/>
  <c r="O126" i="4"/>
  <c r="O127" i="4" a="1"/>
  <c r="O127" i="4"/>
  <c r="O128" i="4" a="1"/>
  <c r="O128" i="4"/>
  <c r="O129" i="4" a="1"/>
  <c r="O129" i="4" s="1"/>
  <c r="O130" i="4" a="1"/>
  <c r="O130" i="4" s="1"/>
  <c r="O131" i="4" a="1"/>
  <c r="O131" i="4" s="1"/>
  <c r="O132" i="4" a="1"/>
  <c r="O132" i="4"/>
  <c r="O133" i="4" a="1"/>
  <c r="O133" i="4"/>
  <c r="O134" i="4" a="1"/>
  <c r="O134" i="4"/>
  <c r="O135" i="4" a="1"/>
  <c r="O135" i="4" s="1"/>
  <c r="O136" i="4" a="1"/>
  <c r="O136" i="4" s="1"/>
  <c r="O137" i="4" a="1"/>
  <c r="O137" i="4" s="1"/>
  <c r="O138" i="4" a="1"/>
  <c r="O138" i="4"/>
  <c r="O139" i="4" a="1"/>
  <c r="O139" i="4"/>
  <c r="O140" i="4" a="1"/>
  <c r="O140" i="4"/>
  <c r="O141" i="4" a="1"/>
  <c r="O141" i="4" s="1"/>
  <c r="O142" i="4" a="1"/>
  <c r="O142" i="4" s="1"/>
  <c r="O143" i="4" a="1"/>
  <c r="O143" i="4" s="1"/>
  <c r="O144" i="4" a="1"/>
  <c r="O144" i="4"/>
  <c r="O145" i="4" a="1"/>
  <c r="O145" i="4"/>
  <c r="O146" i="4" a="1"/>
  <c r="O146" i="4"/>
  <c r="O147" i="4" a="1"/>
  <c r="O147" i="4" s="1"/>
  <c r="O148" i="4" a="1"/>
  <c r="O148" i="4" s="1"/>
  <c r="O149" i="4" a="1"/>
  <c r="O149" i="4" s="1"/>
  <c r="O150" i="4" a="1"/>
  <c r="O150" i="4"/>
  <c r="O151" i="4" a="1"/>
  <c r="O151" i="4"/>
  <c r="O152" i="4" a="1"/>
  <c r="O152" i="4"/>
  <c r="O153" i="4" a="1"/>
  <c r="O153" i="4" s="1"/>
  <c r="O154" i="4" a="1"/>
  <c r="O154" i="4" s="1"/>
  <c r="O155" i="4" a="1"/>
  <c r="O155" i="4" s="1"/>
  <c r="O156" i="4" a="1"/>
  <c r="O156" i="4"/>
  <c r="O157" i="4" a="1"/>
  <c r="O157" i="4"/>
  <c r="O158" i="4" a="1"/>
  <c r="O158" i="4"/>
  <c r="O159" i="4" a="1"/>
  <c r="O159" i="4" s="1"/>
  <c r="O160" i="4" a="1"/>
  <c r="O160" i="4" s="1"/>
  <c r="O161" i="4" a="1"/>
  <c r="O161" i="4" s="1"/>
  <c r="O162" i="4" a="1"/>
  <c r="O162" i="4"/>
  <c r="O163" i="4" a="1"/>
  <c r="O163" i="4"/>
  <c r="O164" i="4" a="1"/>
  <c r="O164" i="4"/>
  <c r="O165" i="4" a="1"/>
  <c r="O165" i="4" s="1"/>
  <c r="O166" i="4" a="1"/>
  <c r="O166" i="4" s="1"/>
  <c r="O167" i="4" a="1"/>
  <c r="O167" i="4" s="1"/>
  <c r="O168" i="4" a="1"/>
  <c r="O168" i="4"/>
  <c r="O169" i="4" a="1"/>
  <c r="O169" i="4"/>
  <c r="O170" i="4" a="1"/>
  <c r="O170" i="4"/>
  <c r="O171" i="4" a="1"/>
  <c r="O171" i="4" s="1"/>
  <c r="O172" i="4" a="1"/>
  <c r="O172" i="4" s="1"/>
  <c r="O173" i="4" a="1"/>
  <c r="O173" i="4" s="1"/>
  <c r="O174" i="4" a="1"/>
  <c r="O174" i="4"/>
  <c r="O175" i="4" a="1"/>
  <c r="O175" i="4"/>
  <c r="O176" i="4" a="1"/>
  <c r="O176" i="4"/>
  <c r="O177" i="4" a="1"/>
  <c r="O177" i="4" s="1"/>
  <c r="O178" i="4" a="1"/>
  <c r="O178" i="4" s="1"/>
  <c r="O179" i="4" a="1"/>
  <c r="O179" i="4" s="1"/>
  <c r="O180" i="4" a="1"/>
  <c r="O180" i="4"/>
  <c r="O181" i="4" a="1"/>
  <c r="O181" i="4"/>
  <c r="O182" i="4" a="1"/>
  <c r="O182" i="4"/>
  <c r="O183" i="4" a="1"/>
  <c r="O183" i="4" s="1"/>
  <c r="O184" i="4" a="1"/>
  <c r="O184" i="4" s="1"/>
  <c r="O185" i="4" a="1"/>
  <c r="O185" i="4" s="1"/>
  <c r="O186" i="4" a="1"/>
  <c r="O186" i="4"/>
  <c r="O187" i="4" a="1"/>
  <c r="O187" i="4"/>
  <c r="O188" i="4" a="1"/>
  <c r="O188" i="4"/>
  <c r="O189" i="4" a="1"/>
  <c r="O189" i="4" s="1"/>
  <c r="O190" i="4" a="1"/>
  <c r="O190" i="4" s="1"/>
  <c r="O191" i="4" a="1"/>
  <c r="O191" i="4" s="1"/>
  <c r="O192" i="4" a="1"/>
  <c r="O192" i="4"/>
  <c r="O193" i="4" a="1"/>
  <c r="O193" i="4" s="1"/>
  <c r="O194" i="4" a="1"/>
  <c r="O194" i="4"/>
  <c r="O195" i="4" a="1"/>
  <c r="O195" i="4" s="1"/>
  <c r="O196" i="4" a="1"/>
  <c r="O196" i="4" s="1"/>
  <c r="O197" i="4" a="1"/>
  <c r="O197" i="4" s="1"/>
  <c r="O198" i="4" a="1"/>
  <c r="O198" i="4"/>
  <c r="O199" i="4" a="1"/>
  <c r="O199" i="4"/>
  <c r="O200" i="4" a="1"/>
  <c r="O200" i="4"/>
  <c r="O201" i="4" a="1"/>
  <c r="O201" i="4" s="1"/>
  <c r="O202" i="4" a="1"/>
  <c r="O202" i="4" s="1"/>
  <c r="O203" i="4" a="1"/>
  <c r="O203" i="4" s="1"/>
  <c r="O204" i="4" a="1"/>
  <c r="O204" i="4"/>
  <c r="O205" i="4" a="1"/>
  <c r="O205" i="4"/>
  <c r="O206" i="4" a="1"/>
  <c r="O206" i="4"/>
  <c r="O207" i="4" a="1"/>
  <c r="O207" i="4" s="1"/>
  <c r="O208" i="4" a="1"/>
  <c r="O208" i="4" s="1"/>
  <c r="O209" i="4" a="1"/>
  <c r="O209" i="4" s="1"/>
  <c r="O210" i="4" a="1"/>
  <c r="O210" i="4"/>
  <c r="O211" i="4" a="1"/>
  <c r="O211" i="4"/>
  <c r="O212" i="4" a="1"/>
  <c r="O212" i="4"/>
  <c r="O213" i="4" a="1"/>
  <c r="O213" i="4" s="1"/>
  <c r="O214" i="4" a="1"/>
  <c r="O214" i="4" s="1"/>
  <c r="O215" i="4" a="1"/>
  <c r="O215" i="4" s="1"/>
  <c r="O216" i="4" a="1"/>
  <c r="O216" i="4"/>
  <c r="O217" i="4" a="1"/>
  <c r="O217" i="4"/>
  <c r="O218" i="4" a="1"/>
  <c r="O218" i="4"/>
  <c r="O219" i="4" a="1"/>
  <c r="O219" i="4" s="1"/>
  <c r="O220" i="4" a="1"/>
  <c r="O220" i="4" s="1"/>
  <c r="O221" i="4" a="1"/>
  <c r="O221" i="4" s="1"/>
  <c r="O222" i="4" a="1"/>
  <c r="O222" i="4"/>
  <c r="O223" i="4" a="1"/>
  <c r="O223" i="4"/>
  <c r="O224" i="4" a="1"/>
  <c r="O224" i="4"/>
  <c r="O225" i="4" a="1"/>
  <c r="O225" i="4" s="1"/>
  <c r="O226" i="4" a="1"/>
  <c r="O226" i="4" s="1"/>
  <c r="O227" i="4" a="1"/>
  <c r="O227" i="4" s="1"/>
  <c r="O228" i="4" a="1"/>
  <c r="O228" i="4"/>
  <c r="O229" i="4" a="1"/>
  <c r="O229" i="4"/>
  <c r="O230" i="4" a="1"/>
  <c r="O230" i="4"/>
  <c r="O231" i="4" a="1"/>
  <c r="O231" i="4" s="1"/>
  <c r="O232" i="4" a="1"/>
  <c r="O232" i="4" s="1"/>
  <c r="O233" i="4" a="1"/>
  <c r="O233" i="4" s="1"/>
  <c r="O234" i="4" a="1"/>
  <c r="O234" i="4"/>
  <c r="O235" i="4" a="1"/>
  <c r="O235" i="4"/>
  <c r="O236" i="4" a="1"/>
  <c r="O236" i="4"/>
  <c r="O237" i="4" a="1"/>
  <c r="O237" i="4" s="1"/>
  <c r="O238" i="4" a="1"/>
  <c r="O238" i="4" s="1"/>
  <c r="O239" i="4" a="1"/>
  <c r="O239" i="4" s="1"/>
  <c r="O240" i="4" a="1"/>
  <c r="O240" i="4"/>
  <c r="O241" i="4" a="1"/>
  <c r="O241" i="4"/>
  <c r="O242" i="4" a="1"/>
  <c r="O242" i="4"/>
  <c r="O243" i="4" a="1"/>
  <c r="O243" i="4" s="1"/>
  <c r="O244" i="4" a="1"/>
  <c r="O244" i="4" s="1"/>
  <c r="O245" i="4" a="1"/>
  <c r="O245" i="4" s="1"/>
  <c r="O246" i="4" a="1"/>
  <c r="O246" i="4"/>
  <c r="O247" i="4" a="1"/>
  <c r="O247" i="4"/>
  <c r="O248" i="4" a="1"/>
  <c r="O248" i="4"/>
  <c r="O249" i="4" a="1"/>
  <c r="O249" i="4" s="1"/>
  <c r="O250" i="4" a="1"/>
  <c r="O250" i="4" s="1"/>
  <c r="O251" i="4" a="1"/>
  <c r="O251" i="4" s="1"/>
  <c r="O252" i="4" a="1"/>
  <c r="O252" i="4"/>
  <c r="O253" i="4" a="1"/>
  <c r="O253" i="4"/>
  <c r="O254" i="4" a="1"/>
  <c r="O254" i="4"/>
  <c r="O255" i="4" a="1"/>
  <c r="O255" i="4" s="1"/>
  <c r="O256" i="4" a="1"/>
  <c r="O256" i="4" s="1"/>
  <c r="O257" i="4" a="1"/>
  <c r="O257" i="4" s="1"/>
  <c r="O258" i="4" a="1"/>
  <c r="O258" i="4"/>
  <c r="O259" i="4" a="1"/>
  <c r="O259" i="4"/>
  <c r="O260" i="4" a="1"/>
  <c r="O260" i="4"/>
  <c r="O261" i="4" a="1"/>
  <c r="O261" i="4" s="1"/>
  <c r="O262" i="4" a="1"/>
  <c r="O262" i="4" s="1"/>
  <c r="O263" i="4" a="1"/>
  <c r="O263" i="4" s="1"/>
  <c r="O264" i="4" a="1"/>
  <c r="O264" i="4"/>
  <c r="O265" i="4" a="1"/>
  <c r="O265" i="4"/>
  <c r="O266" i="4" a="1"/>
  <c r="O266" i="4"/>
  <c r="O267" i="4" a="1"/>
  <c r="O267" i="4" s="1"/>
  <c r="O268" i="4" a="1"/>
  <c r="O268" i="4" s="1"/>
  <c r="O269" i="4" a="1"/>
  <c r="O269" i="4" s="1"/>
  <c r="O270" i="4" a="1"/>
  <c r="O270" i="4"/>
  <c r="O271" i="4" a="1"/>
  <c r="O271" i="4"/>
  <c r="O272" i="4" a="1"/>
  <c r="O272" i="4"/>
  <c r="O273" i="4" a="1"/>
  <c r="O273" i="4" s="1"/>
  <c r="O274" i="4" a="1"/>
  <c r="O274" i="4" s="1"/>
  <c r="O275" i="4" a="1"/>
  <c r="O275" i="4" s="1"/>
  <c r="O276" i="4" a="1"/>
  <c r="O276" i="4"/>
  <c r="O277" i="4" a="1"/>
  <c r="O277" i="4"/>
  <c r="O278" i="4" a="1"/>
  <c r="O278" i="4"/>
  <c r="O279" i="4" a="1"/>
  <c r="O279" i="4" s="1"/>
  <c r="O280" i="4" a="1"/>
  <c r="O280" i="4" s="1"/>
  <c r="O281" i="4" a="1"/>
  <c r="O281" i="4" s="1"/>
  <c r="O282" i="4" a="1"/>
  <c r="O282" i="4"/>
  <c r="O283" i="4" a="1"/>
  <c r="O283" i="4"/>
  <c r="O284" i="4" a="1"/>
  <c r="O284" i="4"/>
  <c r="O285" i="4" a="1"/>
  <c r="O285" i="4" s="1"/>
  <c r="O286" i="4" a="1"/>
  <c r="O286" i="4" s="1"/>
  <c r="O287" i="4" a="1"/>
  <c r="O287" i="4" s="1"/>
  <c r="O288" i="4" a="1"/>
  <c r="O288" i="4"/>
  <c r="O289" i="4" a="1"/>
  <c r="O289" i="4"/>
  <c r="O290" i="4" a="1"/>
  <c r="O290" i="4"/>
  <c r="O291" i="4" a="1"/>
  <c r="O291" i="4" s="1"/>
  <c r="O292" i="4" a="1"/>
  <c r="O292" i="4" s="1"/>
  <c r="O293" i="4" a="1"/>
  <c r="O293" i="4" s="1"/>
  <c r="O294" i="4" a="1"/>
  <c r="O294" i="4"/>
  <c r="O295" i="4" a="1"/>
  <c r="O295" i="4"/>
  <c r="O296" i="4" a="1"/>
  <c r="O296" i="4"/>
  <c r="O297" i="4" a="1"/>
  <c r="O297" i="4" s="1"/>
  <c r="O298" i="4" a="1"/>
  <c r="O298" i="4" s="1"/>
  <c r="O299" i="4" a="1"/>
  <c r="O299" i="4" s="1"/>
  <c r="O300" i="4" a="1"/>
  <c r="O300" i="4"/>
  <c r="O301" i="4" a="1"/>
  <c r="O301" i="4"/>
  <c r="O302" i="4" a="1"/>
  <c r="O302" i="4"/>
  <c r="O303" i="4" a="1"/>
  <c r="O303" i="4" s="1"/>
  <c r="O304" i="4" a="1"/>
  <c r="O304" i="4" s="1"/>
  <c r="O305" i="4" a="1"/>
  <c r="O305" i="4" s="1"/>
  <c r="O306" i="4" a="1"/>
  <c r="O306" i="4"/>
  <c r="O307" i="4" a="1"/>
  <c r="O307" i="4"/>
  <c r="O308" i="4" a="1"/>
  <c r="O308" i="4"/>
  <c r="O309" i="4" a="1"/>
  <c r="O309" i="4" s="1"/>
  <c r="O310" i="4" a="1"/>
  <c r="O310" i="4" s="1"/>
  <c r="O311" i="4" a="1"/>
  <c r="O311" i="4" s="1"/>
  <c r="O312" i="4" a="1"/>
  <c r="O312" i="4"/>
  <c r="O313" i="4" a="1"/>
  <c r="O313" i="4"/>
  <c r="O314" i="4" a="1"/>
  <c r="O314" i="4"/>
  <c r="O315" i="4" a="1"/>
  <c r="O315" i="4" s="1"/>
  <c r="O316" i="4" a="1"/>
  <c r="O316" i="4" s="1"/>
  <c r="O317" i="4" a="1"/>
  <c r="O317" i="4" s="1"/>
  <c r="O318" i="4" a="1"/>
  <c r="O318" i="4"/>
  <c r="O319" i="4" a="1"/>
  <c r="O319" i="4"/>
  <c r="O320" i="4" a="1"/>
  <c r="O320" i="4"/>
  <c r="O321" i="4" a="1"/>
  <c r="O321" i="4" s="1"/>
  <c r="O322" i="4" a="1"/>
  <c r="O322" i="4" s="1"/>
  <c r="O323" i="4" a="1"/>
  <c r="O323" i="4" s="1"/>
  <c r="O324" i="4" a="1"/>
  <c r="O324" i="4"/>
  <c r="O325" i="4" a="1"/>
  <c r="O325" i="4"/>
  <c r="O326" i="4" a="1"/>
  <c r="O326" i="4"/>
  <c r="O327" i="4" a="1"/>
  <c r="O327" i="4" s="1"/>
  <c r="O328" i="4" a="1"/>
  <c r="O328" i="4" s="1"/>
  <c r="O329" i="4" a="1"/>
  <c r="O329" i="4" s="1"/>
  <c r="O330" i="4" a="1"/>
  <c r="O330" i="4"/>
  <c r="O331" i="4" a="1"/>
  <c r="O331" i="4"/>
  <c r="O332" i="4" a="1"/>
  <c r="O332" i="4"/>
  <c r="O333" i="4" a="1"/>
  <c r="O333" i="4" s="1"/>
  <c r="O334" i="4" a="1"/>
  <c r="O334" i="4" s="1"/>
  <c r="O335" i="4" a="1"/>
  <c r="O335" i="4" s="1"/>
  <c r="O336" i="4" a="1"/>
  <c r="O336" i="4"/>
  <c r="O337" i="4" a="1"/>
  <c r="O337" i="4"/>
  <c r="O338" i="4" a="1"/>
  <c r="O338" i="4"/>
  <c r="O339" i="4" a="1"/>
  <c r="O339" i="4" s="1"/>
  <c r="O340" i="4" a="1"/>
  <c r="O340" i="4" s="1"/>
  <c r="O341" i="4" a="1"/>
  <c r="O341" i="4" s="1"/>
  <c r="O342" i="4" a="1"/>
  <c r="O342" i="4"/>
  <c r="O343" i="4" a="1"/>
  <c r="O343" i="4"/>
  <c r="O344" i="4" a="1"/>
  <c r="O344" i="4"/>
  <c r="O345" i="4" a="1"/>
  <c r="O345" i="4" s="1"/>
  <c r="O346" i="4" a="1"/>
  <c r="O346" i="4" s="1"/>
  <c r="O347" i="4" a="1"/>
  <c r="O347" i="4" s="1"/>
  <c r="O348" i="4" a="1"/>
  <c r="O348" i="4"/>
  <c r="O349" i="4" a="1"/>
  <c r="O349" i="4"/>
  <c r="O350" i="4" a="1"/>
  <c r="O350" i="4"/>
  <c r="O351" i="4" a="1"/>
  <c r="O351" i="4" s="1"/>
  <c r="O352" i="4" a="1"/>
  <c r="O352" i="4" s="1"/>
  <c r="O353" i="4" a="1"/>
  <c r="O353" i="4" s="1"/>
  <c r="O354" i="4" a="1"/>
  <c r="O354" i="4"/>
  <c r="O355" i="4" a="1"/>
  <c r="O355" i="4"/>
  <c r="O356" i="4" a="1"/>
  <c r="O356" i="4"/>
  <c r="O357" i="4" a="1"/>
  <c r="O357" i="4" s="1"/>
  <c r="O358" i="4" a="1"/>
  <c r="O358" i="4" s="1"/>
  <c r="O359" i="4" a="1"/>
  <c r="O359" i="4" s="1"/>
  <c r="O360" i="4" a="1"/>
  <c r="O360" i="4"/>
  <c r="O361" i="4" a="1"/>
  <c r="O361" i="4"/>
  <c r="O362" i="4" a="1"/>
  <c r="O362" i="4"/>
  <c r="O363" i="4" a="1"/>
  <c r="O363" i="4" s="1"/>
  <c r="O364" i="4" a="1"/>
  <c r="O364" i="4" s="1"/>
  <c r="O365" i="4" a="1"/>
  <c r="O365" i="4" s="1"/>
  <c r="O366" i="4" a="1"/>
  <c r="O366" i="4"/>
  <c r="O367" i="4" a="1"/>
  <c r="O367" i="4"/>
  <c r="O368" i="4" a="1"/>
  <c r="O368" i="4"/>
  <c r="O369" i="4" a="1"/>
  <c r="O369" i="4" s="1"/>
  <c r="O370" i="4" a="1"/>
  <c r="O370" i="4" s="1"/>
  <c r="O371" i="4" a="1"/>
  <c r="O371" i="4" s="1"/>
  <c r="O372" i="4" a="1"/>
  <c r="O372" i="4"/>
  <c r="O373" i="4" a="1"/>
  <c r="O373" i="4"/>
  <c r="O374" i="4" a="1"/>
  <c r="O374" i="4"/>
  <c r="O375" i="4" a="1"/>
  <c r="O375" i="4" s="1"/>
  <c r="O376" i="4" a="1"/>
  <c r="O376" i="4" s="1"/>
  <c r="O377" i="4" a="1"/>
  <c r="O377" i="4" s="1"/>
  <c r="O378" i="4" a="1"/>
  <c r="O378" i="4"/>
  <c r="O379" i="4" a="1"/>
  <c r="O379" i="4"/>
  <c r="O380" i="4" a="1"/>
  <c r="O380" i="4"/>
  <c r="O381" i="4" a="1"/>
  <c r="O381" i="4" s="1"/>
  <c r="O382" i="4" a="1"/>
  <c r="O382" i="4" s="1"/>
  <c r="O383" i="4" a="1"/>
  <c r="O383" i="4" s="1"/>
  <c r="O384" i="4" a="1"/>
  <c r="O384" i="4"/>
  <c r="O385" i="4" a="1"/>
  <c r="O385" i="4"/>
  <c r="O386" i="4" a="1"/>
  <c r="O386" i="4"/>
  <c r="O387" i="4" a="1"/>
  <c r="O387" i="4" s="1"/>
  <c r="O388" i="4" a="1"/>
  <c r="O388" i="4" s="1"/>
  <c r="O389" i="4" a="1"/>
  <c r="O389" i="4" s="1"/>
  <c r="O390" i="4" a="1"/>
  <c r="O390" i="4"/>
  <c r="O391" i="4" a="1"/>
  <c r="O391" i="4"/>
  <c r="O392" i="4" a="1"/>
  <c r="O392" i="4"/>
  <c r="O393" i="4" a="1"/>
  <c r="O393" i="4" s="1"/>
  <c r="O394" i="4" a="1"/>
  <c r="O394" i="4" s="1"/>
  <c r="O395" i="4" a="1"/>
  <c r="O395" i="4" s="1"/>
  <c r="O396" i="4" a="1"/>
  <c r="O396" i="4"/>
  <c r="O397" i="4" a="1"/>
  <c r="O397" i="4"/>
  <c r="O398" i="4" a="1"/>
  <c r="O398" i="4"/>
  <c r="O399" i="4" a="1"/>
  <c r="O399" i="4" s="1"/>
  <c r="O400" i="4" a="1"/>
  <c r="O400" i="4" s="1"/>
  <c r="O401" i="4" a="1"/>
  <c r="O401" i="4" s="1"/>
  <c r="O402" i="4" a="1"/>
  <c r="O402" i="4"/>
  <c r="O403" i="4" a="1"/>
  <c r="O403" i="4"/>
  <c r="O404" i="4" a="1"/>
  <c r="O404" i="4"/>
  <c r="O405" i="4" a="1"/>
  <c r="O405" i="4" s="1"/>
  <c r="O406" i="4" a="1"/>
  <c r="O406" i="4" s="1"/>
  <c r="O407" i="4" a="1"/>
  <c r="O407" i="4" s="1"/>
  <c r="O408" i="4" a="1"/>
  <c r="O408" i="4"/>
  <c r="O409" i="4" a="1"/>
  <c r="O409" i="4"/>
  <c r="O410" i="4" a="1"/>
  <c r="O410" i="4"/>
  <c r="O411" i="4" a="1"/>
  <c r="O411" i="4" s="1"/>
  <c r="O412" i="4" a="1"/>
  <c r="O412" i="4" s="1"/>
  <c r="O413" i="4" a="1"/>
  <c r="O413" i="4" s="1"/>
  <c r="O414" i="4" a="1"/>
  <c r="O414" i="4"/>
  <c r="O415" i="4" a="1"/>
  <c r="O415" i="4"/>
  <c r="O416" i="4" a="1"/>
  <c r="O416" i="4"/>
  <c r="O417" i="4" a="1"/>
  <c r="O417" i="4" s="1"/>
  <c r="O418" i="4" a="1"/>
  <c r="O418" i="4" s="1"/>
  <c r="O419" i="4" a="1"/>
  <c r="O419" i="4" s="1"/>
  <c r="O420" i="4" a="1"/>
  <c r="O420" i="4"/>
  <c r="O421" i="4" a="1"/>
  <c r="O421" i="4"/>
  <c r="O422" i="4" a="1"/>
  <c r="O422" i="4"/>
  <c r="O423" i="4" a="1"/>
  <c r="O423" i="4" s="1"/>
  <c r="O424" i="4" a="1"/>
  <c r="O424" i="4" s="1"/>
  <c r="O425" i="4" a="1"/>
  <c r="O425" i="4" s="1"/>
  <c r="O426" i="4" a="1"/>
  <c r="O426" i="4"/>
  <c r="O427" i="4" a="1"/>
  <c r="O427" i="4"/>
  <c r="O428" i="4" a="1"/>
  <c r="O428" i="4"/>
  <c r="O429" i="4" a="1"/>
  <c r="O429" i="4" s="1"/>
  <c r="O430" i="4" a="1"/>
  <c r="O430" i="4" s="1"/>
  <c r="O431" i="4" a="1"/>
  <c r="O431" i="4" s="1"/>
  <c r="O432" i="4" a="1"/>
  <c r="O432" i="4"/>
  <c r="O433" i="4" a="1"/>
  <c r="O433" i="4"/>
  <c r="O434" i="4" a="1"/>
  <c r="O434" i="4"/>
  <c r="O435" i="4" a="1"/>
  <c r="O435" i="4" s="1"/>
  <c r="O436" i="4" a="1"/>
  <c r="O436" i="4" s="1"/>
  <c r="O437" i="4" a="1"/>
  <c r="O437" i="4" s="1"/>
  <c r="O438" i="4" a="1"/>
  <c r="O438" i="4"/>
  <c r="O439" i="4" a="1"/>
  <c r="O439" i="4"/>
  <c r="O440" i="4" a="1"/>
  <c r="O440" i="4"/>
  <c r="O441" i="4" a="1"/>
  <c r="O441" i="4" s="1"/>
  <c r="O442" i="4" a="1"/>
  <c r="O442" i="4" s="1"/>
  <c r="O443" i="4" a="1"/>
  <c r="O443" i="4" s="1"/>
  <c r="O444" i="4" a="1"/>
  <c r="O444" i="4"/>
  <c r="O445" i="4" a="1"/>
  <c r="O445" i="4"/>
  <c r="O446" i="4" a="1"/>
  <c r="O446" i="4"/>
  <c r="O447" i="4" a="1"/>
  <c r="O447" i="4" s="1"/>
  <c r="O448" i="4" a="1"/>
  <c r="O448" i="4" s="1"/>
  <c r="O449" i="4" a="1"/>
  <c r="O449" i="4" s="1"/>
  <c r="O450" i="4" a="1"/>
  <c r="O450" i="4"/>
  <c r="O451" i="4" a="1"/>
  <c r="O451" i="4"/>
  <c r="O452" i="4" a="1"/>
  <c r="O452" i="4"/>
  <c r="O453" i="4" a="1"/>
  <c r="O453" i="4" s="1"/>
  <c r="O454" i="4" a="1"/>
  <c r="O454" i="4" s="1"/>
  <c r="O455" i="4" a="1"/>
  <c r="O455" i="4" s="1"/>
  <c r="O456" i="4" a="1"/>
  <c r="O456" i="4"/>
  <c r="O457" i="4" a="1"/>
  <c r="O457" i="4"/>
  <c r="O458" i="4" a="1"/>
  <c r="O458" i="4"/>
  <c r="O459" i="4" a="1"/>
  <c r="O459" i="4" s="1"/>
  <c r="O460" i="4" a="1"/>
  <c r="O460" i="4" s="1"/>
  <c r="O461" i="4" a="1"/>
  <c r="O461" i="4" s="1"/>
  <c r="O462" i="4" a="1"/>
  <c r="O462" i="4"/>
  <c r="O463" i="4" a="1"/>
  <c r="O463" i="4"/>
  <c r="O464" i="4" a="1"/>
  <c r="O464" i="4"/>
  <c r="O465" i="4" a="1"/>
  <c r="O465" i="4" s="1"/>
  <c r="O466" i="4" a="1"/>
  <c r="O466" i="4" s="1"/>
  <c r="O467" i="4" a="1"/>
  <c r="O467" i="4" s="1"/>
  <c r="O468" i="4" a="1"/>
  <c r="O468" i="4"/>
  <c r="O469" i="4" a="1"/>
  <c r="O469" i="4"/>
  <c r="O470" i="4" a="1"/>
  <c r="O470" i="4"/>
  <c r="O471" i="4" a="1"/>
  <c r="O471" i="4" s="1"/>
  <c r="O472" i="4" a="1"/>
  <c r="O472" i="4" s="1"/>
  <c r="O473" i="4" a="1"/>
  <c r="O473" i="4" s="1"/>
  <c r="O474" i="4" a="1"/>
  <c r="O474" i="4"/>
  <c r="O475" i="4" a="1"/>
  <c r="O475" i="4"/>
  <c r="O476" i="4" a="1"/>
  <c r="O476" i="4"/>
  <c r="O477" i="4" a="1"/>
  <c r="O477" i="4" s="1"/>
  <c r="O478" i="4" a="1"/>
  <c r="O478" i="4" s="1"/>
  <c r="O479" i="4" a="1"/>
  <c r="O479" i="4" s="1"/>
  <c r="O480" i="4" a="1"/>
  <c r="O480" i="4"/>
  <c r="O481" i="4" a="1"/>
  <c r="O481" i="4"/>
  <c r="O482" i="4" a="1"/>
  <c r="O482" i="4"/>
  <c r="O483" i="4" a="1"/>
  <c r="O483" i="4" s="1"/>
  <c r="O484" i="4" a="1"/>
  <c r="O484" i="4" s="1"/>
  <c r="O485" i="4" a="1"/>
  <c r="O485" i="4" s="1"/>
  <c r="O486" i="4" a="1"/>
  <c r="O486" i="4"/>
  <c r="O487" i="4" a="1"/>
  <c r="O487" i="4"/>
  <c r="O488" i="4" a="1"/>
  <c r="O488" i="4"/>
  <c r="O489" i="4" a="1"/>
  <c r="O489" i="4" s="1"/>
  <c r="O490" i="4" a="1"/>
  <c r="O490" i="4" s="1"/>
  <c r="O491" i="4" a="1"/>
  <c r="O491" i="4" s="1"/>
  <c r="O492" i="4" a="1"/>
  <c r="O492" i="4"/>
  <c r="O493" i="4" a="1"/>
  <c r="O493" i="4"/>
  <c r="O494" i="4" a="1"/>
  <c r="O494" i="4"/>
  <c r="O495" i="4" a="1"/>
  <c r="O495" i="4" s="1"/>
  <c r="O496" i="4" a="1"/>
  <c r="O496" i="4" s="1"/>
  <c r="O497" i="4" a="1"/>
  <c r="O497" i="4" s="1"/>
  <c r="O498" i="4" a="1"/>
  <c r="O498" i="4"/>
  <c r="O499" i="4" a="1"/>
  <c r="O499" i="4"/>
  <c r="O500" i="4" a="1"/>
  <c r="O500" i="4"/>
  <c r="O501" i="4" a="1"/>
  <c r="O501" i="4" s="1"/>
  <c r="O2" i="4" a="1"/>
  <c r="O2" i="4" s="1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2" i="4"/>
  <c r="M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<sst xmlns="http://schemas.openxmlformats.org/spreadsheetml/2006/main" count="16282" uniqueCount="1538">
  <si>
    <t>EmployeeID</t>
  </si>
  <si>
    <t>FirstName</t>
  </si>
  <si>
    <t>LastName</t>
  </si>
  <si>
    <t>Gender</t>
  </si>
  <si>
    <t>Age</t>
  </si>
  <si>
    <t>DepartmentID</t>
  </si>
  <si>
    <t>JobTitle</t>
  </si>
  <si>
    <t>HireDate</t>
  </si>
  <si>
    <t>Salary</t>
  </si>
  <si>
    <t>City</t>
  </si>
  <si>
    <t>Email</t>
  </si>
  <si>
    <t>Status</t>
  </si>
  <si>
    <t>E0001</t>
  </si>
  <si>
    <t>Amit</t>
  </si>
  <si>
    <t>Dutta</t>
  </si>
  <si>
    <t>Female</t>
  </si>
  <si>
    <t>D01</t>
  </si>
  <si>
    <t>Analyst</t>
  </si>
  <si>
    <t>2019-02-21</t>
  </si>
  <si>
    <t>Kolkata</t>
  </si>
  <si>
    <t>amit.dutta1@example.com</t>
  </si>
  <si>
    <t>Active</t>
  </si>
  <si>
    <t>E0002</t>
  </si>
  <si>
    <t>Roy</t>
  </si>
  <si>
    <t>Male</t>
  </si>
  <si>
    <t>D03</t>
  </si>
  <si>
    <t>Executive</t>
  </si>
  <si>
    <t>2021-12-18</t>
  </si>
  <si>
    <t>amit.roy2@example.com</t>
  </si>
  <si>
    <t>E0003</t>
  </si>
  <si>
    <t>Rohit</t>
  </si>
  <si>
    <t>D04</t>
  </si>
  <si>
    <t>Coordinator</t>
  </si>
  <si>
    <t>2020-07-25</t>
  </si>
  <si>
    <t>Pune</t>
  </si>
  <si>
    <t>rohit.roy3@example.com</t>
  </si>
  <si>
    <t>Inactive</t>
  </si>
  <si>
    <t>E0004</t>
  </si>
  <si>
    <t>David</t>
  </si>
  <si>
    <t>D05</t>
  </si>
  <si>
    <t>Manager</t>
  </si>
  <si>
    <t>2021-08-05</t>
  </si>
  <si>
    <t>david.dutta4@example.com</t>
  </si>
  <si>
    <t>E0005</t>
  </si>
  <si>
    <t>Jane</t>
  </si>
  <si>
    <t>Ghosh</t>
  </si>
  <si>
    <t>2020-06-08</t>
  </si>
  <si>
    <t>jane.ghosh5@example.com</t>
  </si>
  <si>
    <t>E0006</t>
  </si>
  <si>
    <t>Rahul</t>
  </si>
  <si>
    <t>D02</t>
  </si>
  <si>
    <t>2019-08-04</t>
  </si>
  <si>
    <t>rahul.dutta6@example.com</t>
  </si>
  <si>
    <t>E0007</t>
  </si>
  <si>
    <t>Sara</t>
  </si>
  <si>
    <t>2021-01-23</t>
  </si>
  <si>
    <t>sara.ghosh7@example.com</t>
  </si>
  <si>
    <t>E0008</t>
  </si>
  <si>
    <t>John</t>
  </si>
  <si>
    <t>2020-05-27</t>
  </si>
  <si>
    <t>Delhi</t>
  </si>
  <si>
    <t>john.dutta8@example.com</t>
  </si>
  <si>
    <t>E0009</t>
  </si>
  <si>
    <t>Singh</t>
  </si>
  <si>
    <t>2022-04-30</t>
  </si>
  <si>
    <t>Bengaluru</t>
  </si>
  <si>
    <t>john.singh9@example.com</t>
  </si>
  <si>
    <t>E0010</t>
  </si>
  <si>
    <t>2018-12-23</t>
  </si>
  <si>
    <t>amit.roy10@example.com</t>
  </si>
  <si>
    <t>E0011</t>
  </si>
  <si>
    <t>Anita</t>
  </si>
  <si>
    <t>2021-06-09</t>
  </si>
  <si>
    <t>anita.roy11@example.com</t>
  </si>
  <si>
    <t>E0012</t>
  </si>
  <si>
    <t>2019-02-24</t>
  </si>
  <si>
    <t>rohit.ghosh12@example.com</t>
  </si>
  <si>
    <t>E0013</t>
  </si>
  <si>
    <t>Khan</t>
  </si>
  <si>
    <t>2022-03-31</t>
  </si>
  <si>
    <t>Mumbai</t>
  </si>
  <si>
    <t>rohit.khan13@example.com</t>
  </si>
  <si>
    <t>E0014</t>
  </si>
  <si>
    <t>Sen</t>
  </si>
  <si>
    <t>2022-09-23</t>
  </si>
  <si>
    <t>rohit.sen14@example.com</t>
  </si>
  <si>
    <t>E0015</t>
  </si>
  <si>
    <t>2018-07-03</t>
  </si>
  <si>
    <t>david.sen15@example.com</t>
  </si>
  <si>
    <t>E0016</t>
  </si>
  <si>
    <t>Paul</t>
  </si>
  <si>
    <t>2024-04-11</t>
  </si>
  <si>
    <t>sara.paul16@example.com</t>
  </si>
  <si>
    <t>E0017</t>
  </si>
  <si>
    <t>Priya</t>
  </si>
  <si>
    <t>Smith</t>
  </si>
  <si>
    <t>2019-04-23</t>
  </si>
  <si>
    <t>priya.smith17@example.com</t>
  </si>
  <si>
    <t>E0018</t>
  </si>
  <si>
    <t>2018-07-10</t>
  </si>
  <si>
    <t>john.roy18@example.com</t>
  </si>
  <si>
    <t>E0019</t>
  </si>
  <si>
    <t>2022-08-16</t>
  </si>
  <si>
    <t>rohit.khan19@example.com</t>
  </si>
  <si>
    <t>E0020</t>
  </si>
  <si>
    <t>2018-03-22</t>
  </si>
  <si>
    <t>priya.dutta20@example.com</t>
  </si>
  <si>
    <t>E0021</t>
  </si>
  <si>
    <t>Specialist</t>
  </si>
  <si>
    <t>2021-09-22</t>
  </si>
  <si>
    <t>priya.sen21@example.com</t>
  </si>
  <si>
    <t>E0022</t>
  </si>
  <si>
    <t>2022-11-19</t>
  </si>
  <si>
    <t>amit.dutta22@example.com</t>
  </si>
  <si>
    <t>E0023</t>
  </si>
  <si>
    <t>2021-12-22</t>
  </si>
  <si>
    <t>anita.singh23@example.com</t>
  </si>
  <si>
    <t>E0024</t>
  </si>
  <si>
    <t>2019-06-08</t>
  </si>
  <si>
    <t>jane.singh24@example.com</t>
  </si>
  <si>
    <t>E0025</t>
  </si>
  <si>
    <t>2021-12-07</t>
  </si>
  <si>
    <t>anita.sen25@example.com</t>
  </si>
  <si>
    <t>E0026</t>
  </si>
  <si>
    <t>2023-06-24</t>
  </si>
  <si>
    <t>john.dutta26@example.com</t>
  </si>
  <si>
    <t>E0027</t>
  </si>
  <si>
    <t>2020-10-09</t>
  </si>
  <si>
    <t>amit.sen27@example.com</t>
  </si>
  <si>
    <t>E0028</t>
  </si>
  <si>
    <t>Das</t>
  </si>
  <si>
    <t>2021-06-08</t>
  </si>
  <si>
    <t>jane.das28@example.com</t>
  </si>
  <si>
    <t>E0029</t>
  </si>
  <si>
    <t>2022-02-08</t>
  </si>
  <si>
    <t>sara.khan29@example.com</t>
  </si>
  <si>
    <t>E0030</t>
  </si>
  <si>
    <t>2021-05-20</t>
  </si>
  <si>
    <t>david.dutta30@example.com</t>
  </si>
  <si>
    <t>E0031</t>
  </si>
  <si>
    <t>2019-08-08</t>
  </si>
  <si>
    <t>amit.ghosh31@example.com</t>
  </si>
  <si>
    <t>E0032</t>
  </si>
  <si>
    <t>Neha</t>
  </si>
  <si>
    <t>2019-11-15</t>
  </si>
  <si>
    <t>neha.smith32@example.com</t>
  </si>
  <si>
    <t>E0033</t>
  </si>
  <si>
    <t>2019-06-18</t>
  </si>
  <si>
    <t>neha.singh33@example.com</t>
  </si>
  <si>
    <t>E0034</t>
  </si>
  <si>
    <t>2024-03-15</t>
  </si>
  <si>
    <t>john.sen34@example.com</t>
  </si>
  <si>
    <t>E0035</t>
  </si>
  <si>
    <t>2021-11-25</t>
  </si>
  <si>
    <t>david.khan35@example.com</t>
  </si>
  <si>
    <t>E0036</t>
  </si>
  <si>
    <t>2018-06-15</t>
  </si>
  <si>
    <t>rohit.ghosh36@example.com</t>
  </si>
  <si>
    <t>E0037</t>
  </si>
  <si>
    <t>2021-05-24</t>
  </si>
  <si>
    <t>amit.ghosh37@example.com</t>
  </si>
  <si>
    <t>E0038</t>
  </si>
  <si>
    <t>2020-11-13</t>
  </si>
  <si>
    <t>neha.paul38@example.com</t>
  </si>
  <si>
    <t>E0039</t>
  </si>
  <si>
    <t>Brown</t>
  </si>
  <si>
    <t>2018-06-20</t>
  </si>
  <si>
    <t>david.brown39@example.com</t>
  </si>
  <si>
    <t>E0040</t>
  </si>
  <si>
    <t>2018-11-27</t>
  </si>
  <si>
    <t>neha.paul40@example.com</t>
  </si>
  <si>
    <t>E0041</t>
  </si>
  <si>
    <t>2021-11-26</t>
  </si>
  <si>
    <t>anita.ghosh41@example.com</t>
  </si>
  <si>
    <t>E0042</t>
  </si>
  <si>
    <t>2019-01-24</t>
  </si>
  <si>
    <t>jane.smith42@example.com</t>
  </si>
  <si>
    <t>E0043</t>
  </si>
  <si>
    <t>2018-01-16</t>
  </si>
  <si>
    <t>priya.das43@example.com</t>
  </si>
  <si>
    <t>E0044</t>
  </si>
  <si>
    <t>2023-01-06</t>
  </si>
  <si>
    <t>amit.das44@example.com</t>
  </si>
  <si>
    <t>E0045</t>
  </si>
  <si>
    <t>2024-07-26</t>
  </si>
  <si>
    <t>neha.brown45@example.com</t>
  </si>
  <si>
    <t>E0046</t>
  </si>
  <si>
    <t>2024-04-13</t>
  </si>
  <si>
    <t>rohit.smith46@example.com</t>
  </si>
  <si>
    <t>E0047</t>
  </si>
  <si>
    <t>2019-08-31</t>
  </si>
  <si>
    <t>anita.singh47@example.com</t>
  </si>
  <si>
    <t>E0048</t>
  </si>
  <si>
    <t>2021-12-16</t>
  </si>
  <si>
    <t>rahul.sen48@example.com</t>
  </si>
  <si>
    <t>E0049</t>
  </si>
  <si>
    <t>2021-01-16</t>
  </si>
  <si>
    <t>sara.smith49@example.com</t>
  </si>
  <si>
    <t>E0050</t>
  </si>
  <si>
    <t>david.smith50@example.com</t>
  </si>
  <si>
    <t>E0051</t>
  </si>
  <si>
    <t>2019-02-18</t>
  </si>
  <si>
    <t>john.singh51@example.com</t>
  </si>
  <si>
    <t>E0052</t>
  </si>
  <si>
    <t>2018-05-08</t>
  </si>
  <si>
    <t>david.das52@example.com</t>
  </si>
  <si>
    <t>E0053</t>
  </si>
  <si>
    <t>2018-10-12</t>
  </si>
  <si>
    <t>rohit.roy53@example.com</t>
  </si>
  <si>
    <t>E0054</t>
  </si>
  <si>
    <t>2020-12-24</t>
  </si>
  <si>
    <t>priya.smith54@example.com</t>
  </si>
  <si>
    <t>E0055</t>
  </si>
  <si>
    <t>2021-01-21</t>
  </si>
  <si>
    <t>anita.brown55@example.com</t>
  </si>
  <si>
    <t>E0056</t>
  </si>
  <si>
    <t>2020-11-20</t>
  </si>
  <si>
    <t>anita.ghosh56@example.com</t>
  </si>
  <si>
    <t>E0057</t>
  </si>
  <si>
    <t>2020-10-14</t>
  </si>
  <si>
    <t>rohit.singh57@example.com</t>
  </si>
  <si>
    <t>E0058</t>
  </si>
  <si>
    <t>2024-07-02</t>
  </si>
  <si>
    <t>john.khan58@example.com</t>
  </si>
  <si>
    <t>E0059</t>
  </si>
  <si>
    <t>2024-07-29</t>
  </si>
  <si>
    <t>anita.das59@example.com</t>
  </si>
  <si>
    <t>E0060</t>
  </si>
  <si>
    <t>2021-10-24</t>
  </si>
  <si>
    <t>david.singh60@example.com</t>
  </si>
  <si>
    <t>E0061</t>
  </si>
  <si>
    <t>2019-10-25</t>
  </si>
  <si>
    <t>neha.khan61@example.com</t>
  </si>
  <si>
    <t>E0062</t>
  </si>
  <si>
    <t>2024-01-26</t>
  </si>
  <si>
    <t>sara.paul62@example.com</t>
  </si>
  <si>
    <t>E0063</t>
  </si>
  <si>
    <t>2023-02-23</t>
  </si>
  <si>
    <t>anita.das63@example.com</t>
  </si>
  <si>
    <t>E0064</t>
  </si>
  <si>
    <t>2020-05-22</t>
  </si>
  <si>
    <t>david.sen64@example.com</t>
  </si>
  <si>
    <t>E0065</t>
  </si>
  <si>
    <t>2019-08-20</t>
  </si>
  <si>
    <t>rohit.paul65@example.com</t>
  </si>
  <si>
    <t>E0066</t>
  </si>
  <si>
    <t>2021-06-20</t>
  </si>
  <si>
    <t>john.brown66@example.com</t>
  </si>
  <si>
    <t>E0067</t>
  </si>
  <si>
    <t>2020-01-09</t>
  </si>
  <si>
    <t>david.das67@example.com</t>
  </si>
  <si>
    <t>E0068</t>
  </si>
  <si>
    <t>2023-07-27</t>
  </si>
  <si>
    <t>jane.roy68@example.com</t>
  </si>
  <si>
    <t>E0069</t>
  </si>
  <si>
    <t>2024-06-06</t>
  </si>
  <si>
    <t>amit.ghosh69@example.com</t>
  </si>
  <si>
    <t>E0070</t>
  </si>
  <si>
    <t>2020-04-09</t>
  </si>
  <si>
    <t>david.paul70@example.com</t>
  </si>
  <si>
    <t>E0071</t>
  </si>
  <si>
    <t>2020-04-29</t>
  </si>
  <si>
    <t>anita.paul71@example.com</t>
  </si>
  <si>
    <t>E0072</t>
  </si>
  <si>
    <t>2023-02-17</t>
  </si>
  <si>
    <t>rahul.paul72@example.com</t>
  </si>
  <si>
    <t>E0073</t>
  </si>
  <si>
    <t>2020-12-26</t>
  </si>
  <si>
    <t>jane.ghosh73@example.com</t>
  </si>
  <si>
    <t>E0074</t>
  </si>
  <si>
    <t>2023-08-18</t>
  </si>
  <si>
    <t>amit.das74@example.com</t>
  </si>
  <si>
    <t>E0075</t>
  </si>
  <si>
    <t>2024-03-24</t>
  </si>
  <si>
    <t>neha.roy75@example.com</t>
  </si>
  <si>
    <t>E0076</t>
  </si>
  <si>
    <t>2018-03-08</t>
  </si>
  <si>
    <t>sara.dutta76@example.com</t>
  </si>
  <si>
    <t>E0077</t>
  </si>
  <si>
    <t>2022-06-15</t>
  </si>
  <si>
    <t>neha.smith77@example.com</t>
  </si>
  <si>
    <t>E0078</t>
  </si>
  <si>
    <t>2019-07-03</t>
  </si>
  <si>
    <t>rahul.singh78@example.com</t>
  </si>
  <si>
    <t>E0079</t>
  </si>
  <si>
    <t>2024-03-18</t>
  </si>
  <si>
    <t>sara.brown79@example.com</t>
  </si>
  <si>
    <t>E0080</t>
  </si>
  <si>
    <t>2021-08-19</t>
  </si>
  <si>
    <t>anita.dutta80@example.com</t>
  </si>
  <si>
    <t>E0081</t>
  </si>
  <si>
    <t>2024-05-22</t>
  </si>
  <si>
    <t>anita.roy81@example.com</t>
  </si>
  <si>
    <t>E0082</t>
  </si>
  <si>
    <t>2018-09-07</t>
  </si>
  <si>
    <t>david.khan82@example.com</t>
  </si>
  <si>
    <t>E0083</t>
  </si>
  <si>
    <t>2022-05-13</t>
  </si>
  <si>
    <t>jane.ghosh83@example.com</t>
  </si>
  <si>
    <t>E0084</t>
  </si>
  <si>
    <t>2022-02-06</t>
  </si>
  <si>
    <t>priya.das84@example.com</t>
  </si>
  <si>
    <t>E0085</t>
  </si>
  <si>
    <t>2024-07-15</t>
  </si>
  <si>
    <t>sara.paul85@example.com</t>
  </si>
  <si>
    <t>E0086</t>
  </si>
  <si>
    <t>john.khan86@example.com</t>
  </si>
  <si>
    <t>E0087</t>
  </si>
  <si>
    <t>2022-06-21</t>
  </si>
  <si>
    <t>jane.smith87@example.com</t>
  </si>
  <si>
    <t>E0088</t>
  </si>
  <si>
    <t>2020-03-16</t>
  </si>
  <si>
    <t>rahul.ghosh88@example.com</t>
  </si>
  <si>
    <t>E0089</t>
  </si>
  <si>
    <t>2020-05-24</t>
  </si>
  <si>
    <t>sara.paul89@example.com</t>
  </si>
  <si>
    <t>E0090</t>
  </si>
  <si>
    <t>2024-09-05</t>
  </si>
  <si>
    <t>rohit.paul90@example.com</t>
  </si>
  <si>
    <t>E0091</t>
  </si>
  <si>
    <t>2021-08-09</t>
  </si>
  <si>
    <t>john.roy91@example.com</t>
  </si>
  <si>
    <t>E0092</t>
  </si>
  <si>
    <t>2023-02-11</t>
  </si>
  <si>
    <t>anita.paul92@example.com</t>
  </si>
  <si>
    <t>E0093</t>
  </si>
  <si>
    <t>2020-08-16</t>
  </si>
  <si>
    <t>rahul.khan93@example.com</t>
  </si>
  <si>
    <t>E0094</t>
  </si>
  <si>
    <t>2023-09-19</t>
  </si>
  <si>
    <t>rahul.khan94@example.com</t>
  </si>
  <si>
    <t>E0095</t>
  </si>
  <si>
    <t>2022-05-29</t>
  </si>
  <si>
    <t>priya.singh95@example.com</t>
  </si>
  <si>
    <t>E0096</t>
  </si>
  <si>
    <t>2021-09-27</t>
  </si>
  <si>
    <t>sara.ghosh96@example.com</t>
  </si>
  <si>
    <t>E0097</t>
  </si>
  <si>
    <t>2021-11-16</t>
  </si>
  <si>
    <t>david.paul97@example.com</t>
  </si>
  <si>
    <t>E0098</t>
  </si>
  <si>
    <t>2021-06-17</t>
  </si>
  <si>
    <t>amit.paul98@example.com</t>
  </si>
  <si>
    <t>E0099</t>
  </si>
  <si>
    <t>2022-04-20</t>
  </si>
  <si>
    <t>david.khan99@example.com</t>
  </si>
  <si>
    <t>E0100</t>
  </si>
  <si>
    <t>2019-05-16</t>
  </si>
  <si>
    <t>david.roy100@example.com</t>
  </si>
  <si>
    <t>E0101</t>
  </si>
  <si>
    <t>2021-04-16</t>
  </si>
  <si>
    <t>jane.smith101@example.com</t>
  </si>
  <si>
    <t>E0102</t>
  </si>
  <si>
    <t>2023-01-08</t>
  </si>
  <si>
    <t>anita.sen102@example.com</t>
  </si>
  <si>
    <t>E0103</t>
  </si>
  <si>
    <t>2024-03-08</t>
  </si>
  <si>
    <t>rahul.roy103@example.com</t>
  </si>
  <si>
    <t>E0104</t>
  </si>
  <si>
    <t>2024-08-07</t>
  </si>
  <si>
    <t>rohit.paul104@example.com</t>
  </si>
  <si>
    <t>E0105</t>
  </si>
  <si>
    <t>2020-03-05</t>
  </si>
  <si>
    <t>priya.dutta105@example.com</t>
  </si>
  <si>
    <t>E0106</t>
  </si>
  <si>
    <t>2023-02-21</t>
  </si>
  <si>
    <t>neha.ghosh106@example.com</t>
  </si>
  <si>
    <t>E0107</t>
  </si>
  <si>
    <t>2019-04-27</t>
  </si>
  <si>
    <t>neha.singh107@example.com</t>
  </si>
  <si>
    <t>E0108</t>
  </si>
  <si>
    <t>2018-08-15</t>
  </si>
  <si>
    <t>neha.sen108@example.com</t>
  </si>
  <si>
    <t>E0109</t>
  </si>
  <si>
    <t>2019-02-22</t>
  </si>
  <si>
    <t>john.smith109@example.com</t>
  </si>
  <si>
    <t>E0110</t>
  </si>
  <si>
    <t>2019-03-13</t>
  </si>
  <si>
    <t>neha.das110@example.com</t>
  </si>
  <si>
    <t>E0111</t>
  </si>
  <si>
    <t>2021-10-01</t>
  </si>
  <si>
    <t>amit.dutta111@example.com</t>
  </si>
  <si>
    <t>E0112</t>
  </si>
  <si>
    <t>2021-10-28</t>
  </si>
  <si>
    <t>amit.khan112@example.com</t>
  </si>
  <si>
    <t>E0113</t>
  </si>
  <si>
    <t>2018-06-23</t>
  </si>
  <si>
    <t>anita.das113@example.com</t>
  </si>
  <si>
    <t>E0114</t>
  </si>
  <si>
    <t>2024-07-09</t>
  </si>
  <si>
    <t>david.smith114@example.com</t>
  </si>
  <si>
    <t>E0115</t>
  </si>
  <si>
    <t>2022-01-27</t>
  </si>
  <si>
    <t>sara.roy115@example.com</t>
  </si>
  <si>
    <t>E0116</t>
  </si>
  <si>
    <t>2021-03-04</t>
  </si>
  <si>
    <t>rohit.das116@example.com</t>
  </si>
  <si>
    <t>E0117</t>
  </si>
  <si>
    <t>neha.sen117@example.com</t>
  </si>
  <si>
    <t>E0118</t>
  </si>
  <si>
    <t>2022-07-04</t>
  </si>
  <si>
    <t>neha.khan118@example.com</t>
  </si>
  <si>
    <t>E0119</t>
  </si>
  <si>
    <t>2022-03-08</t>
  </si>
  <si>
    <t>jane.smith119@example.com</t>
  </si>
  <si>
    <t>E0120</t>
  </si>
  <si>
    <t>2022-03-18</t>
  </si>
  <si>
    <t>jane.brown120@example.com</t>
  </si>
  <si>
    <t>E0121</t>
  </si>
  <si>
    <t>2021-10-29</t>
  </si>
  <si>
    <t>priya.ghosh121@example.com</t>
  </si>
  <si>
    <t>E0122</t>
  </si>
  <si>
    <t>2024-05-02</t>
  </si>
  <si>
    <t>jane.singh122@example.com</t>
  </si>
  <si>
    <t>E0123</t>
  </si>
  <si>
    <t>2018-01-25</t>
  </si>
  <si>
    <t>jane.das123@example.com</t>
  </si>
  <si>
    <t>E0124</t>
  </si>
  <si>
    <t>2019-12-21</t>
  </si>
  <si>
    <t>jane.khan124@example.com</t>
  </si>
  <si>
    <t>E0125</t>
  </si>
  <si>
    <t>2019-10-27</t>
  </si>
  <si>
    <t>david.singh125@example.com</t>
  </si>
  <si>
    <t>E0126</t>
  </si>
  <si>
    <t>2018-07-20</t>
  </si>
  <si>
    <t>sara.brown126@example.com</t>
  </si>
  <si>
    <t>E0127</t>
  </si>
  <si>
    <t>2024-07-05</t>
  </si>
  <si>
    <t>john.roy127@example.com</t>
  </si>
  <si>
    <t>E0128</t>
  </si>
  <si>
    <t>2024-05-01</t>
  </si>
  <si>
    <t>anita.das128@example.com</t>
  </si>
  <si>
    <t>E0129</t>
  </si>
  <si>
    <t>2022-12-02</t>
  </si>
  <si>
    <t>priya.singh129@example.com</t>
  </si>
  <si>
    <t>E0130</t>
  </si>
  <si>
    <t>2021-03-29</t>
  </si>
  <si>
    <t>sara.singh130@example.com</t>
  </si>
  <si>
    <t>E0131</t>
  </si>
  <si>
    <t>2019-05-30</t>
  </si>
  <si>
    <t>neha.dutta131@example.com</t>
  </si>
  <si>
    <t>E0132</t>
  </si>
  <si>
    <t>2022-05-07</t>
  </si>
  <si>
    <t>jane.ghosh132@example.com</t>
  </si>
  <si>
    <t>E0133</t>
  </si>
  <si>
    <t>2022-07-18</t>
  </si>
  <si>
    <t>anita.brown133@example.com</t>
  </si>
  <si>
    <t>E0134</t>
  </si>
  <si>
    <t>2023-10-16</t>
  </si>
  <si>
    <t>neha.dutta134@example.com</t>
  </si>
  <si>
    <t>E0135</t>
  </si>
  <si>
    <t>2023-10-24</t>
  </si>
  <si>
    <t>anita.smith135@example.com</t>
  </si>
  <si>
    <t>E0136</t>
  </si>
  <si>
    <t>2019-09-01</t>
  </si>
  <si>
    <t>david.dutta136@example.com</t>
  </si>
  <si>
    <t>E0137</t>
  </si>
  <si>
    <t>2024-03-25</t>
  </si>
  <si>
    <t>priya.khan137@example.com</t>
  </si>
  <si>
    <t>E0138</t>
  </si>
  <si>
    <t>2021-02-03</t>
  </si>
  <si>
    <t>david.ghosh138@example.com</t>
  </si>
  <si>
    <t>E0139</t>
  </si>
  <si>
    <t>2020-11-17</t>
  </si>
  <si>
    <t>rahul.brown139@example.com</t>
  </si>
  <si>
    <t>E0140</t>
  </si>
  <si>
    <t>2018-08-10</t>
  </si>
  <si>
    <t>priya.brown140@example.com</t>
  </si>
  <si>
    <t>E0141</t>
  </si>
  <si>
    <t>2020-08-14</t>
  </si>
  <si>
    <t>sara.das141@example.com</t>
  </si>
  <si>
    <t>E0142</t>
  </si>
  <si>
    <t>2019-03-23</t>
  </si>
  <si>
    <t>david.khan142@example.com</t>
  </si>
  <si>
    <t>E0143</t>
  </si>
  <si>
    <t>2021-04-30</t>
  </si>
  <si>
    <t>john.brown143@example.com</t>
  </si>
  <si>
    <t>E0144</t>
  </si>
  <si>
    <t>2018-07-15</t>
  </si>
  <si>
    <t>anita.sen144@example.com</t>
  </si>
  <si>
    <t>E0145</t>
  </si>
  <si>
    <t>2024-05-05</t>
  </si>
  <si>
    <t>jane.roy145@example.com</t>
  </si>
  <si>
    <t>E0146</t>
  </si>
  <si>
    <t>2019-09-30</t>
  </si>
  <si>
    <t>rohit.ghosh146@example.com</t>
  </si>
  <si>
    <t>E0147</t>
  </si>
  <si>
    <t>2022-05-02</t>
  </si>
  <si>
    <t>david.smith147@example.com</t>
  </si>
  <si>
    <t>E0148</t>
  </si>
  <si>
    <t>2023-11-29</t>
  </si>
  <si>
    <t>sara.singh148@example.com</t>
  </si>
  <si>
    <t>E0149</t>
  </si>
  <si>
    <t>neha.roy149@example.com</t>
  </si>
  <si>
    <t>E0150</t>
  </si>
  <si>
    <t>2018-08-13</t>
  </si>
  <si>
    <t>rohit.das150@example.com</t>
  </si>
  <si>
    <t>E0151</t>
  </si>
  <si>
    <t>2020-01-21</t>
  </si>
  <si>
    <t>priya.dutta151@example.com</t>
  </si>
  <si>
    <t>E0152</t>
  </si>
  <si>
    <t>2020-01-10</t>
  </si>
  <si>
    <t>david.paul152@example.com</t>
  </si>
  <si>
    <t>E0153</t>
  </si>
  <si>
    <t>2021-07-18</t>
  </si>
  <si>
    <t>rohit.paul153@example.com</t>
  </si>
  <si>
    <t>E0154</t>
  </si>
  <si>
    <t>2018-08-07</t>
  </si>
  <si>
    <t>rahul.paul154@example.com</t>
  </si>
  <si>
    <t>E0155</t>
  </si>
  <si>
    <t>2022-07-27</t>
  </si>
  <si>
    <t>sara.roy155@example.com</t>
  </si>
  <si>
    <t>E0156</t>
  </si>
  <si>
    <t>2022-09-19</t>
  </si>
  <si>
    <t>anita.roy156@example.com</t>
  </si>
  <si>
    <t>E0157</t>
  </si>
  <si>
    <t>2019-08-07</t>
  </si>
  <si>
    <t>sara.khan157@example.com</t>
  </si>
  <si>
    <t>E0158</t>
  </si>
  <si>
    <t>2019-01-19</t>
  </si>
  <si>
    <t>anita.singh158@example.com</t>
  </si>
  <si>
    <t>E0159</t>
  </si>
  <si>
    <t>2020-06-29</t>
  </si>
  <si>
    <t>rahul.khan159@example.com</t>
  </si>
  <si>
    <t>E0160</t>
  </si>
  <si>
    <t>2018-07-11</t>
  </si>
  <si>
    <t>anita.brown160@example.com</t>
  </si>
  <si>
    <t>E0161</t>
  </si>
  <si>
    <t>2019-01-08</t>
  </si>
  <si>
    <t>david.dutta161@example.com</t>
  </si>
  <si>
    <t>E0162</t>
  </si>
  <si>
    <t>priya.ghosh162@example.com</t>
  </si>
  <si>
    <t>E0163</t>
  </si>
  <si>
    <t>2018-06-24</t>
  </si>
  <si>
    <t>rohit.paul163@example.com</t>
  </si>
  <si>
    <t>E0164</t>
  </si>
  <si>
    <t>2022-05-16</t>
  </si>
  <si>
    <t>rahul.ghosh164@example.com</t>
  </si>
  <si>
    <t>E0165</t>
  </si>
  <si>
    <t>2024-01-03</t>
  </si>
  <si>
    <t>jane.khan165@example.com</t>
  </si>
  <si>
    <t>E0166</t>
  </si>
  <si>
    <t>2020-04-30</t>
  </si>
  <si>
    <t>sara.paul166@example.com</t>
  </si>
  <si>
    <t>E0167</t>
  </si>
  <si>
    <t>2018-11-21</t>
  </si>
  <si>
    <t>david.khan167@example.com</t>
  </si>
  <si>
    <t>E0168</t>
  </si>
  <si>
    <t>2023-03-12</t>
  </si>
  <si>
    <t>sara.sen168@example.com</t>
  </si>
  <si>
    <t>E0169</t>
  </si>
  <si>
    <t>2019-10-03</t>
  </si>
  <si>
    <t>john.ghosh169@example.com</t>
  </si>
  <si>
    <t>E0170</t>
  </si>
  <si>
    <t>2021-03-03</t>
  </si>
  <si>
    <t>anita.roy170@example.com</t>
  </si>
  <si>
    <t>E0171</t>
  </si>
  <si>
    <t>2020-02-06</t>
  </si>
  <si>
    <t>amit.paul171@example.com</t>
  </si>
  <si>
    <t>E0172</t>
  </si>
  <si>
    <t>2020-03-12</t>
  </si>
  <si>
    <t>neha.singh172@example.com</t>
  </si>
  <si>
    <t>E0173</t>
  </si>
  <si>
    <t>2020-03-13</t>
  </si>
  <si>
    <t>john.singh173@example.com</t>
  </si>
  <si>
    <t>E0174</t>
  </si>
  <si>
    <t>2018-07-21</t>
  </si>
  <si>
    <t>priya.das174@example.com</t>
  </si>
  <si>
    <t>E0175</t>
  </si>
  <si>
    <t>2020-03-19</t>
  </si>
  <si>
    <t>sara.singh175@example.com</t>
  </si>
  <si>
    <t>E0176</t>
  </si>
  <si>
    <t>2023-01-25</t>
  </si>
  <si>
    <t>neha.sen176@example.com</t>
  </si>
  <si>
    <t>E0177</t>
  </si>
  <si>
    <t>2020-07-01</t>
  </si>
  <si>
    <t>sara.paul177@example.com</t>
  </si>
  <si>
    <t>E0178</t>
  </si>
  <si>
    <t>2024-03-20</t>
  </si>
  <si>
    <t>john.khan178@example.com</t>
  </si>
  <si>
    <t>E0179</t>
  </si>
  <si>
    <t>2018-07-28</t>
  </si>
  <si>
    <t>sara.ghosh179@example.com</t>
  </si>
  <si>
    <t>E0180</t>
  </si>
  <si>
    <t>2018-05-03</t>
  </si>
  <si>
    <t>rohit.khan180@example.com</t>
  </si>
  <si>
    <t>E0181</t>
  </si>
  <si>
    <t>2019-09-19</t>
  </si>
  <si>
    <t>rahul.das181@example.com</t>
  </si>
  <si>
    <t>E0182</t>
  </si>
  <si>
    <t>2018-04-15</t>
  </si>
  <si>
    <t>neha.dutta182@example.com</t>
  </si>
  <si>
    <t>E0183</t>
  </si>
  <si>
    <t>2024-06-20</t>
  </si>
  <si>
    <t>anita.sen183@example.com</t>
  </si>
  <si>
    <t>E0184</t>
  </si>
  <si>
    <t>2021-03-12</t>
  </si>
  <si>
    <t>neha.singh184@example.com</t>
  </si>
  <si>
    <t>E0185</t>
  </si>
  <si>
    <t>neha.ghosh185@example.com</t>
  </si>
  <si>
    <t>E0186</t>
  </si>
  <si>
    <t>2019-08-18</t>
  </si>
  <si>
    <t>david.das186@example.com</t>
  </si>
  <si>
    <t>E0187</t>
  </si>
  <si>
    <t>rohit.singh187@example.com</t>
  </si>
  <si>
    <t>E0188</t>
  </si>
  <si>
    <t>2021-08-23</t>
  </si>
  <si>
    <t>rahul.brown188@example.com</t>
  </si>
  <si>
    <t>E0189</t>
  </si>
  <si>
    <t>2018-11-14</t>
  </si>
  <si>
    <t>sara.khan189@example.com</t>
  </si>
  <si>
    <t>E0190</t>
  </si>
  <si>
    <t>2021-04-14</t>
  </si>
  <si>
    <t>john.das190@example.com</t>
  </si>
  <si>
    <t>E0191</t>
  </si>
  <si>
    <t>2019-04-05</t>
  </si>
  <si>
    <t>neha.brown191@example.com</t>
  </si>
  <si>
    <t>E0192</t>
  </si>
  <si>
    <t>2022-09-24</t>
  </si>
  <si>
    <t>neha.smith192@example.com</t>
  </si>
  <si>
    <t>E0193</t>
  </si>
  <si>
    <t>2024-01-12</t>
  </si>
  <si>
    <t>rohit.brown193@example.com</t>
  </si>
  <si>
    <t>E0194</t>
  </si>
  <si>
    <t>2020-05-01</t>
  </si>
  <si>
    <t>priya.ghosh194@example.com</t>
  </si>
  <si>
    <t>E0195</t>
  </si>
  <si>
    <t>2019-08-23</t>
  </si>
  <si>
    <t>amit.brown195@example.com</t>
  </si>
  <si>
    <t>E0196</t>
  </si>
  <si>
    <t>2022-01-15</t>
  </si>
  <si>
    <t>john.sen196@example.com</t>
  </si>
  <si>
    <t>E0197</t>
  </si>
  <si>
    <t>2018-05-27</t>
  </si>
  <si>
    <t>amit.singh197@example.com</t>
  </si>
  <si>
    <t>E0198</t>
  </si>
  <si>
    <t>jane.das198@example.com</t>
  </si>
  <si>
    <t>E0199</t>
  </si>
  <si>
    <t>2018-02-17</t>
  </si>
  <si>
    <t>anita.paul199@example.com</t>
  </si>
  <si>
    <t>E0200</t>
  </si>
  <si>
    <t>2023-06-18</t>
  </si>
  <si>
    <t>priya.brown200@example.com</t>
  </si>
  <si>
    <t>E0201</t>
  </si>
  <si>
    <t>2022-04-23</t>
  </si>
  <si>
    <t>rohit.roy201@example.com</t>
  </si>
  <si>
    <t>E0202</t>
  </si>
  <si>
    <t>2021-07-17</t>
  </si>
  <si>
    <t>jane.brown202@example.com</t>
  </si>
  <si>
    <t>E0203</t>
  </si>
  <si>
    <t>2023-04-16</t>
  </si>
  <si>
    <t>rohit.khan203@example.com</t>
  </si>
  <si>
    <t>E0204</t>
  </si>
  <si>
    <t>2019-02-19</t>
  </si>
  <si>
    <t>rohit.roy204@example.com</t>
  </si>
  <si>
    <t>E0205</t>
  </si>
  <si>
    <t>2018-11-01</t>
  </si>
  <si>
    <t>john.ghosh205@example.com</t>
  </si>
  <si>
    <t>E0206</t>
  </si>
  <si>
    <t>amit.ghosh206@example.com</t>
  </si>
  <si>
    <t>E0207</t>
  </si>
  <si>
    <t>2020-07-24</t>
  </si>
  <si>
    <t>amit.dutta207@example.com</t>
  </si>
  <si>
    <t>E0208</t>
  </si>
  <si>
    <t>2023-10-25</t>
  </si>
  <si>
    <t>anita.singh208@example.com</t>
  </si>
  <si>
    <t>E0209</t>
  </si>
  <si>
    <t>rohit.dutta209@example.com</t>
  </si>
  <si>
    <t>E0210</t>
  </si>
  <si>
    <t>2022-03-22</t>
  </si>
  <si>
    <t>david.brown210@example.com</t>
  </si>
  <si>
    <t>E0211</t>
  </si>
  <si>
    <t>2018-09-02</t>
  </si>
  <si>
    <t>priya.ghosh211@example.com</t>
  </si>
  <si>
    <t>E0212</t>
  </si>
  <si>
    <t>2021-05-26</t>
  </si>
  <si>
    <t>neha.roy212@example.com</t>
  </si>
  <si>
    <t>E0213</t>
  </si>
  <si>
    <t>2020-10-26</t>
  </si>
  <si>
    <t>rohit.khan213@example.com</t>
  </si>
  <si>
    <t>E0214</t>
  </si>
  <si>
    <t>2023-12-13</t>
  </si>
  <si>
    <t>rahul.das214@example.com</t>
  </si>
  <si>
    <t>E0215</t>
  </si>
  <si>
    <t>2021-07-19</t>
  </si>
  <si>
    <t>david.singh215@example.com</t>
  </si>
  <si>
    <t>E0216</t>
  </si>
  <si>
    <t>2022-11-13</t>
  </si>
  <si>
    <t>david.ghosh216@example.com</t>
  </si>
  <si>
    <t>E0217</t>
  </si>
  <si>
    <t>priya.khan217@example.com</t>
  </si>
  <si>
    <t>E0218</t>
  </si>
  <si>
    <t>2019-07-08</t>
  </si>
  <si>
    <t>rohit.das218@example.com</t>
  </si>
  <si>
    <t>E0219</t>
  </si>
  <si>
    <t>2018-06-08</t>
  </si>
  <si>
    <t>david.sen219@example.com</t>
  </si>
  <si>
    <t>E0220</t>
  </si>
  <si>
    <t>neha.roy220@example.com</t>
  </si>
  <si>
    <t>E0221</t>
  </si>
  <si>
    <t>amit.paul221@example.com</t>
  </si>
  <si>
    <t>E0222</t>
  </si>
  <si>
    <t>2022-08-10</t>
  </si>
  <si>
    <t>amit.sen222@example.com</t>
  </si>
  <si>
    <t>E0223</t>
  </si>
  <si>
    <t>2018-04-30</t>
  </si>
  <si>
    <t>john.ghosh223@example.com</t>
  </si>
  <si>
    <t>E0224</t>
  </si>
  <si>
    <t>2020-06-30</t>
  </si>
  <si>
    <t>john.brown224@example.com</t>
  </si>
  <si>
    <t>E0225</t>
  </si>
  <si>
    <t>2024-06-07</t>
  </si>
  <si>
    <t>david.sen225@example.com</t>
  </si>
  <si>
    <t>E0226</t>
  </si>
  <si>
    <t>2021-08-15</t>
  </si>
  <si>
    <t>rohit.ghosh226@example.com</t>
  </si>
  <si>
    <t>E0227</t>
  </si>
  <si>
    <t>2020-08-20</t>
  </si>
  <si>
    <t>priya.khan227@example.com</t>
  </si>
  <si>
    <t>E0228</t>
  </si>
  <si>
    <t>2019-03-16</t>
  </si>
  <si>
    <t>neha.brown228@example.com</t>
  </si>
  <si>
    <t>E0229</t>
  </si>
  <si>
    <t>2020-09-08</t>
  </si>
  <si>
    <t>jane.brown229@example.com</t>
  </si>
  <si>
    <t>E0230</t>
  </si>
  <si>
    <t>2018-07-01</t>
  </si>
  <si>
    <t>david.khan230@example.com</t>
  </si>
  <si>
    <t>E0231</t>
  </si>
  <si>
    <t>2018-08-22</t>
  </si>
  <si>
    <t>priya.roy231@example.com</t>
  </si>
  <si>
    <t>E0232</t>
  </si>
  <si>
    <t>2021-11-21</t>
  </si>
  <si>
    <t>amit.sen232@example.com</t>
  </si>
  <si>
    <t>E0233</t>
  </si>
  <si>
    <t>2023-12-29</t>
  </si>
  <si>
    <t>david.dutta233@example.com</t>
  </si>
  <si>
    <t>E0234</t>
  </si>
  <si>
    <t>2021-01-17</t>
  </si>
  <si>
    <t>priya.roy234@example.com</t>
  </si>
  <si>
    <t>E0235</t>
  </si>
  <si>
    <t>2021-01-06</t>
  </si>
  <si>
    <t>jane.ghosh235@example.com</t>
  </si>
  <si>
    <t>E0236</t>
  </si>
  <si>
    <t>2021-06-01</t>
  </si>
  <si>
    <t>john.brown236@example.com</t>
  </si>
  <si>
    <t>E0237</t>
  </si>
  <si>
    <t>2022-03-12</t>
  </si>
  <si>
    <t>rohit.ghosh237@example.com</t>
  </si>
  <si>
    <t>E0238</t>
  </si>
  <si>
    <t>2022-04-29</t>
  </si>
  <si>
    <t>amit.brown238@example.com</t>
  </si>
  <si>
    <t>E0239</t>
  </si>
  <si>
    <t>2022-06-12</t>
  </si>
  <si>
    <t>neha.paul239@example.com</t>
  </si>
  <si>
    <t>E0240</t>
  </si>
  <si>
    <t>2023-04-07</t>
  </si>
  <si>
    <t>rohit.smith240@example.com</t>
  </si>
  <si>
    <t>E0241</t>
  </si>
  <si>
    <t>2023-07-08</t>
  </si>
  <si>
    <t>sara.das241@example.com</t>
  </si>
  <si>
    <t>E0242</t>
  </si>
  <si>
    <t>2024-07-17</t>
  </si>
  <si>
    <t>priya.dutta242@example.com</t>
  </si>
  <si>
    <t>E0243</t>
  </si>
  <si>
    <t>2020-06-03</t>
  </si>
  <si>
    <t>david.ghosh243@example.com</t>
  </si>
  <si>
    <t>E0244</t>
  </si>
  <si>
    <t>rohit.paul244@example.com</t>
  </si>
  <si>
    <t>E0245</t>
  </si>
  <si>
    <t>rahul.sen245@example.com</t>
  </si>
  <si>
    <t>E0246</t>
  </si>
  <si>
    <t>2023-08-01</t>
  </si>
  <si>
    <t>amit.ghosh246@example.com</t>
  </si>
  <si>
    <t>E0247</t>
  </si>
  <si>
    <t>2020-08-24</t>
  </si>
  <si>
    <t>neha.das247@example.com</t>
  </si>
  <si>
    <t>E0248</t>
  </si>
  <si>
    <t>2019-02-01</t>
  </si>
  <si>
    <t>jane.dutta248@example.com</t>
  </si>
  <si>
    <t>E0249</t>
  </si>
  <si>
    <t>jane.singh249@example.com</t>
  </si>
  <si>
    <t>E0250</t>
  </si>
  <si>
    <t>2023-04-21</t>
  </si>
  <si>
    <t>anita.roy250@example.com</t>
  </si>
  <si>
    <t>E0251</t>
  </si>
  <si>
    <t>2020-03-02</t>
  </si>
  <si>
    <t>rahul.paul251@example.com</t>
  </si>
  <si>
    <t>E0252</t>
  </si>
  <si>
    <t>sara.brown252@example.com</t>
  </si>
  <si>
    <t>E0253</t>
  </si>
  <si>
    <t>2024-10-11</t>
  </si>
  <si>
    <t>david.smith253@example.com</t>
  </si>
  <si>
    <t>E0254</t>
  </si>
  <si>
    <t>2018-06-17</t>
  </si>
  <si>
    <t>david.ghosh254@example.com</t>
  </si>
  <si>
    <t>E0255</t>
  </si>
  <si>
    <t>2021-09-29</t>
  </si>
  <si>
    <t>rahul.paul255@example.com</t>
  </si>
  <si>
    <t>E0256</t>
  </si>
  <si>
    <t>2023-06-19</t>
  </si>
  <si>
    <t>neha.das256@example.com</t>
  </si>
  <si>
    <t>E0257</t>
  </si>
  <si>
    <t>2023-07-15</t>
  </si>
  <si>
    <t>neha.khan257@example.com</t>
  </si>
  <si>
    <t>E0258</t>
  </si>
  <si>
    <t>2018-11-06</t>
  </si>
  <si>
    <t>jane.smith258@example.com</t>
  </si>
  <si>
    <t>E0259</t>
  </si>
  <si>
    <t>2020-05-03</t>
  </si>
  <si>
    <t>neha.brown259@example.com</t>
  </si>
  <si>
    <t>E0260</t>
  </si>
  <si>
    <t>jane.ghosh260@example.com</t>
  </si>
  <si>
    <t>E0261</t>
  </si>
  <si>
    <t>2023-04-11</t>
  </si>
  <si>
    <t>sara.ghosh261@example.com</t>
  </si>
  <si>
    <t>E0262</t>
  </si>
  <si>
    <t>sara.das262@example.com</t>
  </si>
  <si>
    <t>E0263</t>
  </si>
  <si>
    <t>2020-10-27</t>
  </si>
  <si>
    <t>rohit.paul263@example.com</t>
  </si>
  <si>
    <t>E0264</t>
  </si>
  <si>
    <t>2018-03-24</t>
  </si>
  <si>
    <t>priya.das264@example.com</t>
  </si>
  <si>
    <t>E0265</t>
  </si>
  <si>
    <t>2021-03-09</t>
  </si>
  <si>
    <t>rohit.khan265@example.com</t>
  </si>
  <si>
    <t>E0266</t>
  </si>
  <si>
    <t>2019-07-24</t>
  </si>
  <si>
    <t>john.dutta266@example.com</t>
  </si>
  <si>
    <t>E0267</t>
  </si>
  <si>
    <t>2022-12-14</t>
  </si>
  <si>
    <t>anita.brown267@example.com</t>
  </si>
  <si>
    <t>E0268</t>
  </si>
  <si>
    <t>2018-02-14</t>
  </si>
  <si>
    <t>jane.khan268@example.com</t>
  </si>
  <si>
    <t>E0269</t>
  </si>
  <si>
    <t>2022-08-07</t>
  </si>
  <si>
    <t>sara.singh269@example.com</t>
  </si>
  <si>
    <t>E0270</t>
  </si>
  <si>
    <t>2020-01-14</t>
  </si>
  <si>
    <t>amit.sen270@example.com</t>
  </si>
  <si>
    <t>E0271</t>
  </si>
  <si>
    <t>2022-06-11</t>
  </si>
  <si>
    <t>amit.khan271@example.com</t>
  </si>
  <si>
    <t>E0272</t>
  </si>
  <si>
    <t>2022-07-26</t>
  </si>
  <si>
    <t>rohit.ghosh272@example.com</t>
  </si>
  <si>
    <t>E0273</t>
  </si>
  <si>
    <t>2023-08-22</t>
  </si>
  <si>
    <t>neha.sen273@example.com</t>
  </si>
  <si>
    <t>E0274</t>
  </si>
  <si>
    <t>2018-06-26</t>
  </si>
  <si>
    <t>priya.roy274@example.com</t>
  </si>
  <si>
    <t>E0275</t>
  </si>
  <si>
    <t>2023-07-10</t>
  </si>
  <si>
    <t>amit.paul275@example.com</t>
  </si>
  <si>
    <t>E0276</t>
  </si>
  <si>
    <t>2022-08-30</t>
  </si>
  <si>
    <t>sara.roy276@example.com</t>
  </si>
  <si>
    <t>E0277</t>
  </si>
  <si>
    <t>2024-09-11</t>
  </si>
  <si>
    <t>priya.ghosh277@example.com</t>
  </si>
  <si>
    <t>E0278</t>
  </si>
  <si>
    <t>2024-09-14</t>
  </si>
  <si>
    <t>rahul.smith278@example.com</t>
  </si>
  <si>
    <t>E0279</t>
  </si>
  <si>
    <t>2020-11-07</t>
  </si>
  <si>
    <t>david.brown279@example.com</t>
  </si>
  <si>
    <t>E0280</t>
  </si>
  <si>
    <t>2020-10-31</t>
  </si>
  <si>
    <t>rahul.das280@example.com</t>
  </si>
  <si>
    <t>E0281</t>
  </si>
  <si>
    <t>2021-01-02</t>
  </si>
  <si>
    <t>neha.brown281@example.com</t>
  </si>
  <si>
    <t>E0282</t>
  </si>
  <si>
    <t>2021-09-01</t>
  </si>
  <si>
    <t>neha.smith282@example.com</t>
  </si>
  <si>
    <t>E0283</t>
  </si>
  <si>
    <t>2021-10-10</t>
  </si>
  <si>
    <t>john.roy283@example.com</t>
  </si>
  <si>
    <t>E0284</t>
  </si>
  <si>
    <t>jane.smith284@example.com</t>
  </si>
  <si>
    <t>E0285</t>
  </si>
  <si>
    <t>2024-05-29</t>
  </si>
  <si>
    <t>sara.ghosh285@example.com</t>
  </si>
  <si>
    <t>E0286</t>
  </si>
  <si>
    <t>2019-04-13</t>
  </si>
  <si>
    <t>anita.ghosh286@example.com</t>
  </si>
  <si>
    <t>E0287</t>
  </si>
  <si>
    <t>2020-09-17</t>
  </si>
  <si>
    <t>john.das287@example.com</t>
  </si>
  <si>
    <t>E0288</t>
  </si>
  <si>
    <t>2022-01-16</t>
  </si>
  <si>
    <t>sara.smith288@example.com</t>
  </si>
  <si>
    <t>E0289</t>
  </si>
  <si>
    <t>2021-04-04</t>
  </si>
  <si>
    <t>rahul.brown289@example.com</t>
  </si>
  <si>
    <t>E0290</t>
  </si>
  <si>
    <t>2020-11-24</t>
  </si>
  <si>
    <t>priya.singh290@example.com</t>
  </si>
  <si>
    <t>E0291</t>
  </si>
  <si>
    <t>2020-06-26</t>
  </si>
  <si>
    <t>john.ghosh291@example.com</t>
  </si>
  <si>
    <t>E0292</t>
  </si>
  <si>
    <t>2021-05-15</t>
  </si>
  <si>
    <t>neha.das292@example.com</t>
  </si>
  <si>
    <t>E0293</t>
  </si>
  <si>
    <t>2023-07-29</t>
  </si>
  <si>
    <t>david.ghosh293@example.com</t>
  </si>
  <si>
    <t>E0294</t>
  </si>
  <si>
    <t>2018-05-16</t>
  </si>
  <si>
    <t>amit.ghosh294@example.com</t>
  </si>
  <si>
    <t>E0295</t>
  </si>
  <si>
    <t>2022-04-21</t>
  </si>
  <si>
    <t>neha.singh295@example.com</t>
  </si>
  <si>
    <t>E0296</t>
  </si>
  <si>
    <t>2018-11-24</t>
  </si>
  <si>
    <t>rohit.smith296@example.com</t>
  </si>
  <si>
    <t>E0297</t>
  </si>
  <si>
    <t>2023-08-06</t>
  </si>
  <si>
    <t>amit.khan297@example.com</t>
  </si>
  <si>
    <t>E0298</t>
  </si>
  <si>
    <t>2020-09-22</t>
  </si>
  <si>
    <t>anita.dutta298@example.com</t>
  </si>
  <si>
    <t>E0299</t>
  </si>
  <si>
    <t>2023-10-18</t>
  </si>
  <si>
    <t>rohit.smith299@example.com</t>
  </si>
  <si>
    <t>E0300</t>
  </si>
  <si>
    <t>2020-08-18</t>
  </si>
  <si>
    <t>jane.khan300@example.com</t>
  </si>
  <si>
    <t>E0301</t>
  </si>
  <si>
    <t>2024-02-19</t>
  </si>
  <si>
    <t>david.das301@example.com</t>
  </si>
  <si>
    <t>E0302</t>
  </si>
  <si>
    <t>jane.roy302@example.com</t>
  </si>
  <si>
    <t>E0303</t>
  </si>
  <si>
    <t>2019-12-07</t>
  </si>
  <si>
    <t>amit.dutta303@example.com</t>
  </si>
  <si>
    <t>E0304</t>
  </si>
  <si>
    <t>2019-07-10</t>
  </si>
  <si>
    <t>neha.smith304@example.com</t>
  </si>
  <si>
    <t>E0305</t>
  </si>
  <si>
    <t>2019-03-29</t>
  </si>
  <si>
    <t>david.ghosh305@example.com</t>
  </si>
  <si>
    <t>E0306</t>
  </si>
  <si>
    <t>2021-05-21</t>
  </si>
  <si>
    <t>john.das306@example.com</t>
  </si>
  <si>
    <t>E0307</t>
  </si>
  <si>
    <t>2023-09-10</t>
  </si>
  <si>
    <t>david.khan307@example.com</t>
  </si>
  <si>
    <t>E0308</t>
  </si>
  <si>
    <t>2018-09-20</t>
  </si>
  <si>
    <t>rahul.sen308@example.com</t>
  </si>
  <si>
    <t>E0309</t>
  </si>
  <si>
    <t>neha.singh309@example.com</t>
  </si>
  <si>
    <t>E0310</t>
  </si>
  <si>
    <t>2022-02-16</t>
  </si>
  <si>
    <t>sara.singh310@example.com</t>
  </si>
  <si>
    <t>E0311</t>
  </si>
  <si>
    <t>sara.roy311@example.com</t>
  </si>
  <si>
    <t>E0312</t>
  </si>
  <si>
    <t>2019-05-02</t>
  </si>
  <si>
    <t>neha.brown312@example.com</t>
  </si>
  <si>
    <t>E0313</t>
  </si>
  <si>
    <t>2023-08-31</t>
  </si>
  <si>
    <t>jane.brown313@example.com</t>
  </si>
  <si>
    <t>E0314</t>
  </si>
  <si>
    <t>2018-03-05</t>
  </si>
  <si>
    <t>rohit.roy314@example.com</t>
  </si>
  <si>
    <t>E0315</t>
  </si>
  <si>
    <t>2020-07-02</t>
  </si>
  <si>
    <t>amit.brown315@example.com</t>
  </si>
  <si>
    <t>E0316</t>
  </si>
  <si>
    <t>2019-09-21</t>
  </si>
  <si>
    <t>sara.das316@example.com</t>
  </si>
  <si>
    <t>E0317</t>
  </si>
  <si>
    <t>2019-01-09</t>
  </si>
  <si>
    <t>sara.roy317@example.com</t>
  </si>
  <si>
    <t>E0318</t>
  </si>
  <si>
    <t>2018-12-15</t>
  </si>
  <si>
    <t>neha.das318@example.com</t>
  </si>
  <si>
    <t>E0319</t>
  </si>
  <si>
    <t>2020-07-26</t>
  </si>
  <si>
    <t>david.smith319@example.com</t>
  </si>
  <si>
    <t>E0320</t>
  </si>
  <si>
    <t>david.sen320@example.com</t>
  </si>
  <si>
    <t>E0321</t>
  </si>
  <si>
    <t>2022-09-10</t>
  </si>
  <si>
    <t>jane.smith321@example.com</t>
  </si>
  <si>
    <t>E0322</t>
  </si>
  <si>
    <t>2018-12-26</t>
  </si>
  <si>
    <t>john.das322@example.com</t>
  </si>
  <si>
    <t>E0323</t>
  </si>
  <si>
    <t>2021-05-08</t>
  </si>
  <si>
    <t>rohit.ghosh323@example.com</t>
  </si>
  <si>
    <t>E0324</t>
  </si>
  <si>
    <t>2022-04-07</t>
  </si>
  <si>
    <t>david.ghosh324@example.com</t>
  </si>
  <si>
    <t>E0325</t>
  </si>
  <si>
    <t>2019-03-07</t>
  </si>
  <si>
    <t>jane.ghosh325@example.com</t>
  </si>
  <si>
    <t>E0326</t>
  </si>
  <si>
    <t>2019-02-14</t>
  </si>
  <si>
    <t>amit.brown326@example.com</t>
  </si>
  <si>
    <t>E0327</t>
  </si>
  <si>
    <t>2023-05-11</t>
  </si>
  <si>
    <t>sara.paul327@example.com</t>
  </si>
  <si>
    <t>E0328</t>
  </si>
  <si>
    <t>2022-10-16</t>
  </si>
  <si>
    <t>sara.roy328@example.com</t>
  </si>
  <si>
    <t>E0329</t>
  </si>
  <si>
    <t>2021-03-27</t>
  </si>
  <si>
    <t>rahul.smith329@example.com</t>
  </si>
  <si>
    <t>E0330</t>
  </si>
  <si>
    <t>2023-03-20</t>
  </si>
  <si>
    <t>amit.ghosh330@example.com</t>
  </si>
  <si>
    <t>E0331</t>
  </si>
  <si>
    <t>2022-05-01</t>
  </si>
  <si>
    <t>priya.khan331@example.com</t>
  </si>
  <si>
    <t>E0332</t>
  </si>
  <si>
    <t>neha.singh332@example.com</t>
  </si>
  <si>
    <t>E0333</t>
  </si>
  <si>
    <t>2023-03-09</t>
  </si>
  <si>
    <t>anita.brown333@example.com</t>
  </si>
  <si>
    <t>E0334</t>
  </si>
  <si>
    <t>2019-02-16</t>
  </si>
  <si>
    <t>david.sen334@example.com</t>
  </si>
  <si>
    <t>E0335</t>
  </si>
  <si>
    <t>2024-01-14</t>
  </si>
  <si>
    <t>jane.das335@example.com</t>
  </si>
  <si>
    <t>E0336</t>
  </si>
  <si>
    <t>2020-08-28</t>
  </si>
  <si>
    <t>john.paul336@example.com</t>
  </si>
  <si>
    <t>E0337</t>
  </si>
  <si>
    <t>2024-08-11</t>
  </si>
  <si>
    <t>rohit.sen337@example.com</t>
  </si>
  <si>
    <t>E0338</t>
  </si>
  <si>
    <t>2020-04-24</t>
  </si>
  <si>
    <t>neha.khan338@example.com</t>
  </si>
  <si>
    <t>E0339</t>
  </si>
  <si>
    <t>2024-06-21</t>
  </si>
  <si>
    <t>sara.smith339@example.com</t>
  </si>
  <si>
    <t>E0340</t>
  </si>
  <si>
    <t>2018-07-07</t>
  </si>
  <si>
    <t>priya.ghosh340@example.com</t>
  </si>
  <si>
    <t>E0341</t>
  </si>
  <si>
    <t>2024-05-28</t>
  </si>
  <si>
    <t>john.das341@example.com</t>
  </si>
  <si>
    <t>E0342</t>
  </si>
  <si>
    <t>2024-04-06</t>
  </si>
  <si>
    <t>rohit.sen342@example.com</t>
  </si>
  <si>
    <t>E0343</t>
  </si>
  <si>
    <t>2020-01-29</t>
  </si>
  <si>
    <t>anita.roy343@example.com</t>
  </si>
  <si>
    <t>E0344</t>
  </si>
  <si>
    <t>2022-12-13</t>
  </si>
  <si>
    <t>rohit.smith344@example.com</t>
  </si>
  <si>
    <t>E0345</t>
  </si>
  <si>
    <t>2019-10-22</t>
  </si>
  <si>
    <t>anita.paul345@example.com</t>
  </si>
  <si>
    <t>E0346</t>
  </si>
  <si>
    <t>2022-07-13</t>
  </si>
  <si>
    <t>jane.sen346@example.com</t>
  </si>
  <si>
    <t>E0347</t>
  </si>
  <si>
    <t>2020-01-23</t>
  </si>
  <si>
    <t>john.khan347@example.com</t>
  </si>
  <si>
    <t>E0348</t>
  </si>
  <si>
    <t>2024-04-03</t>
  </si>
  <si>
    <t>amit.singh348@example.com</t>
  </si>
  <si>
    <t>E0349</t>
  </si>
  <si>
    <t>2018-05-19</t>
  </si>
  <si>
    <t>priya.das349@example.com</t>
  </si>
  <si>
    <t>E0350</t>
  </si>
  <si>
    <t>2021-03-26</t>
  </si>
  <si>
    <t>rahul.dutta350@example.com</t>
  </si>
  <si>
    <t>E0351</t>
  </si>
  <si>
    <t>2024-09-22</t>
  </si>
  <si>
    <t>rahul.ghosh351@example.com</t>
  </si>
  <si>
    <t>E0352</t>
  </si>
  <si>
    <t>2019-06-05</t>
  </si>
  <si>
    <t>jane.paul352@example.com</t>
  </si>
  <si>
    <t>E0353</t>
  </si>
  <si>
    <t>2022-08-22</t>
  </si>
  <si>
    <t>neha.singh353@example.com</t>
  </si>
  <si>
    <t>E0354</t>
  </si>
  <si>
    <t>2023-07-01</t>
  </si>
  <si>
    <t>anita.smith354@example.com</t>
  </si>
  <si>
    <t>E0355</t>
  </si>
  <si>
    <t>2018-08-12</t>
  </si>
  <si>
    <t>sara.dutta355@example.com</t>
  </si>
  <si>
    <t>E0356</t>
  </si>
  <si>
    <t>2022-05-28</t>
  </si>
  <si>
    <t>sara.paul356@example.com</t>
  </si>
  <si>
    <t>E0357</t>
  </si>
  <si>
    <t>2019-06-10</t>
  </si>
  <si>
    <t>john.sen357@example.com</t>
  </si>
  <si>
    <t>E0358</t>
  </si>
  <si>
    <t>2018-10-09</t>
  </si>
  <si>
    <t>john.smith358@example.com</t>
  </si>
  <si>
    <t>E0359</t>
  </si>
  <si>
    <t>2021-03-06</t>
  </si>
  <si>
    <t>rohit.das359@example.com</t>
  </si>
  <si>
    <t>E0360</t>
  </si>
  <si>
    <t>2021-05-28</t>
  </si>
  <si>
    <t>john.das360@example.com</t>
  </si>
  <si>
    <t>E0361</t>
  </si>
  <si>
    <t>2023-11-01</t>
  </si>
  <si>
    <t>john.dutta361@example.com</t>
  </si>
  <si>
    <t>E0362</t>
  </si>
  <si>
    <t>2024-06-01</t>
  </si>
  <si>
    <t>anita.dutta362@example.com</t>
  </si>
  <si>
    <t>E0363</t>
  </si>
  <si>
    <t>2019-04-16</t>
  </si>
  <si>
    <t>amit.dutta363@example.com</t>
  </si>
  <si>
    <t>E0364</t>
  </si>
  <si>
    <t>2019-11-16</t>
  </si>
  <si>
    <t>neha.brown364@example.com</t>
  </si>
  <si>
    <t>E0365</t>
  </si>
  <si>
    <t>2019-08-22</t>
  </si>
  <si>
    <t>neha.dutta365@example.com</t>
  </si>
  <si>
    <t>E0366</t>
  </si>
  <si>
    <t>2023-11-10</t>
  </si>
  <si>
    <t>rahul.smith366@example.com</t>
  </si>
  <si>
    <t>E0367</t>
  </si>
  <si>
    <t>2019-05-14</t>
  </si>
  <si>
    <t>sara.khan367@example.com</t>
  </si>
  <si>
    <t>E0368</t>
  </si>
  <si>
    <t>2018-06-29</t>
  </si>
  <si>
    <t>rohit.ghosh368@example.com</t>
  </si>
  <si>
    <t>E0369</t>
  </si>
  <si>
    <t>2018-07-18</t>
  </si>
  <si>
    <t>john.das369@example.com</t>
  </si>
  <si>
    <t>E0370</t>
  </si>
  <si>
    <t>2020-08-30</t>
  </si>
  <si>
    <t>priya.das370@example.com</t>
  </si>
  <si>
    <t>E0371</t>
  </si>
  <si>
    <t>2023-01-18</t>
  </si>
  <si>
    <t>neha.singh371@example.com</t>
  </si>
  <si>
    <t>E0372</t>
  </si>
  <si>
    <t>amit.das372@example.com</t>
  </si>
  <si>
    <t>E0373</t>
  </si>
  <si>
    <t>rohit.khan373@example.com</t>
  </si>
  <si>
    <t>E0374</t>
  </si>
  <si>
    <t>2020-10-07</t>
  </si>
  <si>
    <t>sara.paul374@example.com</t>
  </si>
  <si>
    <t>E0375</t>
  </si>
  <si>
    <t>2023-10-12</t>
  </si>
  <si>
    <t>amit.brown375@example.com</t>
  </si>
  <si>
    <t>E0376</t>
  </si>
  <si>
    <t>2024-09-18</t>
  </si>
  <si>
    <t>priya.dutta376@example.com</t>
  </si>
  <si>
    <t>E0377</t>
  </si>
  <si>
    <t>2024-04-26</t>
  </si>
  <si>
    <t>sara.paul377@example.com</t>
  </si>
  <si>
    <t>E0378</t>
  </si>
  <si>
    <t>2024-04-14</t>
  </si>
  <si>
    <t>priya.paul378@example.com</t>
  </si>
  <si>
    <t>E0379</t>
  </si>
  <si>
    <t>2020-03-23</t>
  </si>
  <si>
    <t>john.dutta379@example.com</t>
  </si>
  <si>
    <t>E0380</t>
  </si>
  <si>
    <t>2023-05-20</t>
  </si>
  <si>
    <t>rahul.dutta380@example.com</t>
  </si>
  <si>
    <t>E0381</t>
  </si>
  <si>
    <t>david.singh381@example.com</t>
  </si>
  <si>
    <t>E0382</t>
  </si>
  <si>
    <t>2018-02-03</t>
  </si>
  <si>
    <t>david.singh382@example.com</t>
  </si>
  <si>
    <t>E0383</t>
  </si>
  <si>
    <t>2018-07-13</t>
  </si>
  <si>
    <t>jane.das383@example.com</t>
  </si>
  <si>
    <t>E0384</t>
  </si>
  <si>
    <t>2022-02-03</t>
  </si>
  <si>
    <t>rohit.khan384@example.com</t>
  </si>
  <si>
    <t>E0385</t>
  </si>
  <si>
    <t>rohit.smith385@example.com</t>
  </si>
  <si>
    <t>E0386</t>
  </si>
  <si>
    <t>2024-04-16</t>
  </si>
  <si>
    <t>neha.dutta386@example.com</t>
  </si>
  <si>
    <t>E0387</t>
  </si>
  <si>
    <t>2021-12-10</t>
  </si>
  <si>
    <t>john.das387@example.com</t>
  </si>
  <si>
    <t>E0388</t>
  </si>
  <si>
    <t>2018-04-26</t>
  </si>
  <si>
    <t>anita.das388@example.com</t>
  </si>
  <si>
    <t>E0389</t>
  </si>
  <si>
    <t>2023-01-05</t>
  </si>
  <si>
    <t>priya.brown389@example.com</t>
  </si>
  <si>
    <t>E0390</t>
  </si>
  <si>
    <t>2023-07-12</t>
  </si>
  <si>
    <t>rohit.khan390@example.com</t>
  </si>
  <si>
    <t>E0391</t>
  </si>
  <si>
    <t>2022-09-18</t>
  </si>
  <si>
    <t>rahul.khan391@example.com</t>
  </si>
  <si>
    <t>E0392</t>
  </si>
  <si>
    <t>2018-01-22</t>
  </si>
  <si>
    <t>john.paul392@example.com</t>
  </si>
  <si>
    <t>E0393</t>
  </si>
  <si>
    <t>2023-03-21</t>
  </si>
  <si>
    <t>jane.paul393@example.com</t>
  </si>
  <si>
    <t>E0394</t>
  </si>
  <si>
    <t>2022-12-07</t>
  </si>
  <si>
    <t>sara.sen394@example.com</t>
  </si>
  <si>
    <t>E0395</t>
  </si>
  <si>
    <t>2022-01-19</t>
  </si>
  <si>
    <t>rahul.dutta395@example.com</t>
  </si>
  <si>
    <t>E0396</t>
  </si>
  <si>
    <t>2021-03-28</t>
  </si>
  <si>
    <t>rohit.brown396@example.com</t>
  </si>
  <si>
    <t>E0397</t>
  </si>
  <si>
    <t>2023-04-03</t>
  </si>
  <si>
    <t>david.das397@example.com</t>
  </si>
  <si>
    <t>E0398</t>
  </si>
  <si>
    <t>2019-06-25</t>
  </si>
  <si>
    <t>anita.brown398@example.com</t>
  </si>
  <si>
    <t>E0399</t>
  </si>
  <si>
    <t>jane.ghosh399@example.com</t>
  </si>
  <si>
    <t>E0400</t>
  </si>
  <si>
    <t>2022-01-07</t>
  </si>
  <si>
    <t>priya.das400@example.com</t>
  </si>
  <si>
    <t>E0401</t>
  </si>
  <si>
    <t>2021-10-14</t>
  </si>
  <si>
    <t>anita.roy401@example.com</t>
  </si>
  <si>
    <t>E0402</t>
  </si>
  <si>
    <t>2022-09-09</t>
  </si>
  <si>
    <t>anita.paul402@example.com</t>
  </si>
  <si>
    <t>E0403</t>
  </si>
  <si>
    <t>2020-05-12</t>
  </si>
  <si>
    <t>anita.brown403@example.com</t>
  </si>
  <si>
    <t>E0404</t>
  </si>
  <si>
    <t>2023-10-02</t>
  </si>
  <si>
    <t>jane.dutta404@example.com</t>
  </si>
  <si>
    <t>E0405</t>
  </si>
  <si>
    <t>2023-10-05</t>
  </si>
  <si>
    <t>priya.smith405@example.com</t>
  </si>
  <si>
    <t>E0406</t>
  </si>
  <si>
    <t>2023-02-02</t>
  </si>
  <si>
    <t>neha.roy406@example.com</t>
  </si>
  <si>
    <t>E0407</t>
  </si>
  <si>
    <t>2023-04-24</t>
  </si>
  <si>
    <t>rohit.smith407@example.com</t>
  </si>
  <si>
    <t>E0408</t>
  </si>
  <si>
    <t>2022-10-24</t>
  </si>
  <si>
    <t>anita.singh408@example.com</t>
  </si>
  <si>
    <t>E0409</t>
  </si>
  <si>
    <t>2024-03-04</t>
  </si>
  <si>
    <t>rahul.brown409@example.com</t>
  </si>
  <si>
    <t>E0410</t>
  </si>
  <si>
    <t>2019-01-01</t>
  </si>
  <si>
    <t>anita.paul410@example.com</t>
  </si>
  <si>
    <t>E0411</t>
  </si>
  <si>
    <t>2024-08-12</t>
  </si>
  <si>
    <t>david.khan411@example.com</t>
  </si>
  <si>
    <t>E0412</t>
  </si>
  <si>
    <t>2022-12-10</t>
  </si>
  <si>
    <t>amit.ghosh412@example.com</t>
  </si>
  <si>
    <t>E0413</t>
  </si>
  <si>
    <t>2018-09-18</t>
  </si>
  <si>
    <t>john.dutta413@example.com</t>
  </si>
  <si>
    <t>E0414</t>
  </si>
  <si>
    <t>2024-01-31</t>
  </si>
  <si>
    <t>john.ghosh414@example.com</t>
  </si>
  <si>
    <t>E0415</t>
  </si>
  <si>
    <t>2021-05-19</t>
  </si>
  <si>
    <t>sara.dutta415@example.com</t>
  </si>
  <si>
    <t>E0416</t>
  </si>
  <si>
    <t>2024-05-14</t>
  </si>
  <si>
    <t>sara.brown416@example.com</t>
  </si>
  <si>
    <t>E0417</t>
  </si>
  <si>
    <t>2021-07-14</t>
  </si>
  <si>
    <t>rohit.sen417@example.com</t>
  </si>
  <si>
    <t>E0418</t>
  </si>
  <si>
    <t>2018-02-27</t>
  </si>
  <si>
    <t>jane.sen418@example.com</t>
  </si>
  <si>
    <t>E0419</t>
  </si>
  <si>
    <t>2020-12-06</t>
  </si>
  <si>
    <t>priya.khan419@example.com</t>
  </si>
  <si>
    <t>E0420</t>
  </si>
  <si>
    <t>2024-09-27</t>
  </si>
  <si>
    <t>amit.das420@example.com</t>
  </si>
  <si>
    <t>E0421</t>
  </si>
  <si>
    <t>2020-05-30</t>
  </si>
  <si>
    <t>anita.singh421@example.com</t>
  </si>
  <si>
    <t>E0422</t>
  </si>
  <si>
    <t>2018-12-12</t>
  </si>
  <si>
    <t>rohit.paul422@example.com</t>
  </si>
  <si>
    <t>E0423</t>
  </si>
  <si>
    <t>2024-07-07</t>
  </si>
  <si>
    <t>david.singh423@example.com</t>
  </si>
  <si>
    <t>E0424</t>
  </si>
  <si>
    <t>2019-06-29</t>
  </si>
  <si>
    <t>amit.singh424@example.com</t>
  </si>
  <si>
    <t>E0425</t>
  </si>
  <si>
    <t>2019-07-26</t>
  </si>
  <si>
    <t>john.singh425@example.com</t>
  </si>
  <si>
    <t>E0426</t>
  </si>
  <si>
    <t>2022-04-17</t>
  </si>
  <si>
    <t>anita.paul426@example.com</t>
  </si>
  <si>
    <t>E0427</t>
  </si>
  <si>
    <t>2021-03-18</t>
  </si>
  <si>
    <t>priya.dutta427@example.com</t>
  </si>
  <si>
    <t>E0428</t>
  </si>
  <si>
    <t>rohit.singh428@example.com</t>
  </si>
  <si>
    <t>E0429</t>
  </si>
  <si>
    <t>anita.sen429@example.com</t>
  </si>
  <si>
    <t>E0430</t>
  </si>
  <si>
    <t>2021-09-13</t>
  </si>
  <si>
    <t>amit.paul430@example.com</t>
  </si>
  <si>
    <t>E0431</t>
  </si>
  <si>
    <t>2024-02-26</t>
  </si>
  <si>
    <t>rahul.das431@example.com</t>
  </si>
  <si>
    <t>E0432</t>
  </si>
  <si>
    <t>2024-02-05</t>
  </si>
  <si>
    <t>priya.ghosh432@example.com</t>
  </si>
  <si>
    <t>E0433</t>
  </si>
  <si>
    <t>2023-02-19</t>
  </si>
  <si>
    <t>david.ghosh433@example.com</t>
  </si>
  <si>
    <t>E0434</t>
  </si>
  <si>
    <t>2024-04-01</t>
  </si>
  <si>
    <t>jane.das434@example.com</t>
  </si>
  <si>
    <t>E0435</t>
  </si>
  <si>
    <t>rahul.ghosh435@example.com</t>
  </si>
  <si>
    <t>E0436</t>
  </si>
  <si>
    <t>neha.paul436@example.com</t>
  </si>
  <si>
    <t>E0437</t>
  </si>
  <si>
    <t>2019-01-21</t>
  </si>
  <si>
    <t>amit.smith437@example.com</t>
  </si>
  <si>
    <t>E0438</t>
  </si>
  <si>
    <t>2021-12-25</t>
  </si>
  <si>
    <t>priya.das438@example.com</t>
  </si>
  <si>
    <t>E0439</t>
  </si>
  <si>
    <t>2019-01-16</t>
  </si>
  <si>
    <t>david.sen439@example.com</t>
  </si>
  <si>
    <t>E0440</t>
  </si>
  <si>
    <t>priya.sen440@example.com</t>
  </si>
  <si>
    <t>E0441</t>
  </si>
  <si>
    <t>2020-07-11</t>
  </si>
  <si>
    <t>john.brown441@example.com</t>
  </si>
  <si>
    <t>E0442</t>
  </si>
  <si>
    <t>2022-05-26</t>
  </si>
  <si>
    <t>jane.singh442@example.com</t>
  </si>
  <si>
    <t>E0443</t>
  </si>
  <si>
    <t>2024-01-04</t>
  </si>
  <si>
    <t>anita.brown443@example.com</t>
  </si>
  <si>
    <t>E0444</t>
  </si>
  <si>
    <t>2022-08-21</t>
  </si>
  <si>
    <t>jane.dutta444@example.com</t>
  </si>
  <si>
    <t>E0445</t>
  </si>
  <si>
    <t>2018-01-09</t>
  </si>
  <si>
    <t>amit.roy445@example.com</t>
  </si>
  <si>
    <t>E0446</t>
  </si>
  <si>
    <t>2021-07-07</t>
  </si>
  <si>
    <t>sara.khan446@example.com</t>
  </si>
  <si>
    <t>E0447</t>
  </si>
  <si>
    <t>2021-08-12</t>
  </si>
  <si>
    <t>neha.smith447@example.com</t>
  </si>
  <si>
    <t>E0448</t>
  </si>
  <si>
    <t>2024-05-25</t>
  </si>
  <si>
    <t>priya.das448@example.com</t>
  </si>
  <si>
    <t>E0449</t>
  </si>
  <si>
    <t>2019-08-17</t>
  </si>
  <si>
    <t>amit.ghosh449@example.com</t>
  </si>
  <si>
    <t>E0450</t>
  </si>
  <si>
    <t>2020-08-21</t>
  </si>
  <si>
    <t>rahul.khan450@example.com</t>
  </si>
  <si>
    <t>E0451</t>
  </si>
  <si>
    <t>2020-01-26</t>
  </si>
  <si>
    <t>anita.brown451@example.com</t>
  </si>
  <si>
    <t>E0452</t>
  </si>
  <si>
    <t>2024-04-20</t>
  </si>
  <si>
    <t>rahul.roy452@example.com</t>
  </si>
  <si>
    <t>E0453</t>
  </si>
  <si>
    <t>2022-11-15</t>
  </si>
  <si>
    <t>david.das453@example.com</t>
  </si>
  <si>
    <t>E0454</t>
  </si>
  <si>
    <t>2022-11-12</t>
  </si>
  <si>
    <t>rohit.paul454@example.com</t>
  </si>
  <si>
    <t>E0455</t>
  </si>
  <si>
    <t>2023-08-11</t>
  </si>
  <si>
    <t>neha.dutta455@example.com</t>
  </si>
  <si>
    <t>E0456</t>
  </si>
  <si>
    <t>2024-03-13</t>
  </si>
  <si>
    <t>neha.khan456@example.com</t>
  </si>
  <si>
    <t>E0457</t>
  </si>
  <si>
    <t>2022-02-11</t>
  </si>
  <si>
    <t>jane.brown457@example.com</t>
  </si>
  <si>
    <t>E0458</t>
  </si>
  <si>
    <t>2019-04-04</t>
  </si>
  <si>
    <t>david.khan458@example.com</t>
  </si>
  <si>
    <t>E0459</t>
  </si>
  <si>
    <t>2019-03-28</t>
  </si>
  <si>
    <t>sara.dutta459@example.com</t>
  </si>
  <si>
    <t>E0460</t>
  </si>
  <si>
    <t>rohit.ghosh460@example.com</t>
  </si>
  <si>
    <t>E0461</t>
  </si>
  <si>
    <t>2024-02-28</t>
  </si>
  <si>
    <t>priya.paul461@example.com</t>
  </si>
  <si>
    <t>E0462</t>
  </si>
  <si>
    <t>2023-05-27</t>
  </si>
  <si>
    <t>neha.paul462@example.com</t>
  </si>
  <si>
    <t>E0463</t>
  </si>
  <si>
    <t>2024-07-01</t>
  </si>
  <si>
    <t>david.smith463@example.com</t>
  </si>
  <si>
    <t>E0464</t>
  </si>
  <si>
    <t>2022-04-02</t>
  </si>
  <si>
    <t>jane.brown464@example.com</t>
  </si>
  <si>
    <t>E0465</t>
  </si>
  <si>
    <t>2020-05-10</t>
  </si>
  <si>
    <t>amit.sen465@example.com</t>
  </si>
  <si>
    <t>E0466</t>
  </si>
  <si>
    <t>2023-03-29</t>
  </si>
  <si>
    <t>rohit.smith466@example.com</t>
  </si>
  <si>
    <t>E0467</t>
  </si>
  <si>
    <t>2023-07-28</t>
  </si>
  <si>
    <t>rohit.paul467@example.com</t>
  </si>
  <si>
    <t>E0468</t>
  </si>
  <si>
    <t>2023-01-27</t>
  </si>
  <si>
    <t>rohit.sen468@example.com</t>
  </si>
  <si>
    <t>E0469</t>
  </si>
  <si>
    <t>2024-10-25</t>
  </si>
  <si>
    <t>rahul.dutta469@example.com</t>
  </si>
  <si>
    <t>E0470</t>
  </si>
  <si>
    <t>2018-11-15</t>
  </si>
  <si>
    <t>priya.singh470@example.com</t>
  </si>
  <si>
    <t>E0471</t>
  </si>
  <si>
    <t>john.khan471@example.com</t>
  </si>
  <si>
    <t>E0472</t>
  </si>
  <si>
    <t>2018-06-01</t>
  </si>
  <si>
    <t>anita.roy472@example.com</t>
  </si>
  <si>
    <t>E0473</t>
  </si>
  <si>
    <t>rahul.ghosh473@example.com</t>
  </si>
  <si>
    <t>E0474</t>
  </si>
  <si>
    <t>2020-02-03</t>
  </si>
  <si>
    <t>rohit.brown474@example.com</t>
  </si>
  <si>
    <t>E0475</t>
  </si>
  <si>
    <t>anita.paul475@example.com</t>
  </si>
  <si>
    <t>E0476</t>
  </si>
  <si>
    <t>2018-04-28</t>
  </si>
  <si>
    <t>amit.paul476@example.com</t>
  </si>
  <si>
    <t>E0477</t>
  </si>
  <si>
    <t>2019-10-19</t>
  </si>
  <si>
    <t>neha.smith477@example.com</t>
  </si>
  <si>
    <t>E0478</t>
  </si>
  <si>
    <t>jane.das478@example.com</t>
  </si>
  <si>
    <t>E0479</t>
  </si>
  <si>
    <t>2024-01-05</t>
  </si>
  <si>
    <t>sara.roy479@example.com</t>
  </si>
  <si>
    <t>E0480</t>
  </si>
  <si>
    <t>2023-02-06</t>
  </si>
  <si>
    <t>rahul.brown480@example.com</t>
  </si>
  <si>
    <t>E0481</t>
  </si>
  <si>
    <t>2022-09-13</t>
  </si>
  <si>
    <t>rahul.singh481@example.com</t>
  </si>
  <si>
    <t>E0482</t>
  </si>
  <si>
    <t>2021-11-03</t>
  </si>
  <si>
    <t>amit.sen482@example.com</t>
  </si>
  <si>
    <t>E0483</t>
  </si>
  <si>
    <t>2020-12-31</t>
  </si>
  <si>
    <t>david.ghosh483@example.com</t>
  </si>
  <si>
    <t>E0484</t>
  </si>
  <si>
    <t>2024-10-29</t>
  </si>
  <si>
    <t>neha.ghosh484@example.com</t>
  </si>
  <si>
    <t>E0485</t>
  </si>
  <si>
    <t>2021-07-29</t>
  </si>
  <si>
    <t>john.ghosh485@example.com</t>
  </si>
  <si>
    <t>E0486</t>
  </si>
  <si>
    <t>2022-06-28</t>
  </si>
  <si>
    <t>priya.singh486@example.com</t>
  </si>
  <si>
    <t>E0487</t>
  </si>
  <si>
    <t>2018-10-05</t>
  </si>
  <si>
    <t>david.dutta487@example.com</t>
  </si>
  <si>
    <t>E0488</t>
  </si>
  <si>
    <t>2020-07-19</t>
  </si>
  <si>
    <t>anita.singh488@example.com</t>
  </si>
  <si>
    <t>E0489</t>
  </si>
  <si>
    <t>priya.smith489@example.com</t>
  </si>
  <si>
    <t>E0490</t>
  </si>
  <si>
    <t>2019-03-21</t>
  </si>
  <si>
    <t>anita.das490@example.com</t>
  </si>
  <si>
    <t>E0491</t>
  </si>
  <si>
    <t>neha.dutta491@example.com</t>
  </si>
  <si>
    <t>E0492</t>
  </si>
  <si>
    <t>2019-03-20</t>
  </si>
  <si>
    <t>david.ghosh492@example.com</t>
  </si>
  <si>
    <t>E0493</t>
  </si>
  <si>
    <t>rahul.ghosh493@example.com</t>
  </si>
  <si>
    <t>E0494</t>
  </si>
  <si>
    <t>2020-06-09</t>
  </si>
  <si>
    <t>jane.das494@example.com</t>
  </si>
  <si>
    <t>E0495</t>
  </si>
  <si>
    <t>2018-04-21</t>
  </si>
  <si>
    <t>john.sen495@example.com</t>
  </si>
  <si>
    <t>E0496</t>
  </si>
  <si>
    <t>2018-02-25</t>
  </si>
  <si>
    <t>rahul.ghosh496@example.com</t>
  </si>
  <si>
    <t>E0497</t>
  </si>
  <si>
    <t>2024-06-14</t>
  </si>
  <si>
    <t>john.brown497@example.com</t>
  </si>
  <si>
    <t>E0498</t>
  </si>
  <si>
    <t>2024-10-15</t>
  </si>
  <si>
    <t>priya.singh498@example.com</t>
  </si>
  <si>
    <t>E0499</t>
  </si>
  <si>
    <t>2020-11-16</t>
  </si>
  <si>
    <t>david.sen499@example.com</t>
  </si>
  <si>
    <t>E0500</t>
  </si>
  <si>
    <t>2021-01-15</t>
  </si>
  <si>
    <t>david.singh500@example.com</t>
  </si>
  <si>
    <t>DepartmentName</t>
  </si>
  <si>
    <t>HR</t>
  </si>
  <si>
    <t>Alice</t>
  </si>
  <si>
    <t>Finance</t>
  </si>
  <si>
    <t>Bob</t>
  </si>
  <si>
    <t>IT</t>
  </si>
  <si>
    <t>Carol</t>
  </si>
  <si>
    <t>Sales</t>
  </si>
  <si>
    <t>Dan</t>
  </si>
  <si>
    <t>Marketing</t>
  </si>
  <si>
    <t>Eva</t>
  </si>
  <si>
    <t>ReviewYear</t>
  </si>
  <si>
    <t>Rating</t>
  </si>
  <si>
    <t>TrainingHours</t>
  </si>
  <si>
    <t>ProjectsCompleted</t>
  </si>
  <si>
    <t>Department Name</t>
  </si>
  <si>
    <t>Ratings</t>
  </si>
  <si>
    <t>Bonus</t>
  </si>
  <si>
    <t>Avg Salary</t>
  </si>
  <si>
    <t>4.Find in Department sheet, department wise average salary.</t>
  </si>
  <si>
    <t xml:space="preserve">7.Highlight Employees hired before 2020. </t>
  </si>
  <si>
    <t>5.Count active Employees</t>
  </si>
  <si>
    <t xml:space="preserve">6.Highlight Employees whose Salary &gt; 100000 </t>
  </si>
  <si>
    <t>3.Calculate the bonus if rating is 5 bonus will be 15% of salary, if rating 4 then bonus will be 10% of salary, if 3 then 7% , &lt;3 then 5 %.</t>
  </si>
  <si>
    <t>2.Fetch Rating from performance worksheet to employee worksheet</t>
  </si>
  <si>
    <t xml:space="preserve"> 1.In Employee sheet fetch the department name from department worksheet using XLOOKUP</t>
  </si>
  <si>
    <t>8.Filter the Employees with job title analyst and city Kolkata</t>
  </si>
  <si>
    <t>Bonus(3)</t>
  </si>
  <si>
    <t>Ratings(2)</t>
  </si>
  <si>
    <t>Department Name(1)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</si>
</sst>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Fill="1" applyBorder="1"/>
    <xf numFmtId="0" fontId="1" fillId="0" borderId="0" xfId="0" applyFont="1"/>
    <xf numFmtId="0" fontId="1" fillId="0" borderId="0" xfId="0" applyFont="1" applyBorder="1"/>
    <xf numFmtId="0" fontId="0" fillId="0" borderId="0" xfId="0" applyBorder="1"/>
  </cellXfs>
  <cellStyles count="1">
    <cellStyle name="Normal" xfId="0" builtinId="0"/>
  </cellStyles>
  <dxfs count="8">
    <dxf>
      <font>
        <b/>
        <i val="0"/>
        <color theme="0"/>
      </font>
      <fill>
        <patternFill>
          <bgColor rgb="FFFF0066"/>
        </patternFill>
      </fill>
    </dxf>
    <dxf>
      <font>
        <b/>
        <i val="0"/>
        <color theme="0" tint="-4.9989318521683403E-2"/>
      </font>
      <fill>
        <patternFill>
          <bgColor rgb="FFFF0066"/>
        </patternFill>
      </fill>
    </dxf>
    <dxf>
      <font>
        <b/>
        <i val="0"/>
        <color theme="0" tint="-4.9989318521683403E-2"/>
      </font>
      <fill>
        <patternFill>
          <bgColor rgb="FFFF0066"/>
        </patternFill>
      </fill>
    </dxf>
    <dxf>
      <font>
        <b/>
        <i val="0"/>
        <color theme="0"/>
      </font>
      <fill>
        <patternFill>
          <bgColor rgb="FFFF0066"/>
        </patternFill>
      </fill>
    </dxf>
    <dxf>
      <font>
        <b/>
        <i val="0"/>
        <color theme="0"/>
      </font>
      <fill>
        <patternFill>
          <bgColor rgb="FFFF0066"/>
        </patternFill>
      </fill>
    </dxf>
    <dxf>
      <font>
        <b/>
        <i val="0"/>
        <color theme="0"/>
      </font>
      <fill>
        <patternFill>
          <bgColor rgb="FFFF0066"/>
        </patternFill>
      </fill>
    </dxf>
    <dxf>
      <font>
        <b/>
        <i val="0"/>
        <color theme="0"/>
      </font>
      <fill>
        <patternFill>
          <bgColor rgb="FFFF0066"/>
        </patternFill>
      </fill>
    </dxf>
    <dxf>
      <font>
        <b/>
        <i val="0"/>
        <color theme="0"/>
      </font>
      <fill>
        <patternFill>
          <bgColor rgb="FFFF0066"/>
        </patternFill>
      </fill>
    </dxf>
  </dxfs>
  <tableStyles count="0" defaultTableStyle="TableStyleMedium9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1"/>
  <sheetViews>
    <sheetView workbookViewId="0">
      <selection activeCell="N2" sqref="N2"/>
    </sheetView>
  </sheetViews>
  <sheetFormatPr defaultRowHeight="14.4" x14ac:dyDescent="0.3"/>
  <cols>
    <col min="1" max="1" width="10.77734375" bestFit="1" customWidth="1"/>
    <col min="2" max="2" width="9.33203125" bestFit="1" customWidth="1"/>
    <col min="3" max="3" width="9.109375" bestFit="1" customWidth="1"/>
    <col min="4" max="4" width="7" bestFit="1" customWidth="1"/>
    <col min="5" max="5" width="3.88671875" bestFit="1" customWidth="1"/>
    <col min="6" max="6" width="13" bestFit="1" customWidth="1"/>
    <col min="7" max="7" width="10.88671875" bestFit="1" customWidth="1"/>
    <col min="8" max="8" width="10.109375" bestFit="1" customWidth="1"/>
    <col min="9" max="9" width="6.77734375" bestFit="1" customWidth="1"/>
    <col min="10" max="10" width="9.21875" bestFit="1" customWidth="1"/>
    <col min="11" max="11" width="27.77734375" bestFit="1" customWidth="1"/>
    <col min="12" max="12" width="7.21875" bestFit="1" customWidth="1"/>
    <col min="13" max="14" width="16.6640625" bestFit="1" customWidth="1"/>
  </cols>
  <sheetData>
    <row r="1" spans="1:1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1523</v>
      </c>
      <c r="N1" s="2" t="s">
        <v>1523</v>
      </c>
    </row>
    <row r="2" spans="1:14" x14ac:dyDescent="0.3">
      <c r="A2" s="1" t="s">
        <v>12</v>
      </c>
      <c r="B2" s="1" t="s">
        <v>13</v>
      </c>
      <c r="C2" s="1" t="s">
        <v>14</v>
      </c>
      <c r="D2" s="1" t="s">
        <v>15</v>
      </c>
      <c r="E2" s="1">
        <v>30</v>
      </c>
      <c r="F2" s="1" t="s">
        <v>16</v>
      </c>
      <c r="G2" s="1" t="s">
        <v>17</v>
      </c>
      <c r="H2" s="1" t="s">
        <v>18</v>
      </c>
      <c r="I2" s="1">
        <v>105257</v>
      </c>
      <c r="J2" s="1" t="s">
        <v>19</v>
      </c>
      <c r="K2" s="1" t="s">
        <v>20</v>
      </c>
      <c r="L2" s="1" t="s">
        <v>21</v>
      </c>
      <c r="M2" s="1" t="str">
        <f>VLOOKUP(F2,Departments!$A$2:$C$6,2,0)</f>
        <v>HR</v>
      </c>
      <c r="N2" s="1" t="str">
        <f>INDEX(Departments!$B:$B,MATCH(Employees!F2,Departments!$A:$A,0))</f>
        <v>HR</v>
      </c>
    </row>
    <row r="3" spans="1:14" x14ac:dyDescent="0.3">
      <c r="A3" s="1" t="s">
        <v>22</v>
      </c>
      <c r="B3" s="1" t="s">
        <v>13</v>
      </c>
      <c r="C3" s="1" t="s">
        <v>23</v>
      </c>
      <c r="D3" s="1" t="s">
        <v>24</v>
      </c>
      <c r="E3" s="1">
        <v>48</v>
      </c>
      <c r="F3" s="1" t="s">
        <v>25</v>
      </c>
      <c r="G3" s="1" t="s">
        <v>26</v>
      </c>
      <c r="H3" s="1" t="s">
        <v>27</v>
      </c>
      <c r="I3" s="1">
        <v>97903</v>
      </c>
      <c r="J3" s="1" t="s">
        <v>19</v>
      </c>
      <c r="K3" s="1" t="s">
        <v>28</v>
      </c>
      <c r="L3" s="1" t="s">
        <v>21</v>
      </c>
      <c r="M3" s="1" t="str">
        <f>VLOOKUP(F3,Departments!$A$2:$C$6,2,0)</f>
        <v>IT</v>
      </c>
      <c r="N3" s="1" t="str">
        <f>INDEX(Departments!$B:$B,MATCH(Employees!F3,Departments!$A:$A,0))</f>
        <v>IT</v>
      </c>
    </row>
    <row r="4" spans="1:14" x14ac:dyDescent="0.3">
      <c r="A4" s="1" t="s">
        <v>29</v>
      </c>
      <c r="B4" s="1" t="s">
        <v>30</v>
      </c>
      <c r="C4" s="1" t="s">
        <v>23</v>
      </c>
      <c r="D4" s="1" t="s">
        <v>24</v>
      </c>
      <c r="E4" s="1">
        <v>48</v>
      </c>
      <c r="F4" s="1" t="s">
        <v>31</v>
      </c>
      <c r="G4" s="1" t="s">
        <v>32</v>
      </c>
      <c r="H4" s="1" t="s">
        <v>33</v>
      </c>
      <c r="I4" s="1">
        <v>73429</v>
      </c>
      <c r="J4" s="1" t="s">
        <v>34</v>
      </c>
      <c r="K4" s="1" t="s">
        <v>35</v>
      </c>
      <c r="L4" s="1" t="s">
        <v>36</v>
      </c>
      <c r="M4" s="1" t="str">
        <f>VLOOKUP(F4,Departments!$A$2:$C$6,2,0)</f>
        <v>Sales</v>
      </c>
      <c r="N4" s="1" t="str">
        <f>INDEX(Departments!$B:$B,MATCH(Employees!F4,Departments!$A:$A,0))</f>
        <v>Sales</v>
      </c>
    </row>
    <row r="5" spans="1:14" x14ac:dyDescent="0.3">
      <c r="A5" s="1" t="s">
        <v>37</v>
      </c>
      <c r="B5" s="1" t="s">
        <v>38</v>
      </c>
      <c r="C5" s="1" t="s">
        <v>14</v>
      </c>
      <c r="D5" s="1" t="s">
        <v>15</v>
      </c>
      <c r="E5" s="1">
        <v>50</v>
      </c>
      <c r="F5" s="1" t="s">
        <v>39</v>
      </c>
      <c r="G5" s="1" t="s">
        <v>40</v>
      </c>
      <c r="H5" s="1" t="s">
        <v>41</v>
      </c>
      <c r="I5" s="1">
        <v>99336</v>
      </c>
      <c r="J5" s="1" t="s">
        <v>34</v>
      </c>
      <c r="K5" s="1" t="s">
        <v>42</v>
      </c>
      <c r="L5" s="1" t="s">
        <v>21</v>
      </c>
      <c r="M5" s="1" t="str">
        <f>VLOOKUP(F5,Departments!$A$2:$C$6,2,0)</f>
        <v>Marketing</v>
      </c>
      <c r="N5" s="1" t="str">
        <f>INDEX(Departments!$B:$B,MATCH(Employees!F5,Departments!$A:$A,0))</f>
        <v>Marketing</v>
      </c>
    </row>
    <row r="6" spans="1:14" x14ac:dyDescent="0.3">
      <c r="A6" s="1" t="s">
        <v>43</v>
      </c>
      <c r="B6" s="1" t="s">
        <v>44</v>
      </c>
      <c r="C6" s="1" t="s">
        <v>45</v>
      </c>
      <c r="D6" s="1" t="s">
        <v>24</v>
      </c>
      <c r="E6" s="1">
        <v>60</v>
      </c>
      <c r="F6" s="1" t="s">
        <v>16</v>
      </c>
      <c r="G6" s="1" t="s">
        <v>32</v>
      </c>
      <c r="H6" s="1" t="s">
        <v>46</v>
      </c>
      <c r="I6" s="1">
        <v>105020</v>
      </c>
      <c r="J6" s="1" t="s">
        <v>34</v>
      </c>
      <c r="K6" s="1" t="s">
        <v>47</v>
      </c>
      <c r="L6" s="1" t="s">
        <v>21</v>
      </c>
      <c r="M6" s="1" t="str">
        <f>VLOOKUP(F6,Departments!$A$2:$C$6,2,0)</f>
        <v>HR</v>
      </c>
      <c r="N6" s="1" t="str">
        <f>INDEX(Departments!$B:$B,MATCH(Employees!F6,Departments!$A:$A,0))</f>
        <v>HR</v>
      </c>
    </row>
    <row r="7" spans="1:14" x14ac:dyDescent="0.3">
      <c r="A7" s="1" t="s">
        <v>48</v>
      </c>
      <c r="B7" s="1" t="s">
        <v>49</v>
      </c>
      <c r="C7" s="1" t="s">
        <v>14</v>
      </c>
      <c r="D7" s="1" t="s">
        <v>24</v>
      </c>
      <c r="E7" s="1">
        <v>33</v>
      </c>
      <c r="F7" s="1" t="s">
        <v>50</v>
      </c>
      <c r="G7" s="1" t="s">
        <v>32</v>
      </c>
      <c r="H7" s="1" t="s">
        <v>51</v>
      </c>
      <c r="I7" s="1">
        <v>93173</v>
      </c>
      <c r="J7" s="1" t="s">
        <v>34</v>
      </c>
      <c r="K7" s="1" t="s">
        <v>52</v>
      </c>
      <c r="L7" s="1" t="s">
        <v>21</v>
      </c>
      <c r="M7" s="1" t="str">
        <f>VLOOKUP(F7,Departments!$A$2:$C$6,2,0)</f>
        <v>Finance</v>
      </c>
      <c r="N7" s="1" t="str">
        <f>INDEX(Departments!$B:$B,MATCH(Employees!F7,Departments!$A:$A,0))</f>
        <v>Finance</v>
      </c>
    </row>
    <row r="8" spans="1:14" x14ac:dyDescent="0.3">
      <c r="A8" s="1" t="s">
        <v>53</v>
      </c>
      <c r="B8" s="1" t="s">
        <v>54</v>
      </c>
      <c r="C8" s="1" t="s">
        <v>45</v>
      </c>
      <c r="D8" s="1" t="s">
        <v>24</v>
      </c>
      <c r="E8" s="1">
        <v>52</v>
      </c>
      <c r="F8" s="1" t="s">
        <v>39</v>
      </c>
      <c r="G8" s="1" t="s">
        <v>17</v>
      </c>
      <c r="H8" s="1" t="s">
        <v>55</v>
      </c>
      <c r="I8" s="1">
        <v>106626</v>
      </c>
      <c r="J8" s="1" t="s">
        <v>34</v>
      </c>
      <c r="K8" s="1" t="s">
        <v>56</v>
      </c>
      <c r="L8" s="1" t="s">
        <v>21</v>
      </c>
      <c r="M8" s="1" t="str">
        <f>VLOOKUP(F8,Departments!$A$2:$C$6,2,0)</f>
        <v>Marketing</v>
      </c>
      <c r="N8" s="1" t="str">
        <f>INDEX(Departments!$B:$B,MATCH(Employees!F8,Departments!$A:$A,0))</f>
        <v>Marketing</v>
      </c>
    </row>
    <row r="9" spans="1:14" x14ac:dyDescent="0.3">
      <c r="A9" s="1" t="s">
        <v>57</v>
      </c>
      <c r="B9" s="1" t="s">
        <v>58</v>
      </c>
      <c r="C9" s="1" t="s">
        <v>14</v>
      </c>
      <c r="D9" s="1" t="s">
        <v>15</v>
      </c>
      <c r="E9" s="1">
        <v>42</v>
      </c>
      <c r="F9" s="1" t="s">
        <v>50</v>
      </c>
      <c r="G9" s="1" t="s">
        <v>40</v>
      </c>
      <c r="H9" s="1" t="s">
        <v>59</v>
      </c>
      <c r="I9" s="1">
        <v>114547</v>
      </c>
      <c r="J9" s="1" t="s">
        <v>60</v>
      </c>
      <c r="K9" s="1" t="s">
        <v>61</v>
      </c>
      <c r="L9" s="1" t="s">
        <v>36</v>
      </c>
      <c r="M9" s="1" t="str">
        <f>VLOOKUP(F9,Departments!$A$2:$C$6,2,0)</f>
        <v>Finance</v>
      </c>
      <c r="N9" s="1" t="str">
        <f>INDEX(Departments!$B:$B,MATCH(Employees!F9,Departments!$A:$A,0))</f>
        <v>Finance</v>
      </c>
    </row>
    <row r="10" spans="1:14" x14ac:dyDescent="0.3">
      <c r="A10" s="1" t="s">
        <v>62</v>
      </c>
      <c r="B10" s="1" t="s">
        <v>58</v>
      </c>
      <c r="C10" s="1" t="s">
        <v>63</v>
      </c>
      <c r="D10" s="1" t="s">
        <v>15</v>
      </c>
      <c r="E10" s="1">
        <v>40</v>
      </c>
      <c r="F10" s="1" t="s">
        <v>16</v>
      </c>
      <c r="G10" s="1" t="s">
        <v>32</v>
      </c>
      <c r="H10" s="1" t="s">
        <v>64</v>
      </c>
      <c r="I10" s="1">
        <v>51139</v>
      </c>
      <c r="J10" s="1" t="s">
        <v>65</v>
      </c>
      <c r="K10" s="1" t="s">
        <v>66</v>
      </c>
      <c r="L10" s="1" t="s">
        <v>36</v>
      </c>
      <c r="M10" s="1" t="str">
        <f>VLOOKUP(F10,Departments!$A$2:$C$6,2,0)</f>
        <v>HR</v>
      </c>
      <c r="N10" s="1" t="str">
        <f>INDEX(Departments!$B:$B,MATCH(Employees!F10,Departments!$A:$A,0))</f>
        <v>HR</v>
      </c>
    </row>
    <row r="11" spans="1:14" x14ac:dyDescent="0.3">
      <c r="A11" s="1" t="s">
        <v>67</v>
      </c>
      <c r="B11" s="1" t="s">
        <v>13</v>
      </c>
      <c r="C11" s="1" t="s">
        <v>23</v>
      </c>
      <c r="D11" s="1" t="s">
        <v>15</v>
      </c>
      <c r="E11" s="1">
        <v>25</v>
      </c>
      <c r="F11" s="1" t="s">
        <v>39</v>
      </c>
      <c r="G11" s="1" t="s">
        <v>17</v>
      </c>
      <c r="H11" s="1" t="s">
        <v>68</v>
      </c>
      <c r="I11" s="1">
        <v>60673</v>
      </c>
      <c r="J11" s="1" t="s">
        <v>65</v>
      </c>
      <c r="K11" s="1" t="s">
        <v>69</v>
      </c>
      <c r="L11" s="1" t="s">
        <v>36</v>
      </c>
      <c r="M11" s="1" t="str">
        <f>VLOOKUP(F11,Departments!$A$2:$C$6,2,0)</f>
        <v>Marketing</v>
      </c>
      <c r="N11" s="1" t="str">
        <f>INDEX(Departments!$B:$B,MATCH(Employees!F11,Departments!$A:$A,0))</f>
        <v>Marketing</v>
      </c>
    </row>
    <row r="12" spans="1:14" x14ac:dyDescent="0.3">
      <c r="A12" s="1" t="s">
        <v>70</v>
      </c>
      <c r="B12" s="1" t="s">
        <v>71</v>
      </c>
      <c r="C12" s="1" t="s">
        <v>23</v>
      </c>
      <c r="D12" s="1" t="s">
        <v>15</v>
      </c>
      <c r="E12" s="1">
        <v>25</v>
      </c>
      <c r="F12" s="1" t="s">
        <v>39</v>
      </c>
      <c r="G12" s="1" t="s">
        <v>32</v>
      </c>
      <c r="H12" s="1" t="s">
        <v>72</v>
      </c>
      <c r="I12" s="1">
        <v>65690</v>
      </c>
      <c r="J12" s="1" t="s">
        <v>19</v>
      </c>
      <c r="K12" s="1" t="s">
        <v>73</v>
      </c>
      <c r="L12" s="1" t="s">
        <v>36</v>
      </c>
      <c r="M12" s="1" t="str">
        <f>VLOOKUP(F12,Departments!$A$2:$C$6,2,0)</f>
        <v>Marketing</v>
      </c>
      <c r="N12" s="1" t="str">
        <f>INDEX(Departments!$B:$B,MATCH(Employees!F12,Departments!$A:$A,0))</f>
        <v>Marketing</v>
      </c>
    </row>
    <row r="13" spans="1:14" x14ac:dyDescent="0.3">
      <c r="A13" s="1" t="s">
        <v>74</v>
      </c>
      <c r="B13" s="1" t="s">
        <v>30</v>
      </c>
      <c r="C13" s="1" t="s">
        <v>45</v>
      </c>
      <c r="D13" s="1" t="s">
        <v>24</v>
      </c>
      <c r="E13" s="1">
        <v>49</v>
      </c>
      <c r="F13" s="1" t="s">
        <v>25</v>
      </c>
      <c r="G13" s="1" t="s">
        <v>26</v>
      </c>
      <c r="H13" s="1" t="s">
        <v>75</v>
      </c>
      <c r="I13" s="1">
        <v>63823</v>
      </c>
      <c r="J13" s="1" t="s">
        <v>65</v>
      </c>
      <c r="K13" s="1" t="s">
        <v>76</v>
      </c>
      <c r="L13" s="1" t="s">
        <v>21</v>
      </c>
      <c r="M13" s="1" t="str">
        <f>VLOOKUP(F13,Departments!$A$2:$C$6,2,0)</f>
        <v>IT</v>
      </c>
      <c r="N13" s="1" t="str">
        <f>INDEX(Departments!$B:$B,MATCH(Employees!F13,Departments!$A:$A,0))</f>
        <v>IT</v>
      </c>
    </row>
    <row r="14" spans="1:14" x14ac:dyDescent="0.3">
      <c r="A14" s="1" t="s">
        <v>77</v>
      </c>
      <c r="B14" s="1" t="s">
        <v>30</v>
      </c>
      <c r="C14" s="1" t="s">
        <v>78</v>
      </c>
      <c r="D14" s="1" t="s">
        <v>15</v>
      </c>
      <c r="E14" s="1">
        <v>56</v>
      </c>
      <c r="F14" s="1" t="s">
        <v>39</v>
      </c>
      <c r="G14" s="1" t="s">
        <v>17</v>
      </c>
      <c r="H14" s="1" t="s">
        <v>79</v>
      </c>
      <c r="I14" s="1">
        <v>49557</v>
      </c>
      <c r="J14" s="1" t="s">
        <v>80</v>
      </c>
      <c r="K14" s="1" t="s">
        <v>81</v>
      </c>
      <c r="L14" s="1" t="s">
        <v>36</v>
      </c>
      <c r="M14" s="1" t="str">
        <f>VLOOKUP(F14,Departments!$A$2:$C$6,2,0)</f>
        <v>Marketing</v>
      </c>
      <c r="N14" s="1" t="str">
        <f>INDEX(Departments!$B:$B,MATCH(Employees!F14,Departments!$A:$A,0))</f>
        <v>Marketing</v>
      </c>
    </row>
    <row r="15" spans="1:14" x14ac:dyDescent="0.3">
      <c r="A15" s="1" t="s">
        <v>82</v>
      </c>
      <c r="B15" s="1" t="s">
        <v>30</v>
      </c>
      <c r="C15" s="1" t="s">
        <v>83</v>
      </c>
      <c r="D15" s="1" t="s">
        <v>24</v>
      </c>
      <c r="E15" s="1">
        <v>44</v>
      </c>
      <c r="F15" s="1" t="s">
        <v>16</v>
      </c>
      <c r="G15" s="1" t="s">
        <v>32</v>
      </c>
      <c r="H15" s="1" t="s">
        <v>84</v>
      </c>
      <c r="I15" s="1">
        <v>116901</v>
      </c>
      <c r="J15" s="1" t="s">
        <v>65</v>
      </c>
      <c r="K15" s="1" t="s">
        <v>85</v>
      </c>
      <c r="L15" s="1" t="s">
        <v>21</v>
      </c>
      <c r="M15" s="1" t="str">
        <f>VLOOKUP(F15,Departments!$A$2:$C$6,2,0)</f>
        <v>HR</v>
      </c>
      <c r="N15" s="1" t="str">
        <f>INDEX(Departments!$B:$B,MATCH(Employees!F15,Departments!$A:$A,0))</f>
        <v>HR</v>
      </c>
    </row>
    <row r="16" spans="1:14" x14ac:dyDescent="0.3">
      <c r="A16" s="1" t="s">
        <v>86</v>
      </c>
      <c r="B16" s="1" t="s">
        <v>38</v>
      </c>
      <c r="C16" s="1" t="s">
        <v>83</v>
      </c>
      <c r="D16" s="1" t="s">
        <v>15</v>
      </c>
      <c r="E16" s="1">
        <v>55</v>
      </c>
      <c r="F16" s="1" t="s">
        <v>50</v>
      </c>
      <c r="G16" s="1" t="s">
        <v>17</v>
      </c>
      <c r="H16" s="1" t="s">
        <v>87</v>
      </c>
      <c r="I16" s="1">
        <v>85190</v>
      </c>
      <c r="J16" s="1" t="s">
        <v>60</v>
      </c>
      <c r="K16" s="1" t="s">
        <v>88</v>
      </c>
      <c r="L16" s="1" t="s">
        <v>36</v>
      </c>
      <c r="M16" s="1" t="str">
        <f>VLOOKUP(F16,Departments!$A$2:$C$6,2,0)</f>
        <v>Finance</v>
      </c>
      <c r="N16" s="1" t="str">
        <f>INDEX(Departments!$B:$B,MATCH(Employees!F16,Departments!$A:$A,0))</f>
        <v>Finance</v>
      </c>
    </row>
    <row r="17" spans="1:14" x14ac:dyDescent="0.3">
      <c r="A17" s="1" t="s">
        <v>89</v>
      </c>
      <c r="B17" s="1" t="s">
        <v>54</v>
      </c>
      <c r="C17" s="1" t="s">
        <v>90</v>
      </c>
      <c r="D17" s="1" t="s">
        <v>15</v>
      </c>
      <c r="E17" s="1">
        <v>30</v>
      </c>
      <c r="F17" s="1" t="s">
        <v>31</v>
      </c>
      <c r="G17" s="1" t="s">
        <v>32</v>
      </c>
      <c r="H17" s="1" t="s">
        <v>91</v>
      </c>
      <c r="I17" s="1">
        <v>95723</v>
      </c>
      <c r="J17" s="1" t="s">
        <v>65</v>
      </c>
      <c r="K17" s="1" t="s">
        <v>92</v>
      </c>
      <c r="L17" s="1" t="s">
        <v>36</v>
      </c>
      <c r="M17" s="1" t="str">
        <f>VLOOKUP(F17,Departments!$A$2:$C$6,2,0)</f>
        <v>Sales</v>
      </c>
      <c r="N17" s="1" t="str">
        <f>INDEX(Departments!$B:$B,MATCH(Employees!F17,Departments!$A:$A,0))</f>
        <v>Sales</v>
      </c>
    </row>
    <row r="18" spans="1:14" x14ac:dyDescent="0.3">
      <c r="A18" s="1" t="s">
        <v>93</v>
      </c>
      <c r="B18" s="1" t="s">
        <v>94</v>
      </c>
      <c r="C18" s="1" t="s">
        <v>95</v>
      </c>
      <c r="D18" s="1" t="s">
        <v>15</v>
      </c>
      <c r="E18" s="1">
        <v>51</v>
      </c>
      <c r="F18" s="1" t="s">
        <v>31</v>
      </c>
      <c r="G18" s="1" t="s">
        <v>26</v>
      </c>
      <c r="H18" s="1" t="s">
        <v>96</v>
      </c>
      <c r="I18" s="1">
        <v>35234</v>
      </c>
      <c r="J18" s="1" t="s">
        <v>60</v>
      </c>
      <c r="K18" s="1" t="s">
        <v>97</v>
      </c>
      <c r="L18" s="1" t="s">
        <v>36</v>
      </c>
      <c r="M18" s="1" t="str">
        <f>VLOOKUP(F18,Departments!$A$2:$C$6,2,0)</f>
        <v>Sales</v>
      </c>
      <c r="N18" s="1" t="str">
        <f>INDEX(Departments!$B:$B,MATCH(Employees!F18,Departments!$A:$A,0))</f>
        <v>Sales</v>
      </c>
    </row>
    <row r="19" spans="1:14" x14ac:dyDescent="0.3">
      <c r="A19" s="1" t="s">
        <v>98</v>
      </c>
      <c r="B19" s="1" t="s">
        <v>58</v>
      </c>
      <c r="C19" s="1" t="s">
        <v>23</v>
      </c>
      <c r="D19" s="1" t="s">
        <v>24</v>
      </c>
      <c r="E19" s="1">
        <v>38</v>
      </c>
      <c r="F19" s="1" t="s">
        <v>16</v>
      </c>
      <c r="G19" s="1" t="s">
        <v>26</v>
      </c>
      <c r="H19" s="1" t="s">
        <v>99</v>
      </c>
      <c r="I19" s="1">
        <v>102733</v>
      </c>
      <c r="J19" s="1" t="s">
        <v>19</v>
      </c>
      <c r="K19" s="1" t="s">
        <v>100</v>
      </c>
      <c r="L19" s="1" t="s">
        <v>36</v>
      </c>
      <c r="M19" s="1" t="str">
        <f>VLOOKUP(F19,Departments!$A$2:$C$6,2,0)</f>
        <v>HR</v>
      </c>
      <c r="N19" s="1" t="str">
        <f>INDEX(Departments!$B:$B,MATCH(Employees!F19,Departments!$A:$A,0))</f>
        <v>HR</v>
      </c>
    </row>
    <row r="20" spans="1:14" x14ac:dyDescent="0.3">
      <c r="A20" s="1" t="s">
        <v>101</v>
      </c>
      <c r="B20" s="1" t="s">
        <v>30</v>
      </c>
      <c r="C20" s="1" t="s">
        <v>78</v>
      </c>
      <c r="D20" s="1" t="s">
        <v>15</v>
      </c>
      <c r="E20" s="1">
        <v>46</v>
      </c>
      <c r="F20" s="1" t="s">
        <v>16</v>
      </c>
      <c r="G20" s="1" t="s">
        <v>40</v>
      </c>
      <c r="H20" s="1" t="s">
        <v>102</v>
      </c>
      <c r="I20" s="1">
        <v>76829</v>
      </c>
      <c r="J20" s="1" t="s">
        <v>65</v>
      </c>
      <c r="K20" s="1" t="s">
        <v>103</v>
      </c>
      <c r="L20" s="1" t="s">
        <v>21</v>
      </c>
      <c r="M20" s="1" t="str">
        <f>VLOOKUP(F20,Departments!$A$2:$C$6,2,0)</f>
        <v>HR</v>
      </c>
      <c r="N20" s="1" t="str">
        <f>INDEX(Departments!$B:$B,MATCH(Employees!F20,Departments!$A:$A,0))</f>
        <v>HR</v>
      </c>
    </row>
    <row r="21" spans="1:14" x14ac:dyDescent="0.3">
      <c r="A21" s="1" t="s">
        <v>104</v>
      </c>
      <c r="B21" s="1" t="s">
        <v>94</v>
      </c>
      <c r="C21" s="1" t="s">
        <v>14</v>
      </c>
      <c r="D21" s="1" t="s">
        <v>24</v>
      </c>
      <c r="E21" s="1">
        <v>60</v>
      </c>
      <c r="F21" s="1" t="s">
        <v>39</v>
      </c>
      <c r="G21" s="1" t="s">
        <v>32</v>
      </c>
      <c r="H21" s="1" t="s">
        <v>105</v>
      </c>
      <c r="I21" s="1">
        <v>69718</v>
      </c>
      <c r="J21" s="1" t="s">
        <v>34</v>
      </c>
      <c r="K21" s="1" t="s">
        <v>106</v>
      </c>
      <c r="L21" s="1" t="s">
        <v>36</v>
      </c>
      <c r="M21" s="1" t="str">
        <f>VLOOKUP(F21,Departments!$A$2:$C$6,2,0)</f>
        <v>Marketing</v>
      </c>
      <c r="N21" s="1" t="str">
        <f>INDEX(Departments!$B:$B,MATCH(Employees!F21,Departments!$A:$A,0))</f>
        <v>Marketing</v>
      </c>
    </row>
    <row r="22" spans="1:14" x14ac:dyDescent="0.3">
      <c r="A22" s="1" t="s">
        <v>107</v>
      </c>
      <c r="B22" s="1" t="s">
        <v>94</v>
      </c>
      <c r="C22" s="1" t="s">
        <v>83</v>
      </c>
      <c r="D22" s="1" t="s">
        <v>15</v>
      </c>
      <c r="E22" s="1">
        <v>24</v>
      </c>
      <c r="F22" s="1" t="s">
        <v>31</v>
      </c>
      <c r="G22" s="1" t="s">
        <v>108</v>
      </c>
      <c r="H22" s="1" t="s">
        <v>109</v>
      </c>
      <c r="I22" s="1">
        <v>90834</v>
      </c>
      <c r="J22" s="1" t="s">
        <v>80</v>
      </c>
      <c r="K22" s="1" t="s">
        <v>110</v>
      </c>
      <c r="L22" s="1" t="s">
        <v>21</v>
      </c>
      <c r="M22" s="1" t="str">
        <f>VLOOKUP(F22,Departments!$A$2:$C$6,2,0)</f>
        <v>Sales</v>
      </c>
      <c r="N22" s="1" t="str">
        <f>INDEX(Departments!$B:$B,MATCH(Employees!F22,Departments!$A:$A,0))</f>
        <v>Sales</v>
      </c>
    </row>
    <row r="23" spans="1:14" x14ac:dyDescent="0.3">
      <c r="A23" s="1" t="s">
        <v>111</v>
      </c>
      <c r="B23" s="1" t="s">
        <v>13</v>
      </c>
      <c r="C23" s="1" t="s">
        <v>14</v>
      </c>
      <c r="D23" s="1" t="s">
        <v>24</v>
      </c>
      <c r="E23" s="1">
        <v>51</v>
      </c>
      <c r="F23" s="1" t="s">
        <v>16</v>
      </c>
      <c r="G23" s="1" t="s">
        <v>108</v>
      </c>
      <c r="H23" s="1" t="s">
        <v>112</v>
      </c>
      <c r="I23" s="1">
        <v>51631</v>
      </c>
      <c r="J23" s="1" t="s">
        <v>65</v>
      </c>
      <c r="K23" s="1" t="s">
        <v>113</v>
      </c>
      <c r="L23" s="1" t="s">
        <v>36</v>
      </c>
      <c r="M23" s="1" t="str">
        <f>VLOOKUP(F23,Departments!$A$2:$C$6,2,0)</f>
        <v>HR</v>
      </c>
      <c r="N23" s="1" t="str">
        <f>INDEX(Departments!$B:$B,MATCH(Employees!F23,Departments!$A:$A,0))</f>
        <v>HR</v>
      </c>
    </row>
    <row r="24" spans="1:14" x14ac:dyDescent="0.3">
      <c r="A24" s="1" t="s">
        <v>114</v>
      </c>
      <c r="B24" s="1" t="s">
        <v>71</v>
      </c>
      <c r="C24" s="1" t="s">
        <v>63</v>
      </c>
      <c r="D24" s="1" t="s">
        <v>24</v>
      </c>
      <c r="E24" s="1">
        <v>45</v>
      </c>
      <c r="F24" s="1" t="s">
        <v>31</v>
      </c>
      <c r="G24" s="1" t="s">
        <v>26</v>
      </c>
      <c r="H24" s="1" t="s">
        <v>115</v>
      </c>
      <c r="I24" s="1">
        <v>51414</v>
      </c>
      <c r="J24" s="1" t="s">
        <v>65</v>
      </c>
      <c r="K24" s="1" t="s">
        <v>116</v>
      </c>
      <c r="L24" s="1" t="s">
        <v>21</v>
      </c>
      <c r="M24" s="1" t="str">
        <f>VLOOKUP(F24,Departments!$A$2:$C$6,2,0)</f>
        <v>Sales</v>
      </c>
      <c r="N24" s="1" t="str">
        <f>INDEX(Departments!$B:$B,MATCH(Employees!F24,Departments!$A:$A,0))</f>
        <v>Sales</v>
      </c>
    </row>
    <row r="25" spans="1:14" x14ac:dyDescent="0.3">
      <c r="A25" s="1" t="s">
        <v>117</v>
      </c>
      <c r="B25" s="1" t="s">
        <v>44</v>
      </c>
      <c r="C25" s="1" t="s">
        <v>63</v>
      </c>
      <c r="D25" s="1" t="s">
        <v>24</v>
      </c>
      <c r="E25" s="1">
        <v>35</v>
      </c>
      <c r="F25" s="1" t="s">
        <v>50</v>
      </c>
      <c r="G25" s="1" t="s">
        <v>17</v>
      </c>
      <c r="H25" s="1" t="s">
        <v>118</v>
      </c>
      <c r="I25" s="1">
        <v>79578</v>
      </c>
      <c r="J25" s="1" t="s">
        <v>19</v>
      </c>
      <c r="K25" s="1" t="s">
        <v>119</v>
      </c>
      <c r="L25" s="1" t="s">
        <v>36</v>
      </c>
      <c r="M25" s="1" t="str">
        <f>VLOOKUP(F25,Departments!$A$2:$C$6,2,0)</f>
        <v>Finance</v>
      </c>
      <c r="N25" s="1" t="str">
        <f>INDEX(Departments!$B:$B,MATCH(Employees!F25,Departments!$A:$A,0))</f>
        <v>Finance</v>
      </c>
    </row>
    <row r="26" spans="1:14" x14ac:dyDescent="0.3">
      <c r="A26" s="1" t="s">
        <v>120</v>
      </c>
      <c r="B26" s="1" t="s">
        <v>71</v>
      </c>
      <c r="C26" s="1" t="s">
        <v>83</v>
      </c>
      <c r="D26" s="1" t="s">
        <v>24</v>
      </c>
      <c r="E26" s="1">
        <v>47</v>
      </c>
      <c r="F26" s="1" t="s">
        <v>25</v>
      </c>
      <c r="G26" s="1" t="s">
        <v>108</v>
      </c>
      <c r="H26" s="1" t="s">
        <v>121</v>
      </c>
      <c r="I26" s="1">
        <v>111899</v>
      </c>
      <c r="J26" s="1" t="s">
        <v>65</v>
      </c>
      <c r="K26" s="1" t="s">
        <v>122</v>
      </c>
      <c r="L26" s="1" t="s">
        <v>36</v>
      </c>
      <c r="M26" s="1" t="str">
        <f>VLOOKUP(F26,Departments!$A$2:$C$6,2,0)</f>
        <v>IT</v>
      </c>
      <c r="N26" s="1" t="str">
        <f>INDEX(Departments!$B:$B,MATCH(Employees!F26,Departments!$A:$A,0))</f>
        <v>IT</v>
      </c>
    </row>
    <row r="27" spans="1:14" x14ac:dyDescent="0.3">
      <c r="A27" s="1" t="s">
        <v>123</v>
      </c>
      <c r="B27" s="1" t="s">
        <v>58</v>
      </c>
      <c r="C27" s="1" t="s">
        <v>14</v>
      </c>
      <c r="D27" s="1" t="s">
        <v>24</v>
      </c>
      <c r="E27" s="1">
        <v>47</v>
      </c>
      <c r="F27" s="1" t="s">
        <v>31</v>
      </c>
      <c r="G27" s="1" t="s">
        <v>26</v>
      </c>
      <c r="H27" s="1" t="s">
        <v>124</v>
      </c>
      <c r="I27" s="1">
        <v>95862</v>
      </c>
      <c r="J27" s="1" t="s">
        <v>19</v>
      </c>
      <c r="K27" s="1" t="s">
        <v>125</v>
      </c>
      <c r="L27" s="1" t="s">
        <v>21</v>
      </c>
      <c r="M27" s="1" t="str">
        <f>VLOOKUP(F27,Departments!$A$2:$C$6,2,0)</f>
        <v>Sales</v>
      </c>
      <c r="N27" s="1" t="str">
        <f>INDEX(Departments!$B:$B,MATCH(Employees!F27,Departments!$A:$A,0))</f>
        <v>Sales</v>
      </c>
    </row>
    <row r="28" spans="1:14" x14ac:dyDescent="0.3">
      <c r="A28" s="1" t="s">
        <v>126</v>
      </c>
      <c r="B28" s="1" t="s">
        <v>13</v>
      </c>
      <c r="C28" s="1" t="s">
        <v>83</v>
      </c>
      <c r="D28" s="1" t="s">
        <v>15</v>
      </c>
      <c r="E28" s="1">
        <v>49</v>
      </c>
      <c r="F28" s="1" t="s">
        <v>25</v>
      </c>
      <c r="G28" s="1" t="s">
        <v>17</v>
      </c>
      <c r="H28" s="1" t="s">
        <v>127</v>
      </c>
      <c r="I28" s="1">
        <v>110397</v>
      </c>
      <c r="J28" s="1" t="s">
        <v>80</v>
      </c>
      <c r="K28" s="1" t="s">
        <v>128</v>
      </c>
      <c r="L28" s="1" t="s">
        <v>36</v>
      </c>
      <c r="M28" s="1" t="str">
        <f>VLOOKUP(F28,Departments!$A$2:$C$6,2,0)</f>
        <v>IT</v>
      </c>
      <c r="N28" s="1" t="str">
        <f>INDEX(Departments!$B:$B,MATCH(Employees!F28,Departments!$A:$A,0))</f>
        <v>IT</v>
      </c>
    </row>
    <row r="29" spans="1:14" x14ac:dyDescent="0.3">
      <c r="A29" s="1" t="s">
        <v>129</v>
      </c>
      <c r="B29" s="1" t="s">
        <v>44</v>
      </c>
      <c r="C29" s="1" t="s">
        <v>130</v>
      </c>
      <c r="D29" s="1" t="s">
        <v>15</v>
      </c>
      <c r="E29" s="1">
        <v>27</v>
      </c>
      <c r="F29" s="1" t="s">
        <v>50</v>
      </c>
      <c r="G29" s="1" t="s">
        <v>26</v>
      </c>
      <c r="H29" s="1" t="s">
        <v>131</v>
      </c>
      <c r="I29" s="1">
        <v>111149</v>
      </c>
      <c r="J29" s="1" t="s">
        <v>80</v>
      </c>
      <c r="K29" s="1" t="s">
        <v>132</v>
      </c>
      <c r="L29" s="1" t="s">
        <v>21</v>
      </c>
      <c r="M29" s="1" t="str">
        <f>VLOOKUP(F29,Departments!$A$2:$C$6,2,0)</f>
        <v>Finance</v>
      </c>
      <c r="N29" s="1" t="str">
        <f>INDEX(Departments!$B:$B,MATCH(Employees!F29,Departments!$A:$A,0))</f>
        <v>Finance</v>
      </c>
    </row>
    <row r="30" spans="1:14" x14ac:dyDescent="0.3">
      <c r="A30" s="1" t="s">
        <v>133</v>
      </c>
      <c r="B30" s="1" t="s">
        <v>54</v>
      </c>
      <c r="C30" s="1" t="s">
        <v>78</v>
      </c>
      <c r="D30" s="1" t="s">
        <v>24</v>
      </c>
      <c r="E30" s="1">
        <v>36</v>
      </c>
      <c r="F30" s="1" t="s">
        <v>31</v>
      </c>
      <c r="G30" s="1" t="s">
        <v>17</v>
      </c>
      <c r="H30" s="1" t="s">
        <v>134</v>
      </c>
      <c r="I30" s="1">
        <v>67035</v>
      </c>
      <c r="J30" s="1" t="s">
        <v>80</v>
      </c>
      <c r="K30" s="1" t="s">
        <v>135</v>
      </c>
      <c r="L30" s="1" t="s">
        <v>36</v>
      </c>
      <c r="M30" s="1" t="str">
        <f>VLOOKUP(F30,Departments!$A$2:$C$6,2,0)</f>
        <v>Sales</v>
      </c>
      <c r="N30" s="1" t="str">
        <f>INDEX(Departments!$B:$B,MATCH(Employees!F30,Departments!$A:$A,0))</f>
        <v>Sales</v>
      </c>
    </row>
    <row r="31" spans="1:14" x14ac:dyDescent="0.3">
      <c r="A31" s="1" t="s">
        <v>136</v>
      </c>
      <c r="B31" s="1" t="s">
        <v>38</v>
      </c>
      <c r="C31" s="1" t="s">
        <v>14</v>
      </c>
      <c r="D31" s="1" t="s">
        <v>24</v>
      </c>
      <c r="E31" s="1">
        <v>41</v>
      </c>
      <c r="F31" s="1" t="s">
        <v>25</v>
      </c>
      <c r="G31" s="1" t="s">
        <v>17</v>
      </c>
      <c r="H31" s="1" t="s">
        <v>137</v>
      </c>
      <c r="I31" s="1">
        <v>103851</v>
      </c>
      <c r="J31" s="1" t="s">
        <v>34</v>
      </c>
      <c r="K31" s="1" t="s">
        <v>138</v>
      </c>
      <c r="L31" s="1" t="s">
        <v>36</v>
      </c>
      <c r="M31" s="1" t="str">
        <f>VLOOKUP(F31,Departments!$A$2:$C$6,2,0)</f>
        <v>IT</v>
      </c>
      <c r="N31" s="1" t="str">
        <f>INDEX(Departments!$B:$B,MATCH(Employees!F31,Departments!$A:$A,0))</f>
        <v>IT</v>
      </c>
    </row>
    <row r="32" spans="1:14" x14ac:dyDescent="0.3">
      <c r="A32" s="1" t="s">
        <v>139</v>
      </c>
      <c r="B32" s="1" t="s">
        <v>13</v>
      </c>
      <c r="C32" s="1" t="s">
        <v>45</v>
      </c>
      <c r="D32" s="1" t="s">
        <v>15</v>
      </c>
      <c r="E32" s="1">
        <v>26</v>
      </c>
      <c r="F32" s="1" t="s">
        <v>39</v>
      </c>
      <c r="G32" s="1" t="s">
        <v>108</v>
      </c>
      <c r="H32" s="1" t="s">
        <v>140</v>
      </c>
      <c r="I32" s="1">
        <v>63676</v>
      </c>
      <c r="J32" s="1" t="s">
        <v>19</v>
      </c>
      <c r="K32" s="1" t="s">
        <v>141</v>
      </c>
      <c r="L32" s="1" t="s">
        <v>36</v>
      </c>
      <c r="M32" s="1" t="str">
        <f>VLOOKUP(F32,Departments!$A$2:$C$6,2,0)</f>
        <v>Marketing</v>
      </c>
      <c r="N32" s="1" t="str">
        <f>INDEX(Departments!$B:$B,MATCH(Employees!F32,Departments!$A:$A,0))</f>
        <v>Marketing</v>
      </c>
    </row>
    <row r="33" spans="1:14" x14ac:dyDescent="0.3">
      <c r="A33" s="1" t="s">
        <v>142</v>
      </c>
      <c r="B33" s="1" t="s">
        <v>143</v>
      </c>
      <c r="C33" s="1" t="s">
        <v>95</v>
      </c>
      <c r="D33" s="1" t="s">
        <v>15</v>
      </c>
      <c r="E33" s="1">
        <v>31</v>
      </c>
      <c r="F33" s="1" t="s">
        <v>16</v>
      </c>
      <c r="G33" s="1" t="s">
        <v>40</v>
      </c>
      <c r="H33" s="1" t="s">
        <v>144</v>
      </c>
      <c r="I33" s="1">
        <v>115269</v>
      </c>
      <c r="J33" s="1" t="s">
        <v>80</v>
      </c>
      <c r="K33" s="1" t="s">
        <v>145</v>
      </c>
      <c r="L33" s="1" t="s">
        <v>36</v>
      </c>
      <c r="M33" s="1" t="str">
        <f>VLOOKUP(F33,Departments!$A$2:$C$6,2,0)</f>
        <v>HR</v>
      </c>
      <c r="N33" s="1" t="str">
        <f>INDEX(Departments!$B:$B,MATCH(Employees!F33,Departments!$A:$A,0))</f>
        <v>HR</v>
      </c>
    </row>
    <row r="34" spans="1:14" x14ac:dyDescent="0.3">
      <c r="A34" s="1" t="s">
        <v>146</v>
      </c>
      <c r="B34" s="1" t="s">
        <v>143</v>
      </c>
      <c r="C34" s="1" t="s">
        <v>63</v>
      </c>
      <c r="D34" s="1" t="s">
        <v>24</v>
      </c>
      <c r="E34" s="1">
        <v>47</v>
      </c>
      <c r="F34" s="1" t="s">
        <v>31</v>
      </c>
      <c r="G34" s="1" t="s">
        <v>17</v>
      </c>
      <c r="H34" s="1" t="s">
        <v>147</v>
      </c>
      <c r="I34" s="1">
        <v>77203</v>
      </c>
      <c r="J34" s="1" t="s">
        <v>34</v>
      </c>
      <c r="K34" s="1" t="s">
        <v>148</v>
      </c>
      <c r="L34" s="1" t="s">
        <v>21</v>
      </c>
      <c r="M34" s="1" t="str">
        <f>VLOOKUP(F34,Departments!$A$2:$C$6,2,0)</f>
        <v>Sales</v>
      </c>
      <c r="N34" s="1" t="str">
        <f>INDEX(Departments!$B:$B,MATCH(Employees!F34,Departments!$A:$A,0))</f>
        <v>Sales</v>
      </c>
    </row>
    <row r="35" spans="1:14" x14ac:dyDescent="0.3">
      <c r="A35" s="1" t="s">
        <v>149</v>
      </c>
      <c r="B35" s="1" t="s">
        <v>58</v>
      </c>
      <c r="C35" s="1" t="s">
        <v>83</v>
      </c>
      <c r="D35" s="1" t="s">
        <v>24</v>
      </c>
      <c r="E35" s="1">
        <v>57</v>
      </c>
      <c r="F35" s="1" t="s">
        <v>16</v>
      </c>
      <c r="G35" s="1" t="s">
        <v>108</v>
      </c>
      <c r="H35" s="1" t="s">
        <v>150</v>
      </c>
      <c r="I35" s="1">
        <v>113291</v>
      </c>
      <c r="J35" s="1" t="s">
        <v>80</v>
      </c>
      <c r="K35" s="1" t="s">
        <v>151</v>
      </c>
      <c r="L35" s="1" t="s">
        <v>36</v>
      </c>
      <c r="M35" s="1" t="str">
        <f>VLOOKUP(F35,Departments!$A$2:$C$6,2,0)</f>
        <v>HR</v>
      </c>
      <c r="N35" s="1" t="str">
        <f>INDEX(Departments!$B:$B,MATCH(Employees!F35,Departments!$A:$A,0))</f>
        <v>HR</v>
      </c>
    </row>
    <row r="36" spans="1:14" x14ac:dyDescent="0.3">
      <c r="A36" s="1" t="s">
        <v>152</v>
      </c>
      <c r="B36" s="1" t="s">
        <v>38</v>
      </c>
      <c r="C36" s="1" t="s">
        <v>78</v>
      </c>
      <c r="D36" s="1" t="s">
        <v>15</v>
      </c>
      <c r="E36" s="1">
        <v>45</v>
      </c>
      <c r="F36" s="1" t="s">
        <v>16</v>
      </c>
      <c r="G36" s="1" t="s">
        <v>17</v>
      </c>
      <c r="H36" s="1" t="s">
        <v>153</v>
      </c>
      <c r="I36" s="1">
        <v>93729</v>
      </c>
      <c r="J36" s="1" t="s">
        <v>80</v>
      </c>
      <c r="K36" s="1" t="s">
        <v>154</v>
      </c>
      <c r="L36" s="1" t="s">
        <v>36</v>
      </c>
      <c r="M36" s="1" t="str">
        <f>VLOOKUP(F36,Departments!$A$2:$C$6,2,0)</f>
        <v>HR</v>
      </c>
      <c r="N36" s="1" t="str">
        <f>INDEX(Departments!$B:$B,MATCH(Employees!F36,Departments!$A:$A,0))</f>
        <v>HR</v>
      </c>
    </row>
    <row r="37" spans="1:14" x14ac:dyDescent="0.3">
      <c r="A37" s="1" t="s">
        <v>155</v>
      </c>
      <c r="B37" s="1" t="s">
        <v>30</v>
      </c>
      <c r="C37" s="1" t="s">
        <v>45</v>
      </c>
      <c r="D37" s="1" t="s">
        <v>24</v>
      </c>
      <c r="E37" s="1">
        <v>40</v>
      </c>
      <c r="F37" s="1" t="s">
        <v>39</v>
      </c>
      <c r="G37" s="1" t="s">
        <v>108</v>
      </c>
      <c r="H37" s="1" t="s">
        <v>156</v>
      </c>
      <c r="I37" s="1">
        <v>35947</v>
      </c>
      <c r="J37" s="1" t="s">
        <v>65</v>
      </c>
      <c r="K37" s="1" t="s">
        <v>157</v>
      </c>
      <c r="L37" s="1" t="s">
        <v>36</v>
      </c>
      <c r="M37" s="1" t="str">
        <f>VLOOKUP(F37,Departments!$A$2:$C$6,2,0)</f>
        <v>Marketing</v>
      </c>
      <c r="N37" s="1" t="str">
        <f>INDEX(Departments!$B:$B,MATCH(Employees!F37,Departments!$A:$A,0))</f>
        <v>Marketing</v>
      </c>
    </row>
    <row r="38" spans="1:14" x14ac:dyDescent="0.3">
      <c r="A38" s="1" t="s">
        <v>158</v>
      </c>
      <c r="B38" s="1" t="s">
        <v>13</v>
      </c>
      <c r="C38" s="1" t="s">
        <v>45</v>
      </c>
      <c r="D38" s="1" t="s">
        <v>15</v>
      </c>
      <c r="E38" s="1">
        <v>49</v>
      </c>
      <c r="F38" s="1" t="s">
        <v>39</v>
      </c>
      <c r="G38" s="1" t="s">
        <v>26</v>
      </c>
      <c r="H38" s="1" t="s">
        <v>159</v>
      </c>
      <c r="I38" s="1">
        <v>72311</v>
      </c>
      <c r="J38" s="1" t="s">
        <v>80</v>
      </c>
      <c r="K38" s="1" t="s">
        <v>160</v>
      </c>
      <c r="L38" s="1" t="s">
        <v>36</v>
      </c>
      <c r="M38" s="1" t="str">
        <f>VLOOKUP(F38,Departments!$A$2:$C$6,2,0)</f>
        <v>Marketing</v>
      </c>
      <c r="N38" s="1" t="str">
        <f>INDEX(Departments!$B:$B,MATCH(Employees!F38,Departments!$A:$A,0))</f>
        <v>Marketing</v>
      </c>
    </row>
    <row r="39" spans="1:14" x14ac:dyDescent="0.3">
      <c r="A39" s="1" t="s">
        <v>161</v>
      </c>
      <c r="B39" s="1" t="s">
        <v>143</v>
      </c>
      <c r="C39" s="1" t="s">
        <v>90</v>
      </c>
      <c r="D39" s="1" t="s">
        <v>24</v>
      </c>
      <c r="E39" s="1">
        <v>53</v>
      </c>
      <c r="F39" s="1" t="s">
        <v>50</v>
      </c>
      <c r="G39" s="1" t="s">
        <v>40</v>
      </c>
      <c r="H39" s="1" t="s">
        <v>162</v>
      </c>
      <c r="I39" s="1">
        <v>38763</v>
      </c>
      <c r="J39" s="1" t="s">
        <v>60</v>
      </c>
      <c r="K39" s="1" t="s">
        <v>163</v>
      </c>
      <c r="L39" s="1" t="s">
        <v>21</v>
      </c>
      <c r="M39" s="1" t="str">
        <f>VLOOKUP(F39,Departments!$A$2:$C$6,2,0)</f>
        <v>Finance</v>
      </c>
      <c r="N39" s="1" t="str">
        <f>INDEX(Departments!$B:$B,MATCH(Employees!F39,Departments!$A:$A,0))</f>
        <v>Finance</v>
      </c>
    </row>
    <row r="40" spans="1:14" x14ac:dyDescent="0.3">
      <c r="A40" s="1" t="s">
        <v>164</v>
      </c>
      <c r="B40" s="1" t="s">
        <v>38</v>
      </c>
      <c r="C40" s="1" t="s">
        <v>165</v>
      </c>
      <c r="D40" s="1" t="s">
        <v>15</v>
      </c>
      <c r="E40" s="1">
        <v>54</v>
      </c>
      <c r="F40" s="1" t="s">
        <v>31</v>
      </c>
      <c r="G40" s="1" t="s">
        <v>32</v>
      </c>
      <c r="H40" s="1" t="s">
        <v>166</v>
      </c>
      <c r="I40" s="1">
        <v>101175</v>
      </c>
      <c r="J40" s="1" t="s">
        <v>60</v>
      </c>
      <c r="K40" s="1" t="s">
        <v>167</v>
      </c>
      <c r="L40" s="1" t="s">
        <v>21</v>
      </c>
      <c r="M40" s="1" t="str">
        <f>VLOOKUP(F40,Departments!$A$2:$C$6,2,0)</f>
        <v>Sales</v>
      </c>
      <c r="N40" s="1" t="str">
        <f>INDEX(Departments!$B:$B,MATCH(Employees!F40,Departments!$A:$A,0))</f>
        <v>Sales</v>
      </c>
    </row>
    <row r="41" spans="1:14" x14ac:dyDescent="0.3">
      <c r="A41" s="1" t="s">
        <v>168</v>
      </c>
      <c r="B41" s="1" t="s">
        <v>143</v>
      </c>
      <c r="C41" s="1" t="s">
        <v>90</v>
      </c>
      <c r="D41" s="1" t="s">
        <v>15</v>
      </c>
      <c r="E41" s="1">
        <v>41</v>
      </c>
      <c r="F41" s="1" t="s">
        <v>25</v>
      </c>
      <c r="G41" s="1" t="s">
        <v>108</v>
      </c>
      <c r="H41" s="1" t="s">
        <v>169</v>
      </c>
      <c r="I41" s="1">
        <v>36386</v>
      </c>
      <c r="J41" s="1" t="s">
        <v>65</v>
      </c>
      <c r="K41" s="1" t="s">
        <v>170</v>
      </c>
      <c r="L41" s="1" t="s">
        <v>21</v>
      </c>
      <c r="M41" s="1" t="str">
        <f>VLOOKUP(F41,Departments!$A$2:$C$6,2,0)</f>
        <v>IT</v>
      </c>
      <c r="N41" s="1" t="str">
        <f>INDEX(Departments!$B:$B,MATCH(Employees!F41,Departments!$A:$A,0))</f>
        <v>IT</v>
      </c>
    </row>
    <row r="42" spans="1:14" x14ac:dyDescent="0.3">
      <c r="A42" s="1" t="s">
        <v>171</v>
      </c>
      <c r="B42" s="1" t="s">
        <v>71</v>
      </c>
      <c r="C42" s="1" t="s">
        <v>45</v>
      </c>
      <c r="D42" s="1" t="s">
        <v>15</v>
      </c>
      <c r="E42" s="1">
        <v>56</v>
      </c>
      <c r="F42" s="1" t="s">
        <v>39</v>
      </c>
      <c r="G42" s="1" t="s">
        <v>40</v>
      </c>
      <c r="H42" s="1" t="s">
        <v>172</v>
      </c>
      <c r="I42" s="1">
        <v>76395</v>
      </c>
      <c r="J42" s="1" t="s">
        <v>19</v>
      </c>
      <c r="K42" s="1" t="s">
        <v>173</v>
      </c>
      <c r="L42" s="1" t="s">
        <v>36</v>
      </c>
      <c r="M42" s="1" t="str">
        <f>VLOOKUP(F42,Departments!$A$2:$C$6,2,0)</f>
        <v>Marketing</v>
      </c>
      <c r="N42" s="1" t="str">
        <f>INDEX(Departments!$B:$B,MATCH(Employees!F42,Departments!$A:$A,0))</f>
        <v>Marketing</v>
      </c>
    </row>
    <row r="43" spans="1:14" x14ac:dyDescent="0.3">
      <c r="A43" s="1" t="s">
        <v>174</v>
      </c>
      <c r="B43" s="1" t="s">
        <v>44</v>
      </c>
      <c r="C43" s="1" t="s">
        <v>95</v>
      </c>
      <c r="D43" s="1" t="s">
        <v>24</v>
      </c>
      <c r="E43" s="1">
        <v>49</v>
      </c>
      <c r="F43" s="1" t="s">
        <v>31</v>
      </c>
      <c r="G43" s="1" t="s">
        <v>108</v>
      </c>
      <c r="H43" s="1" t="s">
        <v>175</v>
      </c>
      <c r="I43" s="1">
        <v>43701</v>
      </c>
      <c r="J43" s="1" t="s">
        <v>60</v>
      </c>
      <c r="K43" s="1" t="s">
        <v>176</v>
      </c>
      <c r="L43" s="1" t="s">
        <v>21</v>
      </c>
      <c r="M43" s="1" t="str">
        <f>VLOOKUP(F43,Departments!$A$2:$C$6,2,0)</f>
        <v>Sales</v>
      </c>
      <c r="N43" s="1" t="str">
        <f>INDEX(Departments!$B:$B,MATCH(Employees!F43,Departments!$A:$A,0))</f>
        <v>Sales</v>
      </c>
    </row>
    <row r="44" spans="1:14" x14ac:dyDescent="0.3">
      <c r="A44" s="1" t="s">
        <v>177</v>
      </c>
      <c r="B44" s="1" t="s">
        <v>94</v>
      </c>
      <c r="C44" s="1" t="s">
        <v>130</v>
      </c>
      <c r="D44" s="1" t="s">
        <v>24</v>
      </c>
      <c r="E44" s="1">
        <v>32</v>
      </c>
      <c r="F44" s="1" t="s">
        <v>25</v>
      </c>
      <c r="G44" s="1" t="s">
        <v>17</v>
      </c>
      <c r="H44" s="1" t="s">
        <v>178</v>
      </c>
      <c r="I44" s="1">
        <v>85198</v>
      </c>
      <c r="J44" s="1" t="s">
        <v>60</v>
      </c>
      <c r="K44" s="1" t="s">
        <v>179</v>
      </c>
      <c r="L44" s="1" t="s">
        <v>21</v>
      </c>
      <c r="M44" s="1" t="str">
        <f>VLOOKUP(F44,Departments!$A$2:$C$6,2,0)</f>
        <v>IT</v>
      </c>
      <c r="N44" s="1" t="str">
        <f>INDEX(Departments!$B:$B,MATCH(Employees!F44,Departments!$A:$A,0))</f>
        <v>IT</v>
      </c>
    </row>
    <row r="45" spans="1:14" x14ac:dyDescent="0.3">
      <c r="A45" s="1" t="s">
        <v>180</v>
      </c>
      <c r="B45" s="1" t="s">
        <v>13</v>
      </c>
      <c r="C45" s="1" t="s">
        <v>130</v>
      </c>
      <c r="D45" s="1" t="s">
        <v>15</v>
      </c>
      <c r="E45" s="1">
        <v>26</v>
      </c>
      <c r="F45" s="1" t="s">
        <v>16</v>
      </c>
      <c r="G45" s="1" t="s">
        <v>40</v>
      </c>
      <c r="H45" s="1" t="s">
        <v>181</v>
      </c>
      <c r="I45" s="1">
        <v>39451</v>
      </c>
      <c r="J45" s="1" t="s">
        <v>80</v>
      </c>
      <c r="K45" s="1" t="s">
        <v>182</v>
      </c>
      <c r="L45" s="1" t="s">
        <v>21</v>
      </c>
      <c r="M45" s="1" t="str">
        <f>VLOOKUP(F45,Departments!$A$2:$C$6,2,0)</f>
        <v>HR</v>
      </c>
      <c r="N45" s="1" t="str">
        <f>INDEX(Departments!$B:$B,MATCH(Employees!F45,Departments!$A:$A,0))</f>
        <v>HR</v>
      </c>
    </row>
    <row r="46" spans="1:14" x14ac:dyDescent="0.3">
      <c r="A46" s="1" t="s">
        <v>183</v>
      </c>
      <c r="B46" s="1" t="s">
        <v>143</v>
      </c>
      <c r="C46" s="1" t="s">
        <v>165</v>
      </c>
      <c r="D46" s="1" t="s">
        <v>15</v>
      </c>
      <c r="E46" s="1">
        <v>26</v>
      </c>
      <c r="F46" s="1" t="s">
        <v>31</v>
      </c>
      <c r="G46" s="1" t="s">
        <v>40</v>
      </c>
      <c r="H46" s="1" t="s">
        <v>184</v>
      </c>
      <c r="I46" s="1">
        <v>45087</v>
      </c>
      <c r="J46" s="1" t="s">
        <v>80</v>
      </c>
      <c r="K46" s="1" t="s">
        <v>185</v>
      </c>
      <c r="L46" s="1" t="s">
        <v>21</v>
      </c>
      <c r="M46" s="1" t="str">
        <f>VLOOKUP(F46,Departments!$A$2:$C$6,2,0)</f>
        <v>Sales</v>
      </c>
      <c r="N46" s="1" t="str">
        <f>INDEX(Departments!$B:$B,MATCH(Employees!F46,Departments!$A:$A,0))</f>
        <v>Sales</v>
      </c>
    </row>
    <row r="47" spans="1:14" x14ac:dyDescent="0.3">
      <c r="A47" s="1" t="s">
        <v>186</v>
      </c>
      <c r="B47" s="1" t="s">
        <v>30</v>
      </c>
      <c r="C47" s="1" t="s">
        <v>95</v>
      </c>
      <c r="D47" s="1" t="s">
        <v>24</v>
      </c>
      <c r="E47" s="1">
        <v>26</v>
      </c>
      <c r="F47" s="1" t="s">
        <v>31</v>
      </c>
      <c r="G47" s="1" t="s">
        <v>17</v>
      </c>
      <c r="H47" s="1" t="s">
        <v>187</v>
      </c>
      <c r="I47" s="1">
        <v>38222</v>
      </c>
      <c r="J47" s="1" t="s">
        <v>65</v>
      </c>
      <c r="K47" s="1" t="s">
        <v>188</v>
      </c>
      <c r="L47" s="1" t="s">
        <v>36</v>
      </c>
      <c r="M47" s="1" t="str">
        <f>VLOOKUP(F47,Departments!$A$2:$C$6,2,0)</f>
        <v>Sales</v>
      </c>
      <c r="N47" s="1" t="str">
        <f>INDEX(Departments!$B:$B,MATCH(Employees!F47,Departments!$A:$A,0))</f>
        <v>Sales</v>
      </c>
    </row>
    <row r="48" spans="1:14" x14ac:dyDescent="0.3">
      <c r="A48" s="1" t="s">
        <v>189</v>
      </c>
      <c r="B48" s="1" t="s">
        <v>71</v>
      </c>
      <c r="C48" s="1" t="s">
        <v>63</v>
      </c>
      <c r="D48" s="1" t="s">
        <v>15</v>
      </c>
      <c r="E48" s="1">
        <v>57</v>
      </c>
      <c r="F48" s="1" t="s">
        <v>25</v>
      </c>
      <c r="G48" s="1" t="s">
        <v>26</v>
      </c>
      <c r="H48" s="1" t="s">
        <v>190</v>
      </c>
      <c r="I48" s="1">
        <v>96188</v>
      </c>
      <c r="J48" s="1" t="s">
        <v>60</v>
      </c>
      <c r="K48" s="1" t="s">
        <v>191</v>
      </c>
      <c r="L48" s="1" t="s">
        <v>21</v>
      </c>
      <c r="M48" s="1" t="str">
        <f>VLOOKUP(F48,Departments!$A$2:$C$6,2,0)</f>
        <v>IT</v>
      </c>
      <c r="N48" s="1" t="str">
        <f>INDEX(Departments!$B:$B,MATCH(Employees!F48,Departments!$A:$A,0))</f>
        <v>IT</v>
      </c>
    </row>
    <row r="49" spans="1:14" x14ac:dyDescent="0.3">
      <c r="A49" s="1" t="s">
        <v>192</v>
      </c>
      <c r="B49" s="1" t="s">
        <v>49</v>
      </c>
      <c r="C49" s="1" t="s">
        <v>83</v>
      </c>
      <c r="D49" s="1" t="s">
        <v>24</v>
      </c>
      <c r="E49" s="1">
        <v>32</v>
      </c>
      <c r="F49" s="1" t="s">
        <v>50</v>
      </c>
      <c r="G49" s="1" t="s">
        <v>17</v>
      </c>
      <c r="H49" s="1" t="s">
        <v>193</v>
      </c>
      <c r="I49" s="1">
        <v>106013</v>
      </c>
      <c r="J49" s="1" t="s">
        <v>80</v>
      </c>
      <c r="K49" s="1" t="s">
        <v>194</v>
      </c>
      <c r="L49" s="1" t="s">
        <v>21</v>
      </c>
      <c r="M49" s="1" t="str">
        <f>VLOOKUP(F49,Departments!$A$2:$C$6,2,0)</f>
        <v>Finance</v>
      </c>
      <c r="N49" s="1" t="str">
        <f>INDEX(Departments!$B:$B,MATCH(Employees!F49,Departments!$A:$A,0))</f>
        <v>Finance</v>
      </c>
    </row>
    <row r="50" spans="1:14" x14ac:dyDescent="0.3">
      <c r="A50" s="1" t="s">
        <v>195</v>
      </c>
      <c r="B50" s="1" t="s">
        <v>54</v>
      </c>
      <c r="C50" s="1" t="s">
        <v>95</v>
      </c>
      <c r="D50" s="1" t="s">
        <v>24</v>
      </c>
      <c r="E50" s="1">
        <v>52</v>
      </c>
      <c r="F50" s="1" t="s">
        <v>31</v>
      </c>
      <c r="G50" s="1" t="s">
        <v>26</v>
      </c>
      <c r="H50" s="1" t="s">
        <v>196</v>
      </c>
      <c r="I50" s="1">
        <v>82014</v>
      </c>
      <c r="J50" s="1" t="s">
        <v>19</v>
      </c>
      <c r="K50" s="1" t="s">
        <v>197</v>
      </c>
      <c r="L50" s="1" t="s">
        <v>21</v>
      </c>
      <c r="M50" s="1" t="str">
        <f>VLOOKUP(F50,Departments!$A$2:$C$6,2,0)</f>
        <v>Sales</v>
      </c>
      <c r="N50" s="1" t="str">
        <f>INDEX(Departments!$B:$B,MATCH(Employees!F50,Departments!$A:$A,0))</f>
        <v>Sales</v>
      </c>
    </row>
    <row r="51" spans="1:14" x14ac:dyDescent="0.3">
      <c r="A51" s="1" t="s">
        <v>198</v>
      </c>
      <c r="B51" s="1" t="s">
        <v>38</v>
      </c>
      <c r="C51" s="1" t="s">
        <v>95</v>
      </c>
      <c r="D51" s="1" t="s">
        <v>24</v>
      </c>
      <c r="E51" s="1">
        <v>46</v>
      </c>
      <c r="F51" s="1" t="s">
        <v>31</v>
      </c>
      <c r="G51" s="1" t="s">
        <v>40</v>
      </c>
      <c r="H51" s="1" t="s">
        <v>124</v>
      </c>
      <c r="I51" s="1">
        <v>84323</v>
      </c>
      <c r="J51" s="1" t="s">
        <v>34</v>
      </c>
      <c r="K51" s="1" t="s">
        <v>199</v>
      </c>
      <c r="L51" s="1" t="s">
        <v>21</v>
      </c>
      <c r="M51" s="1" t="str">
        <f>VLOOKUP(F51,Departments!$A$2:$C$6,2,0)</f>
        <v>Sales</v>
      </c>
      <c r="N51" s="1" t="str">
        <f>INDEX(Departments!$B:$B,MATCH(Employees!F51,Departments!$A:$A,0))</f>
        <v>Sales</v>
      </c>
    </row>
    <row r="52" spans="1:14" x14ac:dyDescent="0.3">
      <c r="A52" s="1" t="s">
        <v>200</v>
      </c>
      <c r="B52" s="1" t="s">
        <v>58</v>
      </c>
      <c r="C52" s="1" t="s">
        <v>63</v>
      </c>
      <c r="D52" s="1" t="s">
        <v>15</v>
      </c>
      <c r="E52" s="1">
        <v>42</v>
      </c>
      <c r="F52" s="1" t="s">
        <v>16</v>
      </c>
      <c r="G52" s="1" t="s">
        <v>17</v>
      </c>
      <c r="H52" s="1" t="s">
        <v>201</v>
      </c>
      <c r="I52" s="1">
        <v>93289</v>
      </c>
      <c r="J52" s="1" t="s">
        <v>65</v>
      </c>
      <c r="K52" s="1" t="s">
        <v>202</v>
      </c>
      <c r="L52" s="1" t="s">
        <v>36</v>
      </c>
      <c r="M52" s="1" t="str">
        <f>VLOOKUP(F52,Departments!$A$2:$C$6,2,0)</f>
        <v>HR</v>
      </c>
      <c r="N52" s="1" t="str">
        <f>INDEX(Departments!$B:$B,MATCH(Employees!F52,Departments!$A:$A,0))</f>
        <v>HR</v>
      </c>
    </row>
    <row r="53" spans="1:14" x14ac:dyDescent="0.3">
      <c r="A53" s="1" t="s">
        <v>203</v>
      </c>
      <c r="B53" s="1" t="s">
        <v>38</v>
      </c>
      <c r="C53" s="1" t="s">
        <v>130</v>
      </c>
      <c r="D53" s="1" t="s">
        <v>15</v>
      </c>
      <c r="E53" s="1">
        <v>46</v>
      </c>
      <c r="F53" s="1" t="s">
        <v>39</v>
      </c>
      <c r="G53" s="1" t="s">
        <v>40</v>
      </c>
      <c r="H53" s="1" t="s">
        <v>204</v>
      </c>
      <c r="I53" s="1">
        <v>43926</v>
      </c>
      <c r="J53" s="1" t="s">
        <v>80</v>
      </c>
      <c r="K53" s="1" t="s">
        <v>205</v>
      </c>
      <c r="L53" s="1" t="s">
        <v>36</v>
      </c>
      <c r="M53" s="1" t="str">
        <f>VLOOKUP(F53,Departments!$A$2:$C$6,2,0)</f>
        <v>Marketing</v>
      </c>
      <c r="N53" s="1" t="str">
        <f>INDEX(Departments!$B:$B,MATCH(Employees!F53,Departments!$A:$A,0))</f>
        <v>Marketing</v>
      </c>
    </row>
    <row r="54" spans="1:14" x14ac:dyDescent="0.3">
      <c r="A54" s="1" t="s">
        <v>206</v>
      </c>
      <c r="B54" s="1" t="s">
        <v>30</v>
      </c>
      <c r="C54" s="1" t="s">
        <v>23</v>
      </c>
      <c r="D54" s="1" t="s">
        <v>24</v>
      </c>
      <c r="E54" s="1">
        <v>57</v>
      </c>
      <c r="F54" s="1" t="s">
        <v>16</v>
      </c>
      <c r="G54" s="1" t="s">
        <v>32</v>
      </c>
      <c r="H54" s="1" t="s">
        <v>207</v>
      </c>
      <c r="I54" s="1">
        <v>102761</v>
      </c>
      <c r="J54" s="1" t="s">
        <v>65</v>
      </c>
      <c r="K54" s="1" t="s">
        <v>208</v>
      </c>
      <c r="L54" s="1" t="s">
        <v>36</v>
      </c>
      <c r="M54" s="1" t="str">
        <f>VLOOKUP(F54,Departments!$A$2:$C$6,2,0)</f>
        <v>HR</v>
      </c>
      <c r="N54" s="1" t="str">
        <f>INDEX(Departments!$B:$B,MATCH(Employees!F54,Departments!$A:$A,0))</f>
        <v>HR</v>
      </c>
    </row>
    <row r="55" spans="1:14" x14ac:dyDescent="0.3">
      <c r="A55" s="1" t="s">
        <v>209</v>
      </c>
      <c r="B55" s="1" t="s">
        <v>94</v>
      </c>
      <c r="C55" s="1" t="s">
        <v>95</v>
      </c>
      <c r="D55" s="1" t="s">
        <v>24</v>
      </c>
      <c r="E55" s="1">
        <v>58</v>
      </c>
      <c r="F55" s="1" t="s">
        <v>50</v>
      </c>
      <c r="G55" s="1" t="s">
        <v>108</v>
      </c>
      <c r="H55" s="1" t="s">
        <v>210</v>
      </c>
      <c r="I55" s="1">
        <v>109960</v>
      </c>
      <c r="J55" s="1" t="s">
        <v>65</v>
      </c>
      <c r="K55" s="1" t="s">
        <v>211</v>
      </c>
      <c r="L55" s="1" t="s">
        <v>36</v>
      </c>
      <c r="M55" s="1" t="str">
        <f>VLOOKUP(F55,Departments!$A$2:$C$6,2,0)</f>
        <v>Finance</v>
      </c>
      <c r="N55" s="1" t="str">
        <f>INDEX(Departments!$B:$B,MATCH(Employees!F55,Departments!$A:$A,0))</f>
        <v>Finance</v>
      </c>
    </row>
    <row r="56" spans="1:14" x14ac:dyDescent="0.3">
      <c r="A56" s="1" t="s">
        <v>212</v>
      </c>
      <c r="B56" s="1" t="s">
        <v>71</v>
      </c>
      <c r="C56" s="1" t="s">
        <v>165</v>
      </c>
      <c r="D56" s="1" t="s">
        <v>24</v>
      </c>
      <c r="E56" s="1">
        <v>42</v>
      </c>
      <c r="F56" s="1" t="s">
        <v>50</v>
      </c>
      <c r="G56" s="1" t="s">
        <v>26</v>
      </c>
      <c r="H56" s="1" t="s">
        <v>213</v>
      </c>
      <c r="I56" s="1">
        <v>83308</v>
      </c>
      <c r="J56" s="1" t="s">
        <v>60</v>
      </c>
      <c r="K56" s="1" t="s">
        <v>214</v>
      </c>
      <c r="L56" s="1" t="s">
        <v>36</v>
      </c>
      <c r="M56" s="1" t="str">
        <f>VLOOKUP(F56,Departments!$A$2:$C$6,2,0)</f>
        <v>Finance</v>
      </c>
      <c r="N56" s="1" t="str">
        <f>INDEX(Departments!$B:$B,MATCH(Employees!F56,Departments!$A:$A,0))</f>
        <v>Finance</v>
      </c>
    </row>
    <row r="57" spans="1:14" x14ac:dyDescent="0.3">
      <c r="A57" s="1" t="s">
        <v>215</v>
      </c>
      <c r="B57" s="1" t="s">
        <v>71</v>
      </c>
      <c r="C57" s="1" t="s">
        <v>45</v>
      </c>
      <c r="D57" s="1" t="s">
        <v>24</v>
      </c>
      <c r="E57" s="1">
        <v>26</v>
      </c>
      <c r="F57" s="1" t="s">
        <v>50</v>
      </c>
      <c r="G57" s="1" t="s">
        <v>108</v>
      </c>
      <c r="H57" s="1" t="s">
        <v>216</v>
      </c>
      <c r="I57" s="1">
        <v>44078</v>
      </c>
      <c r="J57" s="1" t="s">
        <v>65</v>
      </c>
      <c r="K57" s="1" t="s">
        <v>217</v>
      </c>
      <c r="L57" s="1" t="s">
        <v>36</v>
      </c>
      <c r="M57" s="1" t="str">
        <f>VLOOKUP(F57,Departments!$A$2:$C$6,2,0)</f>
        <v>Finance</v>
      </c>
      <c r="N57" s="1" t="str">
        <f>INDEX(Departments!$B:$B,MATCH(Employees!F57,Departments!$A:$A,0))</f>
        <v>Finance</v>
      </c>
    </row>
    <row r="58" spans="1:14" x14ac:dyDescent="0.3">
      <c r="A58" s="1" t="s">
        <v>218</v>
      </c>
      <c r="B58" s="1" t="s">
        <v>30</v>
      </c>
      <c r="C58" s="1" t="s">
        <v>63</v>
      </c>
      <c r="D58" s="1" t="s">
        <v>24</v>
      </c>
      <c r="E58" s="1">
        <v>32</v>
      </c>
      <c r="F58" s="1" t="s">
        <v>16</v>
      </c>
      <c r="G58" s="1" t="s">
        <v>26</v>
      </c>
      <c r="H58" s="1" t="s">
        <v>219</v>
      </c>
      <c r="I58" s="1">
        <v>60444</v>
      </c>
      <c r="J58" s="1" t="s">
        <v>65</v>
      </c>
      <c r="K58" s="1" t="s">
        <v>220</v>
      </c>
      <c r="L58" s="1" t="s">
        <v>36</v>
      </c>
      <c r="M58" s="1" t="str">
        <f>VLOOKUP(F58,Departments!$A$2:$C$6,2,0)</f>
        <v>HR</v>
      </c>
      <c r="N58" s="1" t="str">
        <f>INDEX(Departments!$B:$B,MATCH(Employees!F58,Departments!$A:$A,0))</f>
        <v>HR</v>
      </c>
    </row>
    <row r="59" spans="1:14" x14ac:dyDescent="0.3">
      <c r="A59" s="1" t="s">
        <v>221</v>
      </c>
      <c r="B59" s="1" t="s">
        <v>58</v>
      </c>
      <c r="C59" s="1" t="s">
        <v>78</v>
      </c>
      <c r="D59" s="1" t="s">
        <v>24</v>
      </c>
      <c r="E59" s="1">
        <v>26</v>
      </c>
      <c r="F59" s="1" t="s">
        <v>31</v>
      </c>
      <c r="G59" s="1" t="s">
        <v>26</v>
      </c>
      <c r="H59" s="1" t="s">
        <v>222</v>
      </c>
      <c r="I59" s="1">
        <v>37951</v>
      </c>
      <c r="J59" s="1" t="s">
        <v>34</v>
      </c>
      <c r="K59" s="1" t="s">
        <v>223</v>
      </c>
      <c r="L59" s="1" t="s">
        <v>36</v>
      </c>
      <c r="M59" s="1" t="str">
        <f>VLOOKUP(F59,Departments!$A$2:$C$6,2,0)</f>
        <v>Sales</v>
      </c>
      <c r="N59" s="1" t="str">
        <f>INDEX(Departments!$B:$B,MATCH(Employees!F59,Departments!$A:$A,0))</f>
        <v>Sales</v>
      </c>
    </row>
    <row r="60" spans="1:14" x14ac:dyDescent="0.3">
      <c r="A60" s="1" t="s">
        <v>224</v>
      </c>
      <c r="B60" s="1" t="s">
        <v>71</v>
      </c>
      <c r="C60" s="1" t="s">
        <v>130</v>
      </c>
      <c r="D60" s="1" t="s">
        <v>24</v>
      </c>
      <c r="E60" s="1">
        <v>36</v>
      </c>
      <c r="F60" s="1" t="s">
        <v>50</v>
      </c>
      <c r="G60" s="1" t="s">
        <v>26</v>
      </c>
      <c r="H60" s="1" t="s">
        <v>225</v>
      </c>
      <c r="I60" s="1">
        <v>88790</v>
      </c>
      <c r="J60" s="1" t="s">
        <v>80</v>
      </c>
      <c r="K60" s="1" t="s">
        <v>226</v>
      </c>
      <c r="L60" s="1" t="s">
        <v>36</v>
      </c>
      <c r="M60" s="1" t="str">
        <f>VLOOKUP(F60,Departments!$A$2:$C$6,2,0)</f>
        <v>Finance</v>
      </c>
      <c r="N60" s="1" t="str">
        <f>INDEX(Departments!$B:$B,MATCH(Employees!F60,Departments!$A:$A,0))</f>
        <v>Finance</v>
      </c>
    </row>
    <row r="61" spans="1:14" x14ac:dyDescent="0.3">
      <c r="A61" s="1" t="s">
        <v>227</v>
      </c>
      <c r="B61" s="1" t="s">
        <v>38</v>
      </c>
      <c r="C61" s="1" t="s">
        <v>63</v>
      </c>
      <c r="D61" s="1" t="s">
        <v>24</v>
      </c>
      <c r="E61" s="1">
        <v>50</v>
      </c>
      <c r="F61" s="1" t="s">
        <v>50</v>
      </c>
      <c r="G61" s="1" t="s">
        <v>32</v>
      </c>
      <c r="H61" s="1" t="s">
        <v>228</v>
      </c>
      <c r="I61" s="1">
        <v>119530</v>
      </c>
      <c r="J61" s="1" t="s">
        <v>19</v>
      </c>
      <c r="K61" s="1" t="s">
        <v>229</v>
      </c>
      <c r="L61" s="1" t="s">
        <v>36</v>
      </c>
      <c r="M61" s="1" t="str">
        <f>VLOOKUP(F61,Departments!$A$2:$C$6,2,0)</f>
        <v>Finance</v>
      </c>
      <c r="N61" s="1" t="str">
        <f>INDEX(Departments!$B:$B,MATCH(Employees!F61,Departments!$A:$A,0))</f>
        <v>Finance</v>
      </c>
    </row>
    <row r="62" spans="1:14" x14ac:dyDescent="0.3">
      <c r="A62" s="1" t="s">
        <v>230</v>
      </c>
      <c r="B62" s="1" t="s">
        <v>143</v>
      </c>
      <c r="C62" s="1" t="s">
        <v>78</v>
      </c>
      <c r="D62" s="1" t="s">
        <v>15</v>
      </c>
      <c r="E62" s="1">
        <v>30</v>
      </c>
      <c r="F62" s="1" t="s">
        <v>16</v>
      </c>
      <c r="G62" s="1" t="s">
        <v>108</v>
      </c>
      <c r="H62" s="1" t="s">
        <v>231</v>
      </c>
      <c r="I62" s="1">
        <v>72048</v>
      </c>
      <c r="J62" s="1" t="s">
        <v>65</v>
      </c>
      <c r="K62" s="1" t="s">
        <v>232</v>
      </c>
      <c r="L62" s="1" t="s">
        <v>36</v>
      </c>
      <c r="M62" s="1" t="str">
        <f>VLOOKUP(F62,Departments!$A$2:$C$6,2,0)</f>
        <v>HR</v>
      </c>
      <c r="N62" s="1" t="str">
        <f>INDEX(Departments!$B:$B,MATCH(Employees!F62,Departments!$A:$A,0))</f>
        <v>HR</v>
      </c>
    </row>
    <row r="63" spans="1:14" x14ac:dyDescent="0.3">
      <c r="A63" s="1" t="s">
        <v>233</v>
      </c>
      <c r="B63" s="1" t="s">
        <v>54</v>
      </c>
      <c r="C63" s="1" t="s">
        <v>90</v>
      </c>
      <c r="D63" s="1" t="s">
        <v>24</v>
      </c>
      <c r="E63" s="1">
        <v>33</v>
      </c>
      <c r="F63" s="1" t="s">
        <v>31</v>
      </c>
      <c r="G63" s="1" t="s">
        <v>32</v>
      </c>
      <c r="H63" s="1" t="s">
        <v>234</v>
      </c>
      <c r="I63" s="1">
        <v>76700</v>
      </c>
      <c r="J63" s="1" t="s">
        <v>60</v>
      </c>
      <c r="K63" s="1" t="s">
        <v>235</v>
      </c>
      <c r="L63" s="1" t="s">
        <v>36</v>
      </c>
      <c r="M63" s="1" t="str">
        <f>VLOOKUP(F63,Departments!$A$2:$C$6,2,0)</f>
        <v>Sales</v>
      </c>
      <c r="N63" s="1" t="str">
        <f>INDEX(Departments!$B:$B,MATCH(Employees!F63,Departments!$A:$A,0))</f>
        <v>Sales</v>
      </c>
    </row>
    <row r="64" spans="1:14" x14ac:dyDescent="0.3">
      <c r="A64" s="1" t="s">
        <v>236</v>
      </c>
      <c r="B64" s="1" t="s">
        <v>71</v>
      </c>
      <c r="C64" s="1" t="s">
        <v>130</v>
      </c>
      <c r="D64" s="1" t="s">
        <v>24</v>
      </c>
      <c r="E64" s="1">
        <v>22</v>
      </c>
      <c r="F64" s="1" t="s">
        <v>16</v>
      </c>
      <c r="G64" s="1" t="s">
        <v>40</v>
      </c>
      <c r="H64" s="1" t="s">
        <v>237</v>
      </c>
      <c r="I64" s="1">
        <v>86315</v>
      </c>
      <c r="J64" s="1" t="s">
        <v>60</v>
      </c>
      <c r="K64" s="1" t="s">
        <v>238</v>
      </c>
      <c r="L64" s="1" t="s">
        <v>36</v>
      </c>
      <c r="M64" s="1" t="str">
        <f>VLOOKUP(F64,Departments!$A$2:$C$6,2,0)</f>
        <v>HR</v>
      </c>
      <c r="N64" s="1" t="str">
        <f>INDEX(Departments!$B:$B,MATCH(Employees!F64,Departments!$A:$A,0))</f>
        <v>HR</v>
      </c>
    </row>
    <row r="65" spans="1:14" x14ac:dyDescent="0.3">
      <c r="A65" s="1" t="s">
        <v>239</v>
      </c>
      <c r="B65" s="1" t="s">
        <v>38</v>
      </c>
      <c r="C65" s="1" t="s">
        <v>83</v>
      </c>
      <c r="D65" s="1" t="s">
        <v>15</v>
      </c>
      <c r="E65" s="1">
        <v>49</v>
      </c>
      <c r="F65" s="1" t="s">
        <v>50</v>
      </c>
      <c r="G65" s="1" t="s">
        <v>32</v>
      </c>
      <c r="H65" s="1" t="s">
        <v>240</v>
      </c>
      <c r="I65" s="1">
        <v>85454</v>
      </c>
      <c r="J65" s="1" t="s">
        <v>34</v>
      </c>
      <c r="K65" s="1" t="s">
        <v>241</v>
      </c>
      <c r="L65" s="1" t="s">
        <v>21</v>
      </c>
      <c r="M65" s="1" t="str">
        <f>VLOOKUP(F65,Departments!$A$2:$C$6,2,0)</f>
        <v>Finance</v>
      </c>
      <c r="N65" s="1" t="str">
        <f>INDEX(Departments!$B:$B,MATCH(Employees!F65,Departments!$A:$A,0))</f>
        <v>Finance</v>
      </c>
    </row>
    <row r="66" spans="1:14" x14ac:dyDescent="0.3">
      <c r="A66" s="1" t="s">
        <v>242</v>
      </c>
      <c r="B66" s="1" t="s">
        <v>30</v>
      </c>
      <c r="C66" s="1" t="s">
        <v>90</v>
      </c>
      <c r="D66" s="1" t="s">
        <v>24</v>
      </c>
      <c r="E66" s="1">
        <v>31</v>
      </c>
      <c r="F66" s="1" t="s">
        <v>16</v>
      </c>
      <c r="G66" s="1" t="s">
        <v>32</v>
      </c>
      <c r="H66" s="1" t="s">
        <v>243</v>
      </c>
      <c r="I66" s="1">
        <v>83281</v>
      </c>
      <c r="J66" s="1" t="s">
        <v>60</v>
      </c>
      <c r="K66" s="1" t="s">
        <v>244</v>
      </c>
      <c r="L66" s="1" t="s">
        <v>36</v>
      </c>
      <c r="M66" s="1" t="str">
        <f>VLOOKUP(F66,Departments!$A$2:$C$6,2,0)</f>
        <v>HR</v>
      </c>
      <c r="N66" s="1" t="str">
        <f>INDEX(Departments!$B:$B,MATCH(Employees!F66,Departments!$A:$A,0))</f>
        <v>HR</v>
      </c>
    </row>
    <row r="67" spans="1:14" x14ac:dyDescent="0.3">
      <c r="A67" s="1" t="s">
        <v>245</v>
      </c>
      <c r="B67" s="1" t="s">
        <v>58</v>
      </c>
      <c r="C67" s="1" t="s">
        <v>165</v>
      </c>
      <c r="D67" s="1" t="s">
        <v>15</v>
      </c>
      <c r="E67" s="1">
        <v>31</v>
      </c>
      <c r="F67" s="1" t="s">
        <v>16</v>
      </c>
      <c r="G67" s="1" t="s">
        <v>40</v>
      </c>
      <c r="H67" s="1" t="s">
        <v>246</v>
      </c>
      <c r="I67" s="1">
        <v>44531</v>
      </c>
      <c r="J67" s="1" t="s">
        <v>34</v>
      </c>
      <c r="K67" s="1" t="s">
        <v>247</v>
      </c>
      <c r="L67" s="1" t="s">
        <v>21</v>
      </c>
      <c r="M67" s="1" t="str">
        <f>VLOOKUP(F67,Departments!$A$2:$C$6,2,0)</f>
        <v>HR</v>
      </c>
      <c r="N67" s="1" t="str">
        <f>INDEX(Departments!$B:$B,MATCH(Employees!F67,Departments!$A:$A,0))</f>
        <v>HR</v>
      </c>
    </row>
    <row r="68" spans="1:14" x14ac:dyDescent="0.3">
      <c r="A68" s="1" t="s">
        <v>248</v>
      </c>
      <c r="B68" s="1" t="s">
        <v>38</v>
      </c>
      <c r="C68" s="1" t="s">
        <v>130</v>
      </c>
      <c r="D68" s="1" t="s">
        <v>24</v>
      </c>
      <c r="E68" s="1">
        <v>36</v>
      </c>
      <c r="F68" s="1" t="s">
        <v>31</v>
      </c>
      <c r="G68" s="1" t="s">
        <v>17</v>
      </c>
      <c r="H68" s="1" t="s">
        <v>249</v>
      </c>
      <c r="I68" s="1">
        <v>44990</v>
      </c>
      <c r="J68" s="1" t="s">
        <v>80</v>
      </c>
      <c r="K68" s="1" t="s">
        <v>250</v>
      </c>
      <c r="L68" s="1" t="s">
        <v>21</v>
      </c>
      <c r="M68" s="1" t="str">
        <f>VLOOKUP(F68,Departments!$A$2:$C$6,2,0)</f>
        <v>Sales</v>
      </c>
      <c r="N68" s="1" t="str">
        <f>INDEX(Departments!$B:$B,MATCH(Employees!F68,Departments!$A:$A,0))</f>
        <v>Sales</v>
      </c>
    </row>
    <row r="69" spans="1:14" x14ac:dyDescent="0.3">
      <c r="A69" s="1" t="s">
        <v>251</v>
      </c>
      <c r="B69" s="1" t="s">
        <v>44</v>
      </c>
      <c r="C69" s="1" t="s">
        <v>23</v>
      </c>
      <c r="D69" s="1" t="s">
        <v>15</v>
      </c>
      <c r="E69" s="1">
        <v>34</v>
      </c>
      <c r="F69" s="1" t="s">
        <v>16</v>
      </c>
      <c r="G69" s="1" t="s">
        <v>32</v>
      </c>
      <c r="H69" s="1" t="s">
        <v>252</v>
      </c>
      <c r="I69" s="1">
        <v>39110</v>
      </c>
      <c r="J69" s="1" t="s">
        <v>34</v>
      </c>
      <c r="K69" s="1" t="s">
        <v>253</v>
      </c>
      <c r="L69" s="1" t="s">
        <v>36</v>
      </c>
      <c r="M69" s="1" t="str">
        <f>VLOOKUP(F69,Departments!$A$2:$C$6,2,0)</f>
        <v>HR</v>
      </c>
      <c r="N69" s="1" t="str">
        <f>INDEX(Departments!$B:$B,MATCH(Employees!F69,Departments!$A:$A,0))</f>
        <v>HR</v>
      </c>
    </row>
    <row r="70" spans="1:14" x14ac:dyDescent="0.3">
      <c r="A70" s="1" t="s">
        <v>254</v>
      </c>
      <c r="B70" s="1" t="s">
        <v>13</v>
      </c>
      <c r="C70" s="1" t="s">
        <v>45</v>
      </c>
      <c r="D70" s="1" t="s">
        <v>24</v>
      </c>
      <c r="E70" s="1">
        <v>35</v>
      </c>
      <c r="F70" s="1" t="s">
        <v>50</v>
      </c>
      <c r="G70" s="1" t="s">
        <v>40</v>
      </c>
      <c r="H70" s="1" t="s">
        <v>255</v>
      </c>
      <c r="I70" s="1">
        <v>60760</v>
      </c>
      <c r="J70" s="1" t="s">
        <v>80</v>
      </c>
      <c r="K70" s="1" t="s">
        <v>256</v>
      </c>
      <c r="L70" s="1" t="s">
        <v>36</v>
      </c>
      <c r="M70" s="1" t="str">
        <f>VLOOKUP(F70,Departments!$A$2:$C$6,2,0)</f>
        <v>Finance</v>
      </c>
      <c r="N70" s="1" t="str">
        <f>INDEX(Departments!$B:$B,MATCH(Employees!F70,Departments!$A:$A,0))</f>
        <v>Finance</v>
      </c>
    </row>
    <row r="71" spans="1:14" x14ac:dyDescent="0.3">
      <c r="A71" s="1" t="s">
        <v>257</v>
      </c>
      <c r="B71" s="1" t="s">
        <v>38</v>
      </c>
      <c r="C71" s="1" t="s">
        <v>90</v>
      </c>
      <c r="D71" s="1" t="s">
        <v>15</v>
      </c>
      <c r="E71" s="1">
        <v>27</v>
      </c>
      <c r="F71" s="1" t="s">
        <v>31</v>
      </c>
      <c r="G71" s="1" t="s">
        <v>26</v>
      </c>
      <c r="H71" s="1" t="s">
        <v>258</v>
      </c>
      <c r="I71" s="1">
        <v>118796</v>
      </c>
      <c r="J71" s="1" t="s">
        <v>60</v>
      </c>
      <c r="K71" s="1" t="s">
        <v>259</v>
      </c>
      <c r="L71" s="1" t="s">
        <v>36</v>
      </c>
      <c r="M71" s="1" t="str">
        <f>VLOOKUP(F71,Departments!$A$2:$C$6,2,0)</f>
        <v>Sales</v>
      </c>
      <c r="N71" s="1" t="str">
        <f>INDEX(Departments!$B:$B,MATCH(Employees!F71,Departments!$A:$A,0))</f>
        <v>Sales</v>
      </c>
    </row>
    <row r="72" spans="1:14" x14ac:dyDescent="0.3">
      <c r="A72" s="1" t="s">
        <v>260</v>
      </c>
      <c r="B72" s="1" t="s">
        <v>71</v>
      </c>
      <c r="C72" s="1" t="s">
        <v>90</v>
      </c>
      <c r="D72" s="1" t="s">
        <v>15</v>
      </c>
      <c r="E72" s="1">
        <v>49</v>
      </c>
      <c r="F72" s="1" t="s">
        <v>31</v>
      </c>
      <c r="G72" s="1" t="s">
        <v>17</v>
      </c>
      <c r="H72" s="1" t="s">
        <v>261</v>
      </c>
      <c r="I72" s="1">
        <v>88225</v>
      </c>
      <c r="J72" s="1" t="s">
        <v>34</v>
      </c>
      <c r="K72" s="1" t="s">
        <v>262</v>
      </c>
      <c r="L72" s="1" t="s">
        <v>21</v>
      </c>
      <c r="M72" s="1" t="str">
        <f>VLOOKUP(F72,Departments!$A$2:$C$6,2,0)</f>
        <v>Sales</v>
      </c>
      <c r="N72" s="1" t="str">
        <f>INDEX(Departments!$B:$B,MATCH(Employees!F72,Departments!$A:$A,0))</f>
        <v>Sales</v>
      </c>
    </row>
    <row r="73" spans="1:14" x14ac:dyDescent="0.3">
      <c r="A73" s="1" t="s">
        <v>263</v>
      </c>
      <c r="B73" s="1" t="s">
        <v>49</v>
      </c>
      <c r="C73" s="1" t="s">
        <v>90</v>
      </c>
      <c r="D73" s="1" t="s">
        <v>15</v>
      </c>
      <c r="E73" s="1">
        <v>22</v>
      </c>
      <c r="F73" s="1" t="s">
        <v>31</v>
      </c>
      <c r="G73" s="1" t="s">
        <v>108</v>
      </c>
      <c r="H73" s="1" t="s">
        <v>264</v>
      </c>
      <c r="I73" s="1">
        <v>64891</v>
      </c>
      <c r="J73" s="1" t="s">
        <v>65</v>
      </c>
      <c r="K73" s="1" t="s">
        <v>265</v>
      </c>
      <c r="L73" s="1" t="s">
        <v>21</v>
      </c>
      <c r="M73" s="1" t="str">
        <f>VLOOKUP(F73,Departments!$A$2:$C$6,2,0)</f>
        <v>Sales</v>
      </c>
      <c r="N73" s="1" t="str">
        <f>INDEX(Departments!$B:$B,MATCH(Employees!F73,Departments!$A:$A,0))</f>
        <v>Sales</v>
      </c>
    </row>
    <row r="74" spans="1:14" x14ac:dyDescent="0.3">
      <c r="A74" s="1" t="s">
        <v>266</v>
      </c>
      <c r="B74" s="1" t="s">
        <v>44</v>
      </c>
      <c r="C74" s="1" t="s">
        <v>45</v>
      </c>
      <c r="D74" s="1" t="s">
        <v>24</v>
      </c>
      <c r="E74" s="1">
        <v>48</v>
      </c>
      <c r="F74" s="1" t="s">
        <v>50</v>
      </c>
      <c r="G74" s="1" t="s">
        <v>32</v>
      </c>
      <c r="H74" s="1" t="s">
        <v>267</v>
      </c>
      <c r="I74" s="1">
        <v>72035</v>
      </c>
      <c r="J74" s="1" t="s">
        <v>19</v>
      </c>
      <c r="K74" s="1" t="s">
        <v>268</v>
      </c>
      <c r="L74" s="1" t="s">
        <v>21</v>
      </c>
      <c r="M74" s="1" t="str">
        <f>VLOOKUP(F74,Departments!$A$2:$C$6,2,0)</f>
        <v>Finance</v>
      </c>
      <c r="N74" s="1" t="str">
        <f>INDEX(Departments!$B:$B,MATCH(Employees!F74,Departments!$A:$A,0))</f>
        <v>Finance</v>
      </c>
    </row>
    <row r="75" spans="1:14" x14ac:dyDescent="0.3">
      <c r="A75" s="1" t="s">
        <v>269</v>
      </c>
      <c r="B75" s="1" t="s">
        <v>13</v>
      </c>
      <c r="C75" s="1" t="s">
        <v>130</v>
      </c>
      <c r="D75" s="1" t="s">
        <v>24</v>
      </c>
      <c r="E75" s="1">
        <v>30</v>
      </c>
      <c r="F75" s="1" t="s">
        <v>16</v>
      </c>
      <c r="G75" s="1" t="s">
        <v>17</v>
      </c>
      <c r="H75" s="1" t="s">
        <v>270</v>
      </c>
      <c r="I75" s="1">
        <v>50545</v>
      </c>
      <c r="J75" s="1" t="s">
        <v>80</v>
      </c>
      <c r="K75" s="1" t="s">
        <v>271</v>
      </c>
      <c r="L75" s="1" t="s">
        <v>21</v>
      </c>
      <c r="M75" s="1" t="str">
        <f>VLOOKUP(F75,Departments!$A$2:$C$6,2,0)</f>
        <v>HR</v>
      </c>
      <c r="N75" s="1" t="str">
        <f>INDEX(Departments!$B:$B,MATCH(Employees!F75,Departments!$A:$A,0))</f>
        <v>HR</v>
      </c>
    </row>
    <row r="76" spans="1:14" x14ac:dyDescent="0.3">
      <c r="A76" s="1" t="s">
        <v>272</v>
      </c>
      <c r="B76" s="1" t="s">
        <v>143</v>
      </c>
      <c r="C76" s="1" t="s">
        <v>23</v>
      </c>
      <c r="D76" s="1" t="s">
        <v>24</v>
      </c>
      <c r="E76" s="1">
        <v>36</v>
      </c>
      <c r="F76" s="1" t="s">
        <v>16</v>
      </c>
      <c r="G76" s="1" t="s">
        <v>32</v>
      </c>
      <c r="H76" s="1" t="s">
        <v>273</v>
      </c>
      <c r="I76" s="1">
        <v>79385</v>
      </c>
      <c r="J76" s="1" t="s">
        <v>34</v>
      </c>
      <c r="K76" s="1" t="s">
        <v>274</v>
      </c>
      <c r="L76" s="1" t="s">
        <v>21</v>
      </c>
      <c r="M76" s="1" t="str">
        <f>VLOOKUP(F76,Departments!$A$2:$C$6,2,0)</f>
        <v>HR</v>
      </c>
      <c r="N76" s="1" t="str">
        <f>INDEX(Departments!$B:$B,MATCH(Employees!F76,Departments!$A:$A,0))</f>
        <v>HR</v>
      </c>
    </row>
    <row r="77" spans="1:14" x14ac:dyDescent="0.3">
      <c r="A77" s="1" t="s">
        <v>275</v>
      </c>
      <c r="B77" s="1" t="s">
        <v>54</v>
      </c>
      <c r="C77" s="1" t="s">
        <v>14</v>
      </c>
      <c r="D77" s="1" t="s">
        <v>15</v>
      </c>
      <c r="E77" s="1">
        <v>52</v>
      </c>
      <c r="F77" s="1" t="s">
        <v>50</v>
      </c>
      <c r="G77" s="1" t="s">
        <v>32</v>
      </c>
      <c r="H77" s="1" t="s">
        <v>276</v>
      </c>
      <c r="I77" s="1">
        <v>48744</v>
      </c>
      <c r="J77" s="1" t="s">
        <v>65</v>
      </c>
      <c r="K77" s="1" t="s">
        <v>277</v>
      </c>
      <c r="L77" s="1" t="s">
        <v>36</v>
      </c>
      <c r="M77" s="1" t="str">
        <f>VLOOKUP(F77,Departments!$A$2:$C$6,2,0)</f>
        <v>Finance</v>
      </c>
      <c r="N77" s="1" t="str">
        <f>INDEX(Departments!$B:$B,MATCH(Employees!F77,Departments!$A:$A,0))</f>
        <v>Finance</v>
      </c>
    </row>
    <row r="78" spans="1:14" x14ac:dyDescent="0.3">
      <c r="A78" s="1" t="s">
        <v>278</v>
      </c>
      <c r="B78" s="1" t="s">
        <v>143</v>
      </c>
      <c r="C78" s="1" t="s">
        <v>95</v>
      </c>
      <c r="D78" s="1" t="s">
        <v>24</v>
      </c>
      <c r="E78" s="1">
        <v>53</v>
      </c>
      <c r="F78" s="1" t="s">
        <v>25</v>
      </c>
      <c r="G78" s="1" t="s">
        <v>108</v>
      </c>
      <c r="H78" s="1" t="s">
        <v>279</v>
      </c>
      <c r="I78" s="1">
        <v>48865</v>
      </c>
      <c r="J78" s="1" t="s">
        <v>60</v>
      </c>
      <c r="K78" s="1" t="s">
        <v>280</v>
      </c>
      <c r="L78" s="1" t="s">
        <v>21</v>
      </c>
      <c r="M78" s="1" t="str">
        <f>VLOOKUP(F78,Departments!$A$2:$C$6,2,0)</f>
        <v>IT</v>
      </c>
      <c r="N78" s="1" t="str">
        <f>INDEX(Departments!$B:$B,MATCH(Employees!F78,Departments!$A:$A,0))</f>
        <v>IT</v>
      </c>
    </row>
    <row r="79" spans="1:14" x14ac:dyDescent="0.3">
      <c r="A79" s="1" t="s">
        <v>281</v>
      </c>
      <c r="B79" s="1" t="s">
        <v>49</v>
      </c>
      <c r="C79" s="1" t="s">
        <v>63</v>
      </c>
      <c r="D79" s="1" t="s">
        <v>15</v>
      </c>
      <c r="E79" s="1">
        <v>53</v>
      </c>
      <c r="F79" s="1" t="s">
        <v>50</v>
      </c>
      <c r="G79" s="1" t="s">
        <v>17</v>
      </c>
      <c r="H79" s="1" t="s">
        <v>282</v>
      </c>
      <c r="I79" s="1">
        <v>73437</v>
      </c>
      <c r="J79" s="1" t="s">
        <v>65</v>
      </c>
      <c r="K79" s="1" t="s">
        <v>283</v>
      </c>
      <c r="L79" s="1" t="s">
        <v>36</v>
      </c>
      <c r="M79" s="1" t="str">
        <f>VLOOKUP(F79,Departments!$A$2:$C$6,2,0)</f>
        <v>Finance</v>
      </c>
      <c r="N79" s="1" t="str">
        <f>INDEX(Departments!$B:$B,MATCH(Employees!F79,Departments!$A:$A,0))</f>
        <v>Finance</v>
      </c>
    </row>
    <row r="80" spans="1:14" x14ac:dyDescent="0.3">
      <c r="A80" s="1" t="s">
        <v>284</v>
      </c>
      <c r="B80" s="1" t="s">
        <v>54</v>
      </c>
      <c r="C80" s="1" t="s">
        <v>165</v>
      </c>
      <c r="D80" s="1" t="s">
        <v>15</v>
      </c>
      <c r="E80" s="1">
        <v>25</v>
      </c>
      <c r="F80" s="1" t="s">
        <v>39</v>
      </c>
      <c r="G80" s="1" t="s">
        <v>17</v>
      </c>
      <c r="H80" s="1" t="s">
        <v>285</v>
      </c>
      <c r="I80" s="1">
        <v>75232</v>
      </c>
      <c r="J80" s="1" t="s">
        <v>80</v>
      </c>
      <c r="K80" s="1" t="s">
        <v>286</v>
      </c>
      <c r="L80" s="1" t="s">
        <v>21</v>
      </c>
      <c r="M80" s="1" t="str">
        <f>VLOOKUP(F80,Departments!$A$2:$C$6,2,0)</f>
        <v>Marketing</v>
      </c>
      <c r="N80" s="1" t="str">
        <f>INDEX(Departments!$B:$B,MATCH(Employees!F80,Departments!$A:$A,0))</f>
        <v>Marketing</v>
      </c>
    </row>
    <row r="81" spans="1:14" x14ac:dyDescent="0.3">
      <c r="A81" s="1" t="s">
        <v>287</v>
      </c>
      <c r="B81" s="1" t="s">
        <v>71</v>
      </c>
      <c r="C81" s="1" t="s">
        <v>14</v>
      </c>
      <c r="D81" s="1" t="s">
        <v>15</v>
      </c>
      <c r="E81" s="1">
        <v>48</v>
      </c>
      <c r="F81" s="1" t="s">
        <v>31</v>
      </c>
      <c r="G81" s="1" t="s">
        <v>17</v>
      </c>
      <c r="H81" s="1" t="s">
        <v>288</v>
      </c>
      <c r="I81" s="1">
        <v>53034</v>
      </c>
      <c r="J81" s="1" t="s">
        <v>65</v>
      </c>
      <c r="K81" s="1" t="s">
        <v>289</v>
      </c>
      <c r="L81" s="1" t="s">
        <v>21</v>
      </c>
      <c r="M81" s="1" t="str">
        <f>VLOOKUP(F81,Departments!$A$2:$C$6,2,0)</f>
        <v>Sales</v>
      </c>
      <c r="N81" s="1" t="str">
        <f>INDEX(Departments!$B:$B,MATCH(Employees!F81,Departments!$A:$A,0))</f>
        <v>Sales</v>
      </c>
    </row>
    <row r="82" spans="1:14" x14ac:dyDescent="0.3">
      <c r="A82" s="1" t="s">
        <v>290</v>
      </c>
      <c r="B82" s="1" t="s">
        <v>71</v>
      </c>
      <c r="C82" s="1" t="s">
        <v>23</v>
      </c>
      <c r="D82" s="1" t="s">
        <v>24</v>
      </c>
      <c r="E82" s="1">
        <v>45</v>
      </c>
      <c r="F82" s="1" t="s">
        <v>16</v>
      </c>
      <c r="G82" s="1" t="s">
        <v>17</v>
      </c>
      <c r="H82" s="1" t="s">
        <v>291</v>
      </c>
      <c r="I82" s="1">
        <v>110168</v>
      </c>
      <c r="J82" s="1" t="s">
        <v>60</v>
      </c>
      <c r="K82" s="1" t="s">
        <v>292</v>
      </c>
      <c r="L82" s="1" t="s">
        <v>36</v>
      </c>
      <c r="M82" s="1" t="str">
        <f>VLOOKUP(F82,Departments!$A$2:$C$6,2,0)</f>
        <v>HR</v>
      </c>
      <c r="N82" s="1" t="str">
        <f>INDEX(Departments!$B:$B,MATCH(Employees!F82,Departments!$A:$A,0))</f>
        <v>HR</v>
      </c>
    </row>
    <row r="83" spans="1:14" x14ac:dyDescent="0.3">
      <c r="A83" s="1" t="s">
        <v>293</v>
      </c>
      <c r="B83" s="1" t="s">
        <v>38</v>
      </c>
      <c r="C83" s="1" t="s">
        <v>78</v>
      </c>
      <c r="D83" s="1" t="s">
        <v>15</v>
      </c>
      <c r="E83" s="1">
        <v>51</v>
      </c>
      <c r="F83" s="1" t="s">
        <v>25</v>
      </c>
      <c r="G83" s="1" t="s">
        <v>32</v>
      </c>
      <c r="H83" s="1" t="s">
        <v>294</v>
      </c>
      <c r="I83" s="1">
        <v>107488</v>
      </c>
      <c r="J83" s="1" t="s">
        <v>34</v>
      </c>
      <c r="K83" s="1" t="s">
        <v>295</v>
      </c>
      <c r="L83" s="1" t="s">
        <v>36</v>
      </c>
      <c r="M83" s="1" t="str">
        <f>VLOOKUP(F83,Departments!$A$2:$C$6,2,0)</f>
        <v>IT</v>
      </c>
      <c r="N83" s="1" t="str">
        <f>INDEX(Departments!$B:$B,MATCH(Employees!F83,Departments!$A:$A,0))</f>
        <v>IT</v>
      </c>
    </row>
    <row r="84" spans="1:14" x14ac:dyDescent="0.3">
      <c r="A84" s="1" t="s">
        <v>296</v>
      </c>
      <c r="B84" s="1" t="s">
        <v>44</v>
      </c>
      <c r="C84" s="1" t="s">
        <v>45</v>
      </c>
      <c r="D84" s="1" t="s">
        <v>15</v>
      </c>
      <c r="E84" s="1">
        <v>50</v>
      </c>
      <c r="F84" s="1" t="s">
        <v>31</v>
      </c>
      <c r="G84" s="1" t="s">
        <v>17</v>
      </c>
      <c r="H84" s="1" t="s">
        <v>297</v>
      </c>
      <c r="I84" s="1">
        <v>53754</v>
      </c>
      <c r="J84" s="1" t="s">
        <v>34</v>
      </c>
      <c r="K84" s="1" t="s">
        <v>298</v>
      </c>
      <c r="L84" s="1" t="s">
        <v>36</v>
      </c>
      <c r="M84" s="1" t="str">
        <f>VLOOKUP(F84,Departments!$A$2:$C$6,2,0)</f>
        <v>Sales</v>
      </c>
      <c r="N84" s="1" t="str">
        <f>INDEX(Departments!$B:$B,MATCH(Employees!F84,Departments!$A:$A,0))</f>
        <v>Sales</v>
      </c>
    </row>
    <row r="85" spans="1:14" x14ac:dyDescent="0.3">
      <c r="A85" s="1" t="s">
        <v>299</v>
      </c>
      <c r="B85" s="1" t="s">
        <v>94</v>
      </c>
      <c r="C85" s="1" t="s">
        <v>130</v>
      </c>
      <c r="D85" s="1" t="s">
        <v>24</v>
      </c>
      <c r="E85" s="1">
        <v>47</v>
      </c>
      <c r="F85" s="1" t="s">
        <v>16</v>
      </c>
      <c r="G85" s="1" t="s">
        <v>32</v>
      </c>
      <c r="H85" s="1" t="s">
        <v>300</v>
      </c>
      <c r="I85" s="1">
        <v>99891</v>
      </c>
      <c r="J85" s="1" t="s">
        <v>34</v>
      </c>
      <c r="K85" s="1" t="s">
        <v>301</v>
      </c>
      <c r="L85" s="1" t="s">
        <v>36</v>
      </c>
      <c r="M85" s="1" t="str">
        <f>VLOOKUP(F85,Departments!$A$2:$C$6,2,0)</f>
        <v>HR</v>
      </c>
      <c r="N85" s="1" t="str">
        <f>INDEX(Departments!$B:$B,MATCH(Employees!F85,Departments!$A:$A,0))</f>
        <v>HR</v>
      </c>
    </row>
    <row r="86" spans="1:14" x14ac:dyDescent="0.3">
      <c r="A86" s="1" t="s">
        <v>302</v>
      </c>
      <c r="B86" s="1" t="s">
        <v>54</v>
      </c>
      <c r="C86" s="1" t="s">
        <v>90</v>
      </c>
      <c r="D86" s="1" t="s">
        <v>24</v>
      </c>
      <c r="E86" s="1">
        <v>37</v>
      </c>
      <c r="F86" s="1" t="s">
        <v>31</v>
      </c>
      <c r="G86" s="1" t="s">
        <v>26</v>
      </c>
      <c r="H86" s="1" t="s">
        <v>303</v>
      </c>
      <c r="I86" s="1">
        <v>109363</v>
      </c>
      <c r="J86" s="1" t="s">
        <v>60</v>
      </c>
      <c r="K86" s="1" t="s">
        <v>304</v>
      </c>
      <c r="L86" s="1" t="s">
        <v>36</v>
      </c>
      <c r="M86" s="1" t="str">
        <f>VLOOKUP(F86,Departments!$A$2:$C$6,2,0)</f>
        <v>Sales</v>
      </c>
      <c r="N86" s="1" t="str">
        <f>INDEX(Departments!$B:$B,MATCH(Employees!F86,Departments!$A:$A,0))</f>
        <v>Sales</v>
      </c>
    </row>
    <row r="87" spans="1:14" x14ac:dyDescent="0.3">
      <c r="A87" s="1" t="s">
        <v>305</v>
      </c>
      <c r="B87" s="1" t="s">
        <v>58</v>
      </c>
      <c r="C87" s="1" t="s">
        <v>78</v>
      </c>
      <c r="D87" s="1" t="s">
        <v>24</v>
      </c>
      <c r="E87" s="1">
        <v>26</v>
      </c>
      <c r="F87" s="1" t="s">
        <v>39</v>
      </c>
      <c r="G87" s="1" t="s">
        <v>40</v>
      </c>
      <c r="H87" s="1" t="s">
        <v>144</v>
      </c>
      <c r="I87" s="1">
        <v>57248</v>
      </c>
      <c r="J87" s="1" t="s">
        <v>19</v>
      </c>
      <c r="K87" s="1" t="s">
        <v>306</v>
      </c>
      <c r="L87" s="1" t="s">
        <v>21</v>
      </c>
      <c r="M87" s="1" t="str">
        <f>VLOOKUP(F87,Departments!$A$2:$C$6,2,0)</f>
        <v>Marketing</v>
      </c>
      <c r="N87" s="1" t="str">
        <f>INDEX(Departments!$B:$B,MATCH(Employees!F87,Departments!$A:$A,0))</f>
        <v>Marketing</v>
      </c>
    </row>
    <row r="88" spans="1:14" x14ac:dyDescent="0.3">
      <c r="A88" s="1" t="s">
        <v>307</v>
      </c>
      <c r="B88" s="1" t="s">
        <v>44</v>
      </c>
      <c r="C88" s="1" t="s">
        <v>95</v>
      </c>
      <c r="D88" s="1" t="s">
        <v>15</v>
      </c>
      <c r="E88" s="1">
        <v>28</v>
      </c>
      <c r="F88" s="1" t="s">
        <v>50</v>
      </c>
      <c r="G88" s="1" t="s">
        <v>108</v>
      </c>
      <c r="H88" s="1" t="s">
        <v>308</v>
      </c>
      <c r="I88" s="1">
        <v>89625</v>
      </c>
      <c r="J88" s="1" t="s">
        <v>60</v>
      </c>
      <c r="K88" s="1" t="s">
        <v>309</v>
      </c>
      <c r="L88" s="1" t="s">
        <v>36</v>
      </c>
      <c r="M88" s="1" t="str">
        <f>VLOOKUP(F88,Departments!$A$2:$C$6,2,0)</f>
        <v>Finance</v>
      </c>
      <c r="N88" s="1" t="str">
        <f>INDEX(Departments!$B:$B,MATCH(Employees!F88,Departments!$A:$A,0))</f>
        <v>Finance</v>
      </c>
    </row>
    <row r="89" spans="1:14" x14ac:dyDescent="0.3">
      <c r="A89" s="1" t="s">
        <v>310</v>
      </c>
      <c r="B89" s="1" t="s">
        <v>49</v>
      </c>
      <c r="C89" s="1" t="s">
        <v>45</v>
      </c>
      <c r="D89" s="1" t="s">
        <v>15</v>
      </c>
      <c r="E89" s="1">
        <v>44</v>
      </c>
      <c r="F89" s="1" t="s">
        <v>39</v>
      </c>
      <c r="G89" s="1" t="s">
        <v>17</v>
      </c>
      <c r="H89" s="1" t="s">
        <v>311</v>
      </c>
      <c r="I89" s="1">
        <v>104211</v>
      </c>
      <c r="J89" s="1" t="s">
        <v>65</v>
      </c>
      <c r="K89" s="1" t="s">
        <v>312</v>
      </c>
      <c r="L89" s="1" t="s">
        <v>36</v>
      </c>
      <c r="M89" s="1" t="str">
        <f>VLOOKUP(F89,Departments!$A$2:$C$6,2,0)</f>
        <v>Marketing</v>
      </c>
      <c r="N89" s="1" t="str">
        <f>INDEX(Departments!$B:$B,MATCH(Employees!F89,Departments!$A:$A,0))</f>
        <v>Marketing</v>
      </c>
    </row>
    <row r="90" spans="1:14" x14ac:dyDescent="0.3">
      <c r="A90" s="1" t="s">
        <v>313</v>
      </c>
      <c r="B90" s="1" t="s">
        <v>54</v>
      </c>
      <c r="C90" s="1" t="s">
        <v>90</v>
      </c>
      <c r="D90" s="1" t="s">
        <v>15</v>
      </c>
      <c r="E90" s="1">
        <v>36</v>
      </c>
      <c r="F90" s="1" t="s">
        <v>25</v>
      </c>
      <c r="G90" s="1" t="s">
        <v>32</v>
      </c>
      <c r="H90" s="1" t="s">
        <v>314</v>
      </c>
      <c r="I90" s="1">
        <v>82819</v>
      </c>
      <c r="J90" s="1" t="s">
        <v>34</v>
      </c>
      <c r="K90" s="1" t="s">
        <v>315</v>
      </c>
      <c r="L90" s="1" t="s">
        <v>36</v>
      </c>
      <c r="M90" s="1" t="str">
        <f>VLOOKUP(F90,Departments!$A$2:$C$6,2,0)</f>
        <v>IT</v>
      </c>
      <c r="N90" s="1" t="str">
        <f>INDEX(Departments!$B:$B,MATCH(Employees!F90,Departments!$A:$A,0))</f>
        <v>IT</v>
      </c>
    </row>
    <row r="91" spans="1:14" x14ac:dyDescent="0.3">
      <c r="A91" s="1" t="s">
        <v>316</v>
      </c>
      <c r="B91" s="1" t="s">
        <v>30</v>
      </c>
      <c r="C91" s="1" t="s">
        <v>90</v>
      </c>
      <c r="D91" s="1" t="s">
        <v>15</v>
      </c>
      <c r="E91" s="1">
        <v>54</v>
      </c>
      <c r="F91" s="1" t="s">
        <v>25</v>
      </c>
      <c r="G91" s="1" t="s">
        <v>32</v>
      </c>
      <c r="H91" s="1" t="s">
        <v>317</v>
      </c>
      <c r="I91" s="1">
        <v>105392</v>
      </c>
      <c r="J91" s="1" t="s">
        <v>80</v>
      </c>
      <c r="K91" s="1" t="s">
        <v>318</v>
      </c>
      <c r="L91" s="1" t="s">
        <v>21</v>
      </c>
      <c r="M91" s="1" t="str">
        <f>VLOOKUP(F91,Departments!$A$2:$C$6,2,0)</f>
        <v>IT</v>
      </c>
      <c r="N91" s="1" t="str">
        <f>INDEX(Departments!$B:$B,MATCH(Employees!F91,Departments!$A:$A,0))</f>
        <v>IT</v>
      </c>
    </row>
    <row r="92" spans="1:14" x14ac:dyDescent="0.3">
      <c r="A92" s="1" t="s">
        <v>319</v>
      </c>
      <c r="B92" s="1" t="s">
        <v>58</v>
      </c>
      <c r="C92" s="1" t="s">
        <v>23</v>
      </c>
      <c r="D92" s="1" t="s">
        <v>24</v>
      </c>
      <c r="E92" s="1">
        <v>49</v>
      </c>
      <c r="F92" s="1" t="s">
        <v>50</v>
      </c>
      <c r="G92" s="1" t="s">
        <v>17</v>
      </c>
      <c r="H92" s="1" t="s">
        <v>320</v>
      </c>
      <c r="I92" s="1">
        <v>52568</v>
      </c>
      <c r="J92" s="1" t="s">
        <v>34</v>
      </c>
      <c r="K92" s="1" t="s">
        <v>321</v>
      </c>
      <c r="L92" s="1" t="s">
        <v>21</v>
      </c>
      <c r="M92" s="1" t="str">
        <f>VLOOKUP(F92,Departments!$A$2:$C$6,2,0)</f>
        <v>Finance</v>
      </c>
      <c r="N92" s="1" t="str">
        <f>INDEX(Departments!$B:$B,MATCH(Employees!F92,Departments!$A:$A,0))</f>
        <v>Finance</v>
      </c>
    </row>
    <row r="93" spans="1:14" x14ac:dyDescent="0.3">
      <c r="A93" s="1" t="s">
        <v>322</v>
      </c>
      <c r="B93" s="1" t="s">
        <v>71</v>
      </c>
      <c r="C93" s="1" t="s">
        <v>90</v>
      </c>
      <c r="D93" s="1" t="s">
        <v>15</v>
      </c>
      <c r="E93" s="1">
        <v>35</v>
      </c>
      <c r="F93" s="1" t="s">
        <v>25</v>
      </c>
      <c r="G93" s="1" t="s">
        <v>17</v>
      </c>
      <c r="H93" s="1" t="s">
        <v>323</v>
      </c>
      <c r="I93" s="1">
        <v>119403</v>
      </c>
      <c r="J93" s="1" t="s">
        <v>60</v>
      </c>
      <c r="K93" s="1" t="s">
        <v>324</v>
      </c>
      <c r="L93" s="1" t="s">
        <v>36</v>
      </c>
      <c r="M93" s="1" t="str">
        <f>VLOOKUP(F93,Departments!$A$2:$C$6,2,0)</f>
        <v>IT</v>
      </c>
      <c r="N93" s="1" t="str">
        <f>INDEX(Departments!$B:$B,MATCH(Employees!F93,Departments!$A:$A,0))</f>
        <v>IT</v>
      </c>
    </row>
    <row r="94" spans="1:14" x14ac:dyDescent="0.3">
      <c r="A94" s="1" t="s">
        <v>325</v>
      </c>
      <c r="B94" s="1" t="s">
        <v>49</v>
      </c>
      <c r="C94" s="1" t="s">
        <v>78</v>
      </c>
      <c r="D94" s="1" t="s">
        <v>15</v>
      </c>
      <c r="E94" s="1">
        <v>44</v>
      </c>
      <c r="F94" s="1" t="s">
        <v>50</v>
      </c>
      <c r="G94" s="1" t="s">
        <v>32</v>
      </c>
      <c r="H94" s="1" t="s">
        <v>326</v>
      </c>
      <c r="I94" s="1">
        <v>54883</v>
      </c>
      <c r="J94" s="1" t="s">
        <v>34</v>
      </c>
      <c r="K94" s="1" t="s">
        <v>327</v>
      </c>
      <c r="L94" s="1" t="s">
        <v>36</v>
      </c>
      <c r="M94" s="1" t="str">
        <f>VLOOKUP(F94,Departments!$A$2:$C$6,2,0)</f>
        <v>Finance</v>
      </c>
      <c r="N94" s="1" t="str">
        <f>INDEX(Departments!$B:$B,MATCH(Employees!F94,Departments!$A:$A,0))</f>
        <v>Finance</v>
      </c>
    </row>
    <row r="95" spans="1:14" x14ac:dyDescent="0.3">
      <c r="A95" s="1" t="s">
        <v>328</v>
      </c>
      <c r="B95" s="1" t="s">
        <v>49</v>
      </c>
      <c r="C95" s="1" t="s">
        <v>78</v>
      </c>
      <c r="D95" s="1" t="s">
        <v>15</v>
      </c>
      <c r="E95" s="1">
        <v>44</v>
      </c>
      <c r="F95" s="1" t="s">
        <v>16</v>
      </c>
      <c r="G95" s="1" t="s">
        <v>32</v>
      </c>
      <c r="H95" s="1" t="s">
        <v>329</v>
      </c>
      <c r="I95" s="1">
        <v>83855</v>
      </c>
      <c r="J95" s="1" t="s">
        <v>34</v>
      </c>
      <c r="K95" s="1" t="s">
        <v>330</v>
      </c>
      <c r="L95" s="1" t="s">
        <v>36</v>
      </c>
      <c r="M95" s="1" t="str">
        <f>VLOOKUP(F95,Departments!$A$2:$C$6,2,0)</f>
        <v>HR</v>
      </c>
      <c r="N95" s="1" t="str">
        <f>INDEX(Departments!$B:$B,MATCH(Employees!F95,Departments!$A:$A,0))</f>
        <v>HR</v>
      </c>
    </row>
    <row r="96" spans="1:14" x14ac:dyDescent="0.3">
      <c r="A96" s="1" t="s">
        <v>331</v>
      </c>
      <c r="B96" s="1" t="s">
        <v>94</v>
      </c>
      <c r="C96" s="1" t="s">
        <v>63</v>
      </c>
      <c r="D96" s="1" t="s">
        <v>24</v>
      </c>
      <c r="E96" s="1">
        <v>53</v>
      </c>
      <c r="F96" s="1" t="s">
        <v>31</v>
      </c>
      <c r="G96" s="1" t="s">
        <v>40</v>
      </c>
      <c r="H96" s="1" t="s">
        <v>332</v>
      </c>
      <c r="I96" s="1">
        <v>43725</v>
      </c>
      <c r="J96" s="1" t="s">
        <v>65</v>
      </c>
      <c r="K96" s="1" t="s">
        <v>333</v>
      </c>
      <c r="L96" s="1" t="s">
        <v>21</v>
      </c>
      <c r="M96" s="1" t="str">
        <f>VLOOKUP(F96,Departments!$A$2:$C$6,2,0)</f>
        <v>Sales</v>
      </c>
      <c r="N96" s="1" t="str">
        <f>INDEX(Departments!$B:$B,MATCH(Employees!F96,Departments!$A:$A,0))</f>
        <v>Sales</v>
      </c>
    </row>
    <row r="97" spans="1:14" x14ac:dyDescent="0.3">
      <c r="A97" s="1" t="s">
        <v>334</v>
      </c>
      <c r="B97" s="1" t="s">
        <v>54</v>
      </c>
      <c r="C97" s="1" t="s">
        <v>45</v>
      </c>
      <c r="D97" s="1" t="s">
        <v>15</v>
      </c>
      <c r="E97" s="1">
        <v>24</v>
      </c>
      <c r="F97" s="1" t="s">
        <v>31</v>
      </c>
      <c r="G97" s="1" t="s">
        <v>40</v>
      </c>
      <c r="H97" s="1" t="s">
        <v>335</v>
      </c>
      <c r="I97" s="1">
        <v>104506</v>
      </c>
      <c r="J97" s="1" t="s">
        <v>65</v>
      </c>
      <c r="K97" s="1" t="s">
        <v>336</v>
      </c>
      <c r="L97" s="1" t="s">
        <v>21</v>
      </c>
      <c r="M97" s="1" t="str">
        <f>VLOOKUP(F97,Departments!$A$2:$C$6,2,0)</f>
        <v>Sales</v>
      </c>
      <c r="N97" s="1" t="str">
        <f>INDEX(Departments!$B:$B,MATCH(Employees!F97,Departments!$A:$A,0))</f>
        <v>Sales</v>
      </c>
    </row>
    <row r="98" spans="1:14" x14ac:dyDescent="0.3">
      <c r="A98" s="1" t="s">
        <v>337</v>
      </c>
      <c r="B98" s="1" t="s">
        <v>38</v>
      </c>
      <c r="C98" s="1" t="s">
        <v>90</v>
      </c>
      <c r="D98" s="1" t="s">
        <v>15</v>
      </c>
      <c r="E98" s="1">
        <v>45</v>
      </c>
      <c r="F98" s="1" t="s">
        <v>25</v>
      </c>
      <c r="G98" s="1" t="s">
        <v>40</v>
      </c>
      <c r="H98" s="1" t="s">
        <v>338</v>
      </c>
      <c r="I98" s="1">
        <v>36873</v>
      </c>
      <c r="J98" s="1" t="s">
        <v>65</v>
      </c>
      <c r="K98" s="1" t="s">
        <v>339</v>
      </c>
      <c r="L98" s="1" t="s">
        <v>36</v>
      </c>
      <c r="M98" s="1" t="str">
        <f>VLOOKUP(F98,Departments!$A$2:$C$6,2,0)</f>
        <v>IT</v>
      </c>
      <c r="N98" s="1" t="str">
        <f>INDEX(Departments!$B:$B,MATCH(Employees!F98,Departments!$A:$A,0))</f>
        <v>IT</v>
      </c>
    </row>
    <row r="99" spans="1:14" x14ac:dyDescent="0.3">
      <c r="A99" s="1" t="s">
        <v>340</v>
      </c>
      <c r="B99" s="1" t="s">
        <v>13</v>
      </c>
      <c r="C99" s="1" t="s">
        <v>90</v>
      </c>
      <c r="D99" s="1" t="s">
        <v>24</v>
      </c>
      <c r="E99" s="1">
        <v>25</v>
      </c>
      <c r="F99" s="1" t="s">
        <v>39</v>
      </c>
      <c r="G99" s="1" t="s">
        <v>40</v>
      </c>
      <c r="H99" s="1" t="s">
        <v>341</v>
      </c>
      <c r="I99" s="1">
        <v>50051</v>
      </c>
      <c r="J99" s="1" t="s">
        <v>19</v>
      </c>
      <c r="K99" s="1" t="s">
        <v>342</v>
      </c>
      <c r="L99" s="1" t="s">
        <v>21</v>
      </c>
      <c r="M99" s="1" t="str">
        <f>VLOOKUP(F99,Departments!$A$2:$C$6,2,0)</f>
        <v>Marketing</v>
      </c>
      <c r="N99" s="1" t="str">
        <f>INDEX(Departments!$B:$B,MATCH(Employees!F99,Departments!$A:$A,0))</f>
        <v>Marketing</v>
      </c>
    </row>
    <row r="100" spans="1:14" x14ac:dyDescent="0.3">
      <c r="A100" s="1" t="s">
        <v>343</v>
      </c>
      <c r="B100" s="1" t="s">
        <v>38</v>
      </c>
      <c r="C100" s="1" t="s">
        <v>78</v>
      </c>
      <c r="D100" s="1" t="s">
        <v>24</v>
      </c>
      <c r="E100" s="1">
        <v>42</v>
      </c>
      <c r="F100" s="1" t="s">
        <v>31</v>
      </c>
      <c r="G100" s="1" t="s">
        <v>40</v>
      </c>
      <c r="H100" s="1" t="s">
        <v>344</v>
      </c>
      <c r="I100" s="1">
        <v>42571</v>
      </c>
      <c r="J100" s="1" t="s">
        <v>34</v>
      </c>
      <c r="K100" s="1" t="s">
        <v>345</v>
      </c>
      <c r="L100" s="1" t="s">
        <v>36</v>
      </c>
      <c r="M100" s="1" t="str">
        <f>VLOOKUP(F100,Departments!$A$2:$C$6,2,0)</f>
        <v>Sales</v>
      </c>
      <c r="N100" s="1" t="str">
        <f>INDEX(Departments!$B:$B,MATCH(Employees!F100,Departments!$A:$A,0))</f>
        <v>Sales</v>
      </c>
    </row>
    <row r="101" spans="1:14" x14ac:dyDescent="0.3">
      <c r="A101" s="1" t="s">
        <v>346</v>
      </c>
      <c r="B101" s="1" t="s">
        <v>38</v>
      </c>
      <c r="C101" s="1" t="s">
        <v>23</v>
      </c>
      <c r="D101" s="1" t="s">
        <v>24</v>
      </c>
      <c r="E101" s="1">
        <v>60</v>
      </c>
      <c r="F101" s="1" t="s">
        <v>50</v>
      </c>
      <c r="G101" s="1" t="s">
        <v>17</v>
      </c>
      <c r="H101" s="1" t="s">
        <v>347</v>
      </c>
      <c r="I101" s="1">
        <v>60616</v>
      </c>
      <c r="J101" s="1" t="s">
        <v>80</v>
      </c>
      <c r="K101" s="1" t="s">
        <v>348</v>
      </c>
      <c r="L101" s="1" t="s">
        <v>36</v>
      </c>
      <c r="M101" s="1" t="str">
        <f>VLOOKUP(F101,Departments!$A$2:$C$6,2,0)</f>
        <v>Finance</v>
      </c>
      <c r="N101" s="1" t="str">
        <f>INDEX(Departments!$B:$B,MATCH(Employees!F101,Departments!$A:$A,0))</f>
        <v>Finance</v>
      </c>
    </row>
    <row r="102" spans="1:14" x14ac:dyDescent="0.3">
      <c r="A102" s="1" t="s">
        <v>349</v>
      </c>
      <c r="B102" s="1" t="s">
        <v>44</v>
      </c>
      <c r="C102" s="1" t="s">
        <v>95</v>
      </c>
      <c r="D102" s="1" t="s">
        <v>24</v>
      </c>
      <c r="E102" s="1">
        <v>57</v>
      </c>
      <c r="F102" s="1" t="s">
        <v>25</v>
      </c>
      <c r="G102" s="1" t="s">
        <v>32</v>
      </c>
      <c r="H102" s="1" t="s">
        <v>350</v>
      </c>
      <c r="I102" s="1">
        <v>75929</v>
      </c>
      <c r="J102" s="1" t="s">
        <v>19</v>
      </c>
      <c r="K102" s="1" t="s">
        <v>351</v>
      </c>
      <c r="L102" s="1" t="s">
        <v>36</v>
      </c>
      <c r="M102" s="1" t="str">
        <f>VLOOKUP(F102,Departments!$A$2:$C$6,2,0)</f>
        <v>IT</v>
      </c>
      <c r="N102" s="1" t="str">
        <f>INDEX(Departments!$B:$B,MATCH(Employees!F102,Departments!$A:$A,0))</f>
        <v>IT</v>
      </c>
    </row>
    <row r="103" spans="1:14" x14ac:dyDescent="0.3">
      <c r="A103" s="1" t="s">
        <v>352</v>
      </c>
      <c r="B103" s="1" t="s">
        <v>71</v>
      </c>
      <c r="C103" s="1" t="s">
        <v>83</v>
      </c>
      <c r="D103" s="1" t="s">
        <v>24</v>
      </c>
      <c r="E103" s="1">
        <v>43</v>
      </c>
      <c r="F103" s="1" t="s">
        <v>50</v>
      </c>
      <c r="G103" s="1" t="s">
        <v>108</v>
      </c>
      <c r="H103" s="1" t="s">
        <v>353</v>
      </c>
      <c r="I103" s="1">
        <v>106165</v>
      </c>
      <c r="J103" s="1" t="s">
        <v>80</v>
      </c>
      <c r="K103" s="1" t="s">
        <v>354</v>
      </c>
      <c r="L103" s="1" t="s">
        <v>36</v>
      </c>
      <c r="M103" s="1" t="str">
        <f>VLOOKUP(F103,Departments!$A$2:$C$6,2,0)</f>
        <v>Finance</v>
      </c>
      <c r="N103" s="1" t="str">
        <f>INDEX(Departments!$B:$B,MATCH(Employees!F103,Departments!$A:$A,0))</f>
        <v>Finance</v>
      </c>
    </row>
    <row r="104" spans="1:14" x14ac:dyDescent="0.3">
      <c r="A104" s="1" t="s">
        <v>355</v>
      </c>
      <c r="B104" s="1" t="s">
        <v>49</v>
      </c>
      <c r="C104" s="1" t="s">
        <v>23</v>
      </c>
      <c r="D104" s="1" t="s">
        <v>24</v>
      </c>
      <c r="E104" s="1">
        <v>23</v>
      </c>
      <c r="F104" s="1" t="s">
        <v>50</v>
      </c>
      <c r="G104" s="1" t="s">
        <v>26</v>
      </c>
      <c r="H104" s="1" t="s">
        <v>356</v>
      </c>
      <c r="I104" s="1">
        <v>44946</v>
      </c>
      <c r="J104" s="1" t="s">
        <v>60</v>
      </c>
      <c r="K104" s="1" t="s">
        <v>357</v>
      </c>
      <c r="L104" s="1" t="s">
        <v>36</v>
      </c>
      <c r="M104" s="1" t="str">
        <f>VLOOKUP(F104,Departments!$A$2:$C$6,2,0)</f>
        <v>Finance</v>
      </c>
      <c r="N104" s="1" t="str">
        <f>INDEX(Departments!$B:$B,MATCH(Employees!F104,Departments!$A:$A,0))</f>
        <v>Finance</v>
      </c>
    </row>
    <row r="105" spans="1:14" x14ac:dyDescent="0.3">
      <c r="A105" s="1" t="s">
        <v>358</v>
      </c>
      <c r="B105" s="1" t="s">
        <v>30</v>
      </c>
      <c r="C105" s="1" t="s">
        <v>90</v>
      </c>
      <c r="D105" s="1" t="s">
        <v>15</v>
      </c>
      <c r="E105" s="1">
        <v>32</v>
      </c>
      <c r="F105" s="1" t="s">
        <v>16</v>
      </c>
      <c r="G105" s="1" t="s">
        <v>26</v>
      </c>
      <c r="H105" s="1" t="s">
        <v>359</v>
      </c>
      <c r="I105" s="1">
        <v>64572</v>
      </c>
      <c r="J105" s="1" t="s">
        <v>80</v>
      </c>
      <c r="K105" s="1" t="s">
        <v>360</v>
      </c>
      <c r="L105" s="1" t="s">
        <v>21</v>
      </c>
      <c r="M105" s="1" t="str">
        <f>VLOOKUP(F105,Departments!$A$2:$C$6,2,0)</f>
        <v>HR</v>
      </c>
      <c r="N105" s="1" t="str">
        <f>INDEX(Departments!$B:$B,MATCH(Employees!F105,Departments!$A:$A,0))</f>
        <v>HR</v>
      </c>
    </row>
    <row r="106" spans="1:14" x14ac:dyDescent="0.3">
      <c r="A106" s="1" t="s">
        <v>361</v>
      </c>
      <c r="B106" s="1" t="s">
        <v>94</v>
      </c>
      <c r="C106" s="1" t="s">
        <v>14</v>
      </c>
      <c r="D106" s="1" t="s">
        <v>24</v>
      </c>
      <c r="E106" s="1">
        <v>56</v>
      </c>
      <c r="F106" s="1" t="s">
        <v>16</v>
      </c>
      <c r="G106" s="1" t="s">
        <v>40</v>
      </c>
      <c r="H106" s="1" t="s">
        <v>362</v>
      </c>
      <c r="I106" s="1">
        <v>74825</v>
      </c>
      <c r="J106" s="1" t="s">
        <v>80</v>
      </c>
      <c r="K106" s="1" t="s">
        <v>363</v>
      </c>
      <c r="L106" s="1" t="s">
        <v>21</v>
      </c>
      <c r="M106" s="1" t="str">
        <f>VLOOKUP(F106,Departments!$A$2:$C$6,2,0)</f>
        <v>HR</v>
      </c>
      <c r="N106" s="1" t="str">
        <f>INDEX(Departments!$B:$B,MATCH(Employees!F106,Departments!$A:$A,0))</f>
        <v>HR</v>
      </c>
    </row>
    <row r="107" spans="1:14" x14ac:dyDescent="0.3">
      <c r="A107" s="1" t="s">
        <v>364</v>
      </c>
      <c r="B107" s="1" t="s">
        <v>143</v>
      </c>
      <c r="C107" s="1" t="s">
        <v>45</v>
      </c>
      <c r="D107" s="1" t="s">
        <v>24</v>
      </c>
      <c r="E107" s="1">
        <v>27</v>
      </c>
      <c r="F107" s="1" t="s">
        <v>50</v>
      </c>
      <c r="G107" s="1" t="s">
        <v>17</v>
      </c>
      <c r="H107" s="1" t="s">
        <v>365</v>
      </c>
      <c r="I107" s="1">
        <v>52495</v>
      </c>
      <c r="J107" s="1" t="s">
        <v>65</v>
      </c>
      <c r="K107" s="1" t="s">
        <v>366</v>
      </c>
      <c r="L107" s="1" t="s">
        <v>21</v>
      </c>
      <c r="M107" s="1" t="str">
        <f>VLOOKUP(F107,Departments!$A$2:$C$6,2,0)</f>
        <v>Finance</v>
      </c>
      <c r="N107" s="1" t="str">
        <f>INDEX(Departments!$B:$B,MATCH(Employees!F107,Departments!$A:$A,0))</f>
        <v>Finance</v>
      </c>
    </row>
    <row r="108" spans="1:14" x14ac:dyDescent="0.3">
      <c r="A108" s="1" t="s">
        <v>367</v>
      </c>
      <c r="B108" s="1" t="s">
        <v>143</v>
      </c>
      <c r="C108" s="1" t="s">
        <v>63</v>
      </c>
      <c r="D108" s="1" t="s">
        <v>24</v>
      </c>
      <c r="E108" s="1">
        <v>27</v>
      </c>
      <c r="F108" s="1" t="s">
        <v>31</v>
      </c>
      <c r="G108" s="1" t="s">
        <v>17</v>
      </c>
      <c r="H108" s="1" t="s">
        <v>368</v>
      </c>
      <c r="I108" s="1">
        <v>90958</v>
      </c>
      <c r="J108" s="1" t="s">
        <v>19</v>
      </c>
      <c r="K108" s="1" t="s">
        <v>369</v>
      </c>
      <c r="L108" s="1" t="s">
        <v>36</v>
      </c>
      <c r="M108" s="1" t="str">
        <f>VLOOKUP(F108,Departments!$A$2:$C$6,2,0)</f>
        <v>Sales</v>
      </c>
      <c r="N108" s="1" t="str">
        <f>INDEX(Departments!$B:$B,MATCH(Employees!F108,Departments!$A:$A,0))</f>
        <v>Sales</v>
      </c>
    </row>
    <row r="109" spans="1:14" x14ac:dyDescent="0.3">
      <c r="A109" s="1" t="s">
        <v>370</v>
      </c>
      <c r="B109" s="1" t="s">
        <v>143</v>
      </c>
      <c r="C109" s="1" t="s">
        <v>83</v>
      </c>
      <c r="D109" s="1" t="s">
        <v>15</v>
      </c>
      <c r="E109" s="1">
        <v>58</v>
      </c>
      <c r="F109" s="1" t="s">
        <v>39</v>
      </c>
      <c r="G109" s="1" t="s">
        <v>40</v>
      </c>
      <c r="H109" s="1" t="s">
        <v>371</v>
      </c>
      <c r="I109" s="1">
        <v>51096</v>
      </c>
      <c r="J109" s="1" t="s">
        <v>19</v>
      </c>
      <c r="K109" s="1" t="s">
        <v>372</v>
      </c>
      <c r="L109" s="1" t="s">
        <v>36</v>
      </c>
      <c r="M109" s="1" t="str">
        <f>VLOOKUP(F109,Departments!$A$2:$C$6,2,0)</f>
        <v>Marketing</v>
      </c>
      <c r="N109" s="1" t="str">
        <f>INDEX(Departments!$B:$B,MATCH(Employees!F109,Departments!$A:$A,0))</f>
        <v>Marketing</v>
      </c>
    </row>
    <row r="110" spans="1:14" x14ac:dyDescent="0.3">
      <c r="A110" s="1" t="s">
        <v>373</v>
      </c>
      <c r="B110" s="1" t="s">
        <v>58</v>
      </c>
      <c r="C110" s="1" t="s">
        <v>95</v>
      </c>
      <c r="D110" s="1" t="s">
        <v>15</v>
      </c>
      <c r="E110" s="1">
        <v>58</v>
      </c>
      <c r="F110" s="1" t="s">
        <v>50</v>
      </c>
      <c r="G110" s="1" t="s">
        <v>108</v>
      </c>
      <c r="H110" s="1" t="s">
        <v>374</v>
      </c>
      <c r="I110" s="1">
        <v>90458</v>
      </c>
      <c r="J110" s="1" t="s">
        <v>19</v>
      </c>
      <c r="K110" s="1" t="s">
        <v>375</v>
      </c>
      <c r="L110" s="1" t="s">
        <v>21</v>
      </c>
      <c r="M110" s="1" t="str">
        <f>VLOOKUP(F110,Departments!$A$2:$C$6,2,0)</f>
        <v>Finance</v>
      </c>
      <c r="N110" s="1" t="str">
        <f>INDEX(Departments!$B:$B,MATCH(Employees!F110,Departments!$A:$A,0))</f>
        <v>Finance</v>
      </c>
    </row>
    <row r="111" spans="1:14" x14ac:dyDescent="0.3">
      <c r="A111" s="1" t="s">
        <v>376</v>
      </c>
      <c r="B111" s="1" t="s">
        <v>143</v>
      </c>
      <c r="C111" s="1" t="s">
        <v>130</v>
      </c>
      <c r="D111" s="1" t="s">
        <v>24</v>
      </c>
      <c r="E111" s="1">
        <v>39</v>
      </c>
      <c r="F111" s="1" t="s">
        <v>31</v>
      </c>
      <c r="G111" s="1" t="s">
        <v>17</v>
      </c>
      <c r="H111" s="1" t="s">
        <v>377</v>
      </c>
      <c r="I111" s="1">
        <v>67338</v>
      </c>
      <c r="J111" s="1" t="s">
        <v>34</v>
      </c>
      <c r="K111" s="1" t="s">
        <v>378</v>
      </c>
      <c r="L111" s="1" t="s">
        <v>36</v>
      </c>
      <c r="M111" s="1" t="str">
        <f>VLOOKUP(F111,Departments!$A$2:$C$6,2,0)</f>
        <v>Sales</v>
      </c>
      <c r="N111" s="1" t="str">
        <f>INDEX(Departments!$B:$B,MATCH(Employees!F111,Departments!$A:$A,0))</f>
        <v>Sales</v>
      </c>
    </row>
    <row r="112" spans="1:14" x14ac:dyDescent="0.3">
      <c r="A112" s="1" t="s">
        <v>379</v>
      </c>
      <c r="B112" s="1" t="s">
        <v>13</v>
      </c>
      <c r="C112" s="1" t="s">
        <v>14</v>
      </c>
      <c r="D112" s="1" t="s">
        <v>15</v>
      </c>
      <c r="E112" s="1">
        <v>40</v>
      </c>
      <c r="F112" s="1" t="s">
        <v>25</v>
      </c>
      <c r="G112" s="1" t="s">
        <v>40</v>
      </c>
      <c r="H112" s="1" t="s">
        <v>380</v>
      </c>
      <c r="I112" s="1">
        <v>106100</v>
      </c>
      <c r="J112" s="1" t="s">
        <v>34</v>
      </c>
      <c r="K112" s="1" t="s">
        <v>381</v>
      </c>
      <c r="L112" s="1" t="s">
        <v>36</v>
      </c>
      <c r="M112" s="1" t="str">
        <f>VLOOKUP(F112,Departments!$A$2:$C$6,2,0)</f>
        <v>IT</v>
      </c>
      <c r="N112" s="1" t="str">
        <f>INDEX(Departments!$B:$B,MATCH(Employees!F112,Departments!$A:$A,0))</f>
        <v>IT</v>
      </c>
    </row>
    <row r="113" spans="1:14" x14ac:dyDescent="0.3">
      <c r="A113" s="1" t="s">
        <v>382</v>
      </c>
      <c r="B113" s="1" t="s">
        <v>13</v>
      </c>
      <c r="C113" s="1" t="s">
        <v>78</v>
      </c>
      <c r="D113" s="1" t="s">
        <v>24</v>
      </c>
      <c r="E113" s="1">
        <v>45</v>
      </c>
      <c r="F113" s="1" t="s">
        <v>16</v>
      </c>
      <c r="G113" s="1" t="s">
        <v>17</v>
      </c>
      <c r="H113" s="1" t="s">
        <v>383</v>
      </c>
      <c r="I113" s="1">
        <v>62840</v>
      </c>
      <c r="J113" s="1" t="s">
        <v>60</v>
      </c>
      <c r="K113" s="1" t="s">
        <v>384</v>
      </c>
      <c r="L113" s="1" t="s">
        <v>36</v>
      </c>
      <c r="M113" s="1" t="str">
        <f>VLOOKUP(F113,Departments!$A$2:$C$6,2,0)</f>
        <v>HR</v>
      </c>
      <c r="N113" s="1" t="str">
        <f>INDEX(Departments!$B:$B,MATCH(Employees!F113,Departments!$A:$A,0))</f>
        <v>HR</v>
      </c>
    </row>
    <row r="114" spans="1:14" x14ac:dyDescent="0.3">
      <c r="A114" s="1" t="s">
        <v>385</v>
      </c>
      <c r="B114" s="1" t="s">
        <v>71</v>
      </c>
      <c r="C114" s="1" t="s">
        <v>130</v>
      </c>
      <c r="D114" s="1" t="s">
        <v>24</v>
      </c>
      <c r="E114" s="1">
        <v>48</v>
      </c>
      <c r="F114" s="1" t="s">
        <v>16</v>
      </c>
      <c r="G114" s="1" t="s">
        <v>32</v>
      </c>
      <c r="H114" s="1" t="s">
        <v>386</v>
      </c>
      <c r="I114" s="1">
        <v>69569</v>
      </c>
      <c r="J114" s="1" t="s">
        <v>34</v>
      </c>
      <c r="K114" s="1" t="s">
        <v>387</v>
      </c>
      <c r="L114" s="1" t="s">
        <v>36</v>
      </c>
      <c r="M114" s="1" t="str">
        <f>VLOOKUP(F114,Departments!$A$2:$C$6,2,0)</f>
        <v>HR</v>
      </c>
      <c r="N114" s="1" t="str">
        <f>INDEX(Departments!$B:$B,MATCH(Employees!F114,Departments!$A:$A,0))</f>
        <v>HR</v>
      </c>
    </row>
    <row r="115" spans="1:14" x14ac:dyDescent="0.3">
      <c r="A115" s="1" t="s">
        <v>388</v>
      </c>
      <c r="B115" s="1" t="s">
        <v>38</v>
      </c>
      <c r="C115" s="1" t="s">
        <v>95</v>
      </c>
      <c r="D115" s="1" t="s">
        <v>15</v>
      </c>
      <c r="E115" s="1">
        <v>23</v>
      </c>
      <c r="F115" s="1" t="s">
        <v>31</v>
      </c>
      <c r="G115" s="1" t="s">
        <v>17</v>
      </c>
      <c r="H115" s="1" t="s">
        <v>389</v>
      </c>
      <c r="I115" s="1">
        <v>109099</v>
      </c>
      <c r="J115" s="1" t="s">
        <v>80</v>
      </c>
      <c r="K115" s="1" t="s">
        <v>390</v>
      </c>
      <c r="L115" s="1" t="s">
        <v>21</v>
      </c>
      <c r="M115" s="1" t="str">
        <f>VLOOKUP(F115,Departments!$A$2:$C$6,2,0)</f>
        <v>Sales</v>
      </c>
      <c r="N115" s="1" t="str">
        <f>INDEX(Departments!$B:$B,MATCH(Employees!F115,Departments!$A:$A,0))</f>
        <v>Sales</v>
      </c>
    </row>
    <row r="116" spans="1:14" x14ac:dyDescent="0.3">
      <c r="A116" s="1" t="s">
        <v>391</v>
      </c>
      <c r="B116" s="1" t="s">
        <v>54</v>
      </c>
      <c r="C116" s="1" t="s">
        <v>23</v>
      </c>
      <c r="D116" s="1" t="s">
        <v>15</v>
      </c>
      <c r="E116" s="1">
        <v>30</v>
      </c>
      <c r="F116" s="1" t="s">
        <v>25</v>
      </c>
      <c r="G116" s="1" t="s">
        <v>40</v>
      </c>
      <c r="H116" s="1" t="s">
        <v>392</v>
      </c>
      <c r="I116" s="1">
        <v>74368</v>
      </c>
      <c r="J116" s="1" t="s">
        <v>60</v>
      </c>
      <c r="K116" s="1" t="s">
        <v>393</v>
      </c>
      <c r="L116" s="1" t="s">
        <v>36</v>
      </c>
      <c r="M116" s="1" t="str">
        <f>VLOOKUP(F116,Departments!$A$2:$C$6,2,0)</f>
        <v>IT</v>
      </c>
      <c r="N116" s="1" t="str">
        <f>INDEX(Departments!$B:$B,MATCH(Employees!F116,Departments!$A:$A,0))</f>
        <v>IT</v>
      </c>
    </row>
    <row r="117" spans="1:14" x14ac:dyDescent="0.3">
      <c r="A117" s="1" t="s">
        <v>394</v>
      </c>
      <c r="B117" s="1" t="s">
        <v>30</v>
      </c>
      <c r="C117" s="1" t="s">
        <v>130</v>
      </c>
      <c r="D117" s="1" t="s">
        <v>24</v>
      </c>
      <c r="E117" s="1">
        <v>58</v>
      </c>
      <c r="F117" s="1" t="s">
        <v>39</v>
      </c>
      <c r="G117" s="1" t="s">
        <v>32</v>
      </c>
      <c r="H117" s="1" t="s">
        <v>395</v>
      </c>
      <c r="I117" s="1">
        <v>111621</v>
      </c>
      <c r="J117" s="1" t="s">
        <v>60</v>
      </c>
      <c r="K117" s="1" t="s">
        <v>396</v>
      </c>
      <c r="L117" s="1" t="s">
        <v>21</v>
      </c>
      <c r="M117" s="1" t="str">
        <f>VLOOKUP(F117,Departments!$A$2:$C$6,2,0)</f>
        <v>Marketing</v>
      </c>
      <c r="N117" s="1" t="str">
        <f>INDEX(Departments!$B:$B,MATCH(Employees!F117,Departments!$A:$A,0))</f>
        <v>Marketing</v>
      </c>
    </row>
    <row r="118" spans="1:14" x14ac:dyDescent="0.3">
      <c r="A118" s="1" t="s">
        <v>397</v>
      </c>
      <c r="B118" s="1" t="s">
        <v>143</v>
      </c>
      <c r="C118" s="1" t="s">
        <v>83</v>
      </c>
      <c r="D118" s="1" t="s">
        <v>15</v>
      </c>
      <c r="E118" s="1">
        <v>32</v>
      </c>
      <c r="F118" s="1" t="s">
        <v>50</v>
      </c>
      <c r="G118" s="1" t="s">
        <v>32</v>
      </c>
      <c r="H118" s="1" t="s">
        <v>338</v>
      </c>
      <c r="I118" s="1">
        <v>82446</v>
      </c>
      <c r="J118" s="1" t="s">
        <v>65</v>
      </c>
      <c r="K118" s="1" t="s">
        <v>398</v>
      </c>
      <c r="L118" s="1" t="s">
        <v>21</v>
      </c>
      <c r="M118" s="1" t="str">
        <f>VLOOKUP(F118,Departments!$A$2:$C$6,2,0)</f>
        <v>Finance</v>
      </c>
      <c r="N118" s="1" t="str">
        <f>INDEX(Departments!$B:$B,MATCH(Employees!F118,Departments!$A:$A,0))</f>
        <v>Finance</v>
      </c>
    </row>
    <row r="119" spans="1:14" x14ac:dyDescent="0.3">
      <c r="A119" s="1" t="s">
        <v>399</v>
      </c>
      <c r="B119" s="1" t="s">
        <v>143</v>
      </c>
      <c r="C119" s="1" t="s">
        <v>78</v>
      </c>
      <c r="D119" s="1" t="s">
        <v>24</v>
      </c>
      <c r="E119" s="1">
        <v>24</v>
      </c>
      <c r="F119" s="1" t="s">
        <v>31</v>
      </c>
      <c r="G119" s="1" t="s">
        <v>17</v>
      </c>
      <c r="H119" s="1" t="s">
        <v>400</v>
      </c>
      <c r="I119" s="1">
        <v>99200</v>
      </c>
      <c r="J119" s="1" t="s">
        <v>19</v>
      </c>
      <c r="K119" s="1" t="s">
        <v>401</v>
      </c>
      <c r="L119" s="1" t="s">
        <v>36</v>
      </c>
      <c r="M119" s="1" t="str">
        <f>VLOOKUP(F119,Departments!$A$2:$C$6,2,0)</f>
        <v>Sales</v>
      </c>
      <c r="N119" s="1" t="str">
        <f>INDEX(Departments!$B:$B,MATCH(Employees!F119,Departments!$A:$A,0))</f>
        <v>Sales</v>
      </c>
    </row>
    <row r="120" spans="1:14" x14ac:dyDescent="0.3">
      <c r="A120" s="1" t="s">
        <v>402</v>
      </c>
      <c r="B120" s="1" t="s">
        <v>44</v>
      </c>
      <c r="C120" s="1" t="s">
        <v>95</v>
      </c>
      <c r="D120" s="1" t="s">
        <v>24</v>
      </c>
      <c r="E120" s="1">
        <v>36</v>
      </c>
      <c r="F120" s="1" t="s">
        <v>50</v>
      </c>
      <c r="G120" s="1" t="s">
        <v>26</v>
      </c>
      <c r="H120" s="1" t="s">
        <v>403</v>
      </c>
      <c r="I120" s="1">
        <v>56294</v>
      </c>
      <c r="J120" s="1" t="s">
        <v>60</v>
      </c>
      <c r="K120" s="1" t="s">
        <v>404</v>
      </c>
      <c r="L120" s="1" t="s">
        <v>36</v>
      </c>
      <c r="M120" s="1" t="str">
        <f>VLOOKUP(F120,Departments!$A$2:$C$6,2,0)</f>
        <v>Finance</v>
      </c>
      <c r="N120" s="1" t="str">
        <f>INDEX(Departments!$B:$B,MATCH(Employees!F120,Departments!$A:$A,0))</f>
        <v>Finance</v>
      </c>
    </row>
    <row r="121" spans="1:14" x14ac:dyDescent="0.3">
      <c r="A121" s="1" t="s">
        <v>405</v>
      </c>
      <c r="B121" s="1" t="s">
        <v>44</v>
      </c>
      <c r="C121" s="1" t="s">
        <v>165</v>
      </c>
      <c r="D121" s="1" t="s">
        <v>15</v>
      </c>
      <c r="E121" s="1">
        <v>32</v>
      </c>
      <c r="F121" s="1" t="s">
        <v>50</v>
      </c>
      <c r="G121" s="1" t="s">
        <v>40</v>
      </c>
      <c r="H121" s="1" t="s">
        <v>406</v>
      </c>
      <c r="I121" s="1">
        <v>112759</v>
      </c>
      <c r="J121" s="1" t="s">
        <v>80</v>
      </c>
      <c r="K121" s="1" t="s">
        <v>407</v>
      </c>
      <c r="L121" s="1" t="s">
        <v>36</v>
      </c>
      <c r="M121" s="1" t="str">
        <f>VLOOKUP(F121,Departments!$A$2:$C$6,2,0)</f>
        <v>Finance</v>
      </c>
      <c r="N121" s="1" t="str">
        <f>INDEX(Departments!$B:$B,MATCH(Employees!F121,Departments!$A:$A,0))</f>
        <v>Finance</v>
      </c>
    </row>
    <row r="122" spans="1:14" x14ac:dyDescent="0.3">
      <c r="A122" s="1" t="s">
        <v>408</v>
      </c>
      <c r="B122" s="1" t="s">
        <v>94</v>
      </c>
      <c r="C122" s="1" t="s">
        <v>45</v>
      </c>
      <c r="D122" s="1" t="s">
        <v>15</v>
      </c>
      <c r="E122" s="1">
        <v>47</v>
      </c>
      <c r="F122" s="1" t="s">
        <v>25</v>
      </c>
      <c r="G122" s="1" t="s">
        <v>40</v>
      </c>
      <c r="H122" s="1" t="s">
        <v>409</v>
      </c>
      <c r="I122" s="1">
        <v>70479</v>
      </c>
      <c r="J122" s="1" t="s">
        <v>34</v>
      </c>
      <c r="K122" s="1" t="s">
        <v>410</v>
      </c>
      <c r="L122" s="1" t="s">
        <v>21</v>
      </c>
      <c r="M122" s="1" t="str">
        <f>VLOOKUP(F122,Departments!$A$2:$C$6,2,0)</f>
        <v>IT</v>
      </c>
      <c r="N122" s="1" t="str">
        <f>INDEX(Departments!$B:$B,MATCH(Employees!F122,Departments!$A:$A,0))</f>
        <v>IT</v>
      </c>
    </row>
    <row r="123" spans="1:14" x14ac:dyDescent="0.3">
      <c r="A123" s="1" t="s">
        <v>411</v>
      </c>
      <c r="B123" s="1" t="s">
        <v>44</v>
      </c>
      <c r="C123" s="1" t="s">
        <v>63</v>
      </c>
      <c r="D123" s="1" t="s">
        <v>15</v>
      </c>
      <c r="E123" s="1">
        <v>42</v>
      </c>
      <c r="F123" s="1" t="s">
        <v>16</v>
      </c>
      <c r="G123" s="1" t="s">
        <v>26</v>
      </c>
      <c r="H123" s="1" t="s">
        <v>412</v>
      </c>
      <c r="I123" s="1">
        <v>52630</v>
      </c>
      <c r="J123" s="1" t="s">
        <v>60</v>
      </c>
      <c r="K123" s="1" t="s">
        <v>413</v>
      </c>
      <c r="L123" s="1" t="s">
        <v>21</v>
      </c>
      <c r="M123" s="1" t="str">
        <f>VLOOKUP(F123,Departments!$A$2:$C$6,2,0)</f>
        <v>HR</v>
      </c>
      <c r="N123" s="1" t="str">
        <f>INDEX(Departments!$B:$B,MATCH(Employees!F123,Departments!$A:$A,0))</f>
        <v>HR</v>
      </c>
    </row>
    <row r="124" spans="1:14" x14ac:dyDescent="0.3">
      <c r="A124" s="1" t="s">
        <v>414</v>
      </c>
      <c r="B124" s="1" t="s">
        <v>44</v>
      </c>
      <c r="C124" s="1" t="s">
        <v>130</v>
      </c>
      <c r="D124" s="1" t="s">
        <v>24</v>
      </c>
      <c r="E124" s="1">
        <v>27</v>
      </c>
      <c r="F124" s="1" t="s">
        <v>31</v>
      </c>
      <c r="G124" s="1" t="s">
        <v>32</v>
      </c>
      <c r="H124" s="1" t="s">
        <v>415</v>
      </c>
      <c r="I124" s="1">
        <v>78119</v>
      </c>
      <c r="J124" s="1" t="s">
        <v>60</v>
      </c>
      <c r="K124" s="1" t="s">
        <v>416</v>
      </c>
      <c r="L124" s="1" t="s">
        <v>21</v>
      </c>
      <c r="M124" s="1" t="str">
        <f>VLOOKUP(F124,Departments!$A$2:$C$6,2,0)</f>
        <v>Sales</v>
      </c>
      <c r="N124" s="1" t="str">
        <f>INDEX(Departments!$B:$B,MATCH(Employees!F124,Departments!$A:$A,0))</f>
        <v>Sales</v>
      </c>
    </row>
    <row r="125" spans="1:14" x14ac:dyDescent="0.3">
      <c r="A125" s="1" t="s">
        <v>417</v>
      </c>
      <c r="B125" s="1" t="s">
        <v>44</v>
      </c>
      <c r="C125" s="1" t="s">
        <v>78</v>
      </c>
      <c r="D125" s="1" t="s">
        <v>15</v>
      </c>
      <c r="E125" s="1">
        <v>41</v>
      </c>
      <c r="F125" s="1" t="s">
        <v>25</v>
      </c>
      <c r="G125" s="1" t="s">
        <v>32</v>
      </c>
      <c r="H125" s="1" t="s">
        <v>418</v>
      </c>
      <c r="I125" s="1">
        <v>77100</v>
      </c>
      <c r="J125" s="1" t="s">
        <v>19</v>
      </c>
      <c r="K125" s="1" t="s">
        <v>419</v>
      </c>
      <c r="L125" s="1" t="s">
        <v>21</v>
      </c>
      <c r="M125" s="1" t="str">
        <f>VLOOKUP(F125,Departments!$A$2:$C$6,2,0)</f>
        <v>IT</v>
      </c>
      <c r="N125" s="1" t="str">
        <f>INDEX(Departments!$B:$B,MATCH(Employees!F125,Departments!$A:$A,0))</f>
        <v>IT</v>
      </c>
    </row>
    <row r="126" spans="1:14" x14ac:dyDescent="0.3">
      <c r="A126" s="1" t="s">
        <v>420</v>
      </c>
      <c r="B126" s="1" t="s">
        <v>38</v>
      </c>
      <c r="C126" s="1" t="s">
        <v>63</v>
      </c>
      <c r="D126" s="1" t="s">
        <v>15</v>
      </c>
      <c r="E126" s="1">
        <v>58</v>
      </c>
      <c r="F126" s="1" t="s">
        <v>31</v>
      </c>
      <c r="G126" s="1" t="s">
        <v>40</v>
      </c>
      <c r="H126" s="1" t="s">
        <v>421</v>
      </c>
      <c r="I126" s="1">
        <v>48296</v>
      </c>
      <c r="J126" s="1" t="s">
        <v>65</v>
      </c>
      <c r="K126" s="1" t="s">
        <v>422</v>
      </c>
      <c r="L126" s="1" t="s">
        <v>36</v>
      </c>
      <c r="M126" s="1" t="str">
        <f>VLOOKUP(F126,Departments!$A$2:$C$6,2,0)</f>
        <v>Sales</v>
      </c>
      <c r="N126" s="1" t="str">
        <f>INDEX(Departments!$B:$B,MATCH(Employees!F126,Departments!$A:$A,0))</f>
        <v>Sales</v>
      </c>
    </row>
    <row r="127" spans="1:14" x14ac:dyDescent="0.3">
      <c r="A127" s="1" t="s">
        <v>423</v>
      </c>
      <c r="B127" s="1" t="s">
        <v>54</v>
      </c>
      <c r="C127" s="1" t="s">
        <v>165</v>
      </c>
      <c r="D127" s="1" t="s">
        <v>24</v>
      </c>
      <c r="E127" s="1">
        <v>46</v>
      </c>
      <c r="F127" s="1" t="s">
        <v>50</v>
      </c>
      <c r="G127" s="1" t="s">
        <v>26</v>
      </c>
      <c r="H127" s="1" t="s">
        <v>424</v>
      </c>
      <c r="I127" s="1">
        <v>69026</v>
      </c>
      <c r="J127" s="1" t="s">
        <v>34</v>
      </c>
      <c r="K127" s="1" t="s">
        <v>425</v>
      </c>
      <c r="L127" s="1" t="s">
        <v>21</v>
      </c>
      <c r="M127" s="1" t="str">
        <f>VLOOKUP(F127,Departments!$A$2:$C$6,2,0)</f>
        <v>Finance</v>
      </c>
      <c r="N127" s="1" t="str">
        <f>INDEX(Departments!$B:$B,MATCH(Employees!F127,Departments!$A:$A,0))</f>
        <v>Finance</v>
      </c>
    </row>
    <row r="128" spans="1:14" x14ac:dyDescent="0.3">
      <c r="A128" s="1" t="s">
        <v>426</v>
      </c>
      <c r="B128" s="1" t="s">
        <v>58</v>
      </c>
      <c r="C128" s="1" t="s">
        <v>23</v>
      </c>
      <c r="D128" s="1" t="s">
        <v>15</v>
      </c>
      <c r="E128" s="1">
        <v>29</v>
      </c>
      <c r="F128" s="1" t="s">
        <v>25</v>
      </c>
      <c r="G128" s="1" t="s">
        <v>26</v>
      </c>
      <c r="H128" s="1" t="s">
        <v>427</v>
      </c>
      <c r="I128" s="1">
        <v>97080</v>
      </c>
      <c r="J128" s="1" t="s">
        <v>80</v>
      </c>
      <c r="K128" s="1" t="s">
        <v>428</v>
      </c>
      <c r="L128" s="1" t="s">
        <v>21</v>
      </c>
      <c r="M128" s="1" t="str">
        <f>VLOOKUP(F128,Departments!$A$2:$C$6,2,0)</f>
        <v>IT</v>
      </c>
      <c r="N128" s="1" t="str">
        <f>INDEX(Departments!$B:$B,MATCH(Employees!F128,Departments!$A:$A,0))</f>
        <v>IT</v>
      </c>
    </row>
    <row r="129" spans="1:14" x14ac:dyDescent="0.3">
      <c r="A129" s="1" t="s">
        <v>429</v>
      </c>
      <c r="B129" s="1" t="s">
        <v>71</v>
      </c>
      <c r="C129" s="1" t="s">
        <v>130</v>
      </c>
      <c r="D129" s="1" t="s">
        <v>24</v>
      </c>
      <c r="E129" s="1">
        <v>26</v>
      </c>
      <c r="F129" s="1" t="s">
        <v>25</v>
      </c>
      <c r="G129" s="1" t="s">
        <v>32</v>
      </c>
      <c r="H129" s="1" t="s">
        <v>430</v>
      </c>
      <c r="I129" s="1">
        <v>71436</v>
      </c>
      <c r="J129" s="1" t="s">
        <v>34</v>
      </c>
      <c r="K129" s="1" t="s">
        <v>431</v>
      </c>
      <c r="L129" s="1" t="s">
        <v>36</v>
      </c>
      <c r="M129" s="1" t="str">
        <f>VLOOKUP(F129,Departments!$A$2:$C$6,2,0)</f>
        <v>IT</v>
      </c>
      <c r="N129" s="1" t="str">
        <f>INDEX(Departments!$B:$B,MATCH(Employees!F129,Departments!$A:$A,0))</f>
        <v>IT</v>
      </c>
    </row>
    <row r="130" spans="1:14" x14ac:dyDescent="0.3">
      <c r="A130" s="1" t="s">
        <v>432</v>
      </c>
      <c r="B130" s="1" t="s">
        <v>94</v>
      </c>
      <c r="C130" s="1" t="s">
        <v>63</v>
      </c>
      <c r="D130" s="1" t="s">
        <v>24</v>
      </c>
      <c r="E130" s="1">
        <v>44</v>
      </c>
      <c r="F130" s="1" t="s">
        <v>16</v>
      </c>
      <c r="G130" s="1" t="s">
        <v>32</v>
      </c>
      <c r="H130" s="1" t="s">
        <v>433</v>
      </c>
      <c r="I130" s="1">
        <v>87790</v>
      </c>
      <c r="J130" s="1" t="s">
        <v>80</v>
      </c>
      <c r="K130" s="1" t="s">
        <v>434</v>
      </c>
      <c r="L130" s="1" t="s">
        <v>21</v>
      </c>
      <c r="M130" s="1" t="str">
        <f>VLOOKUP(F130,Departments!$A$2:$C$6,2,0)</f>
        <v>HR</v>
      </c>
      <c r="N130" s="1" t="str">
        <f>INDEX(Departments!$B:$B,MATCH(Employees!F130,Departments!$A:$A,0))</f>
        <v>HR</v>
      </c>
    </row>
    <row r="131" spans="1:14" x14ac:dyDescent="0.3">
      <c r="A131" s="1" t="s">
        <v>435</v>
      </c>
      <c r="B131" s="1" t="s">
        <v>54</v>
      </c>
      <c r="C131" s="1" t="s">
        <v>63</v>
      </c>
      <c r="D131" s="1" t="s">
        <v>24</v>
      </c>
      <c r="E131" s="1">
        <v>59</v>
      </c>
      <c r="F131" s="1" t="s">
        <v>16</v>
      </c>
      <c r="G131" s="1" t="s">
        <v>108</v>
      </c>
      <c r="H131" s="1" t="s">
        <v>436</v>
      </c>
      <c r="I131" s="1">
        <v>119530</v>
      </c>
      <c r="J131" s="1" t="s">
        <v>80</v>
      </c>
      <c r="K131" s="1" t="s">
        <v>437</v>
      </c>
      <c r="L131" s="1" t="s">
        <v>21</v>
      </c>
      <c r="M131" s="1" t="str">
        <f>VLOOKUP(F131,Departments!$A$2:$C$6,2,0)</f>
        <v>HR</v>
      </c>
      <c r="N131" s="1" t="str">
        <f>INDEX(Departments!$B:$B,MATCH(Employees!F131,Departments!$A:$A,0))</f>
        <v>HR</v>
      </c>
    </row>
    <row r="132" spans="1:14" x14ac:dyDescent="0.3">
      <c r="A132" s="1" t="s">
        <v>438</v>
      </c>
      <c r="B132" s="1" t="s">
        <v>143</v>
      </c>
      <c r="C132" s="1" t="s">
        <v>14</v>
      </c>
      <c r="D132" s="1" t="s">
        <v>24</v>
      </c>
      <c r="E132" s="1">
        <v>37</v>
      </c>
      <c r="F132" s="1" t="s">
        <v>31</v>
      </c>
      <c r="G132" s="1" t="s">
        <v>108</v>
      </c>
      <c r="H132" s="1" t="s">
        <v>439</v>
      </c>
      <c r="I132" s="1">
        <v>100623</v>
      </c>
      <c r="J132" s="1" t="s">
        <v>34</v>
      </c>
      <c r="K132" s="1" t="s">
        <v>440</v>
      </c>
      <c r="L132" s="1" t="s">
        <v>21</v>
      </c>
      <c r="M132" s="1" t="str">
        <f>VLOOKUP(F132,Departments!$A$2:$C$6,2,0)</f>
        <v>Sales</v>
      </c>
      <c r="N132" s="1" t="str">
        <f>INDEX(Departments!$B:$B,MATCH(Employees!F132,Departments!$A:$A,0))</f>
        <v>Sales</v>
      </c>
    </row>
    <row r="133" spans="1:14" x14ac:dyDescent="0.3">
      <c r="A133" s="1" t="s">
        <v>441</v>
      </c>
      <c r="B133" s="1" t="s">
        <v>44</v>
      </c>
      <c r="C133" s="1" t="s">
        <v>45</v>
      </c>
      <c r="D133" s="1" t="s">
        <v>24</v>
      </c>
      <c r="E133" s="1">
        <v>60</v>
      </c>
      <c r="F133" s="1" t="s">
        <v>31</v>
      </c>
      <c r="G133" s="1" t="s">
        <v>108</v>
      </c>
      <c r="H133" s="1" t="s">
        <v>442</v>
      </c>
      <c r="I133" s="1">
        <v>40317</v>
      </c>
      <c r="J133" s="1" t="s">
        <v>80</v>
      </c>
      <c r="K133" s="1" t="s">
        <v>443</v>
      </c>
      <c r="L133" s="1" t="s">
        <v>21</v>
      </c>
      <c r="M133" s="1" t="str">
        <f>VLOOKUP(F133,Departments!$A$2:$C$6,2,0)</f>
        <v>Sales</v>
      </c>
      <c r="N133" s="1" t="str">
        <f>INDEX(Departments!$B:$B,MATCH(Employees!F133,Departments!$A:$A,0))</f>
        <v>Sales</v>
      </c>
    </row>
    <row r="134" spans="1:14" x14ac:dyDescent="0.3">
      <c r="A134" s="1" t="s">
        <v>444</v>
      </c>
      <c r="B134" s="1" t="s">
        <v>71</v>
      </c>
      <c r="C134" s="1" t="s">
        <v>165</v>
      </c>
      <c r="D134" s="1" t="s">
        <v>24</v>
      </c>
      <c r="E134" s="1">
        <v>51</v>
      </c>
      <c r="F134" s="1" t="s">
        <v>25</v>
      </c>
      <c r="G134" s="1" t="s">
        <v>108</v>
      </c>
      <c r="H134" s="1" t="s">
        <v>445</v>
      </c>
      <c r="I134" s="1">
        <v>87915</v>
      </c>
      <c r="J134" s="1" t="s">
        <v>60</v>
      </c>
      <c r="K134" s="1" t="s">
        <v>446</v>
      </c>
      <c r="L134" s="1" t="s">
        <v>21</v>
      </c>
      <c r="M134" s="1" t="str">
        <f>VLOOKUP(F134,Departments!$A$2:$C$6,2,0)</f>
        <v>IT</v>
      </c>
      <c r="N134" s="1" t="str">
        <f>INDEX(Departments!$B:$B,MATCH(Employees!F134,Departments!$A:$A,0))</f>
        <v>IT</v>
      </c>
    </row>
    <row r="135" spans="1:14" x14ac:dyDescent="0.3">
      <c r="A135" s="1" t="s">
        <v>447</v>
      </c>
      <c r="B135" s="1" t="s">
        <v>143</v>
      </c>
      <c r="C135" s="1" t="s">
        <v>14</v>
      </c>
      <c r="D135" s="1" t="s">
        <v>15</v>
      </c>
      <c r="E135" s="1">
        <v>49</v>
      </c>
      <c r="F135" s="1" t="s">
        <v>31</v>
      </c>
      <c r="G135" s="1" t="s">
        <v>108</v>
      </c>
      <c r="H135" s="1" t="s">
        <v>448</v>
      </c>
      <c r="I135" s="1">
        <v>102279</v>
      </c>
      <c r="J135" s="1" t="s">
        <v>60</v>
      </c>
      <c r="K135" s="1" t="s">
        <v>449</v>
      </c>
      <c r="L135" s="1" t="s">
        <v>36</v>
      </c>
      <c r="M135" s="1" t="str">
        <f>VLOOKUP(F135,Departments!$A$2:$C$6,2,0)</f>
        <v>Sales</v>
      </c>
      <c r="N135" s="1" t="str">
        <f>INDEX(Departments!$B:$B,MATCH(Employees!F135,Departments!$A:$A,0))</f>
        <v>Sales</v>
      </c>
    </row>
    <row r="136" spans="1:14" x14ac:dyDescent="0.3">
      <c r="A136" s="1" t="s">
        <v>450</v>
      </c>
      <c r="B136" s="1" t="s">
        <v>71</v>
      </c>
      <c r="C136" s="1" t="s">
        <v>95</v>
      </c>
      <c r="D136" s="1" t="s">
        <v>24</v>
      </c>
      <c r="E136" s="1">
        <v>36</v>
      </c>
      <c r="F136" s="1" t="s">
        <v>31</v>
      </c>
      <c r="G136" s="1" t="s">
        <v>40</v>
      </c>
      <c r="H136" s="1" t="s">
        <v>451</v>
      </c>
      <c r="I136" s="1">
        <v>72887</v>
      </c>
      <c r="J136" s="1" t="s">
        <v>34</v>
      </c>
      <c r="K136" s="1" t="s">
        <v>452</v>
      </c>
      <c r="L136" s="1" t="s">
        <v>36</v>
      </c>
      <c r="M136" s="1" t="str">
        <f>VLOOKUP(F136,Departments!$A$2:$C$6,2,0)</f>
        <v>Sales</v>
      </c>
      <c r="N136" s="1" t="str">
        <f>INDEX(Departments!$B:$B,MATCH(Employees!F136,Departments!$A:$A,0))</f>
        <v>Sales</v>
      </c>
    </row>
    <row r="137" spans="1:14" x14ac:dyDescent="0.3">
      <c r="A137" s="1" t="s">
        <v>453</v>
      </c>
      <c r="B137" s="1" t="s">
        <v>38</v>
      </c>
      <c r="C137" s="1" t="s">
        <v>14</v>
      </c>
      <c r="D137" s="1" t="s">
        <v>15</v>
      </c>
      <c r="E137" s="1">
        <v>43</v>
      </c>
      <c r="F137" s="1" t="s">
        <v>16</v>
      </c>
      <c r="G137" s="1" t="s">
        <v>26</v>
      </c>
      <c r="H137" s="1" t="s">
        <v>454</v>
      </c>
      <c r="I137" s="1">
        <v>92793</v>
      </c>
      <c r="J137" s="1" t="s">
        <v>60</v>
      </c>
      <c r="K137" s="1" t="s">
        <v>455</v>
      </c>
      <c r="L137" s="1" t="s">
        <v>21</v>
      </c>
      <c r="M137" s="1" t="str">
        <f>VLOOKUP(F137,Departments!$A$2:$C$6,2,0)</f>
        <v>HR</v>
      </c>
      <c r="N137" s="1" t="str">
        <f>INDEX(Departments!$B:$B,MATCH(Employees!F137,Departments!$A:$A,0))</f>
        <v>HR</v>
      </c>
    </row>
    <row r="138" spans="1:14" x14ac:dyDescent="0.3">
      <c r="A138" s="1" t="s">
        <v>456</v>
      </c>
      <c r="B138" s="1" t="s">
        <v>94</v>
      </c>
      <c r="C138" s="1" t="s">
        <v>78</v>
      </c>
      <c r="D138" s="1" t="s">
        <v>24</v>
      </c>
      <c r="E138" s="1">
        <v>48</v>
      </c>
      <c r="F138" s="1" t="s">
        <v>39</v>
      </c>
      <c r="G138" s="1" t="s">
        <v>26</v>
      </c>
      <c r="H138" s="1" t="s">
        <v>457</v>
      </c>
      <c r="I138" s="1">
        <v>114316</v>
      </c>
      <c r="J138" s="1" t="s">
        <v>65</v>
      </c>
      <c r="K138" s="1" t="s">
        <v>458</v>
      </c>
      <c r="L138" s="1" t="s">
        <v>21</v>
      </c>
      <c r="M138" s="1" t="str">
        <f>VLOOKUP(F138,Departments!$A$2:$C$6,2,0)</f>
        <v>Marketing</v>
      </c>
      <c r="N138" s="1" t="str">
        <f>INDEX(Departments!$B:$B,MATCH(Employees!F138,Departments!$A:$A,0))</f>
        <v>Marketing</v>
      </c>
    </row>
    <row r="139" spans="1:14" x14ac:dyDescent="0.3">
      <c r="A139" s="1" t="s">
        <v>459</v>
      </c>
      <c r="B139" s="1" t="s">
        <v>38</v>
      </c>
      <c r="C139" s="1" t="s">
        <v>45</v>
      </c>
      <c r="D139" s="1" t="s">
        <v>24</v>
      </c>
      <c r="E139" s="1">
        <v>59</v>
      </c>
      <c r="F139" s="1" t="s">
        <v>39</v>
      </c>
      <c r="G139" s="1" t="s">
        <v>17</v>
      </c>
      <c r="H139" s="1" t="s">
        <v>460</v>
      </c>
      <c r="I139" s="1">
        <v>60835</v>
      </c>
      <c r="J139" s="1" t="s">
        <v>60</v>
      </c>
      <c r="K139" s="1" t="s">
        <v>461</v>
      </c>
      <c r="L139" s="1" t="s">
        <v>21</v>
      </c>
      <c r="M139" s="1" t="str">
        <f>VLOOKUP(F139,Departments!$A$2:$C$6,2,0)</f>
        <v>Marketing</v>
      </c>
      <c r="N139" s="1" t="str">
        <f>INDEX(Departments!$B:$B,MATCH(Employees!F139,Departments!$A:$A,0))</f>
        <v>Marketing</v>
      </c>
    </row>
    <row r="140" spans="1:14" x14ac:dyDescent="0.3">
      <c r="A140" s="1" t="s">
        <v>462</v>
      </c>
      <c r="B140" s="1" t="s">
        <v>49</v>
      </c>
      <c r="C140" s="1" t="s">
        <v>165</v>
      </c>
      <c r="D140" s="1" t="s">
        <v>24</v>
      </c>
      <c r="E140" s="1">
        <v>31</v>
      </c>
      <c r="F140" s="1" t="s">
        <v>31</v>
      </c>
      <c r="G140" s="1" t="s">
        <v>26</v>
      </c>
      <c r="H140" s="1" t="s">
        <v>463</v>
      </c>
      <c r="I140" s="1">
        <v>105179</v>
      </c>
      <c r="J140" s="1" t="s">
        <v>19</v>
      </c>
      <c r="K140" s="1" t="s">
        <v>464</v>
      </c>
      <c r="L140" s="1" t="s">
        <v>21</v>
      </c>
      <c r="M140" s="1" t="str">
        <f>VLOOKUP(F140,Departments!$A$2:$C$6,2,0)</f>
        <v>Sales</v>
      </c>
      <c r="N140" s="1" t="str">
        <f>INDEX(Departments!$B:$B,MATCH(Employees!F140,Departments!$A:$A,0))</f>
        <v>Sales</v>
      </c>
    </row>
    <row r="141" spans="1:14" x14ac:dyDescent="0.3">
      <c r="A141" s="1" t="s">
        <v>465</v>
      </c>
      <c r="B141" s="1" t="s">
        <v>94</v>
      </c>
      <c r="C141" s="1" t="s">
        <v>165</v>
      </c>
      <c r="D141" s="1" t="s">
        <v>15</v>
      </c>
      <c r="E141" s="1">
        <v>48</v>
      </c>
      <c r="F141" s="1" t="s">
        <v>31</v>
      </c>
      <c r="G141" s="1" t="s">
        <v>40</v>
      </c>
      <c r="H141" s="1" t="s">
        <v>466</v>
      </c>
      <c r="I141" s="1">
        <v>109704</v>
      </c>
      <c r="J141" s="1" t="s">
        <v>80</v>
      </c>
      <c r="K141" s="1" t="s">
        <v>467</v>
      </c>
      <c r="L141" s="1" t="s">
        <v>36</v>
      </c>
      <c r="M141" s="1" t="str">
        <f>VLOOKUP(F141,Departments!$A$2:$C$6,2,0)</f>
        <v>Sales</v>
      </c>
      <c r="N141" s="1" t="str">
        <f>INDEX(Departments!$B:$B,MATCH(Employees!F141,Departments!$A:$A,0))</f>
        <v>Sales</v>
      </c>
    </row>
    <row r="142" spans="1:14" x14ac:dyDescent="0.3">
      <c r="A142" s="1" t="s">
        <v>468</v>
      </c>
      <c r="B142" s="1" t="s">
        <v>54</v>
      </c>
      <c r="C142" s="1" t="s">
        <v>130</v>
      </c>
      <c r="D142" s="1" t="s">
        <v>15</v>
      </c>
      <c r="E142" s="1">
        <v>32</v>
      </c>
      <c r="F142" s="1" t="s">
        <v>39</v>
      </c>
      <c r="G142" s="1" t="s">
        <v>32</v>
      </c>
      <c r="H142" s="1" t="s">
        <v>469</v>
      </c>
      <c r="I142" s="1">
        <v>68125</v>
      </c>
      <c r="J142" s="1" t="s">
        <v>34</v>
      </c>
      <c r="K142" s="1" t="s">
        <v>470</v>
      </c>
      <c r="L142" s="1" t="s">
        <v>21</v>
      </c>
      <c r="M142" s="1" t="str">
        <f>VLOOKUP(F142,Departments!$A$2:$C$6,2,0)</f>
        <v>Marketing</v>
      </c>
      <c r="N142" s="1" t="str">
        <f>INDEX(Departments!$B:$B,MATCH(Employees!F142,Departments!$A:$A,0))</f>
        <v>Marketing</v>
      </c>
    </row>
    <row r="143" spans="1:14" x14ac:dyDescent="0.3">
      <c r="A143" s="1" t="s">
        <v>471</v>
      </c>
      <c r="B143" s="1" t="s">
        <v>38</v>
      </c>
      <c r="C143" s="1" t="s">
        <v>78</v>
      </c>
      <c r="D143" s="1" t="s">
        <v>15</v>
      </c>
      <c r="E143" s="1">
        <v>47</v>
      </c>
      <c r="F143" s="1" t="s">
        <v>31</v>
      </c>
      <c r="G143" s="1" t="s">
        <v>17</v>
      </c>
      <c r="H143" s="1" t="s">
        <v>472</v>
      </c>
      <c r="I143" s="1">
        <v>96812</v>
      </c>
      <c r="J143" s="1" t="s">
        <v>80</v>
      </c>
      <c r="K143" s="1" t="s">
        <v>473</v>
      </c>
      <c r="L143" s="1" t="s">
        <v>21</v>
      </c>
      <c r="M143" s="1" t="str">
        <f>VLOOKUP(F143,Departments!$A$2:$C$6,2,0)</f>
        <v>Sales</v>
      </c>
      <c r="N143" s="1" t="str">
        <f>INDEX(Departments!$B:$B,MATCH(Employees!F143,Departments!$A:$A,0))</f>
        <v>Sales</v>
      </c>
    </row>
    <row r="144" spans="1:14" x14ac:dyDescent="0.3">
      <c r="A144" s="1" t="s">
        <v>474</v>
      </c>
      <c r="B144" s="1" t="s">
        <v>58</v>
      </c>
      <c r="C144" s="1" t="s">
        <v>165</v>
      </c>
      <c r="D144" s="1" t="s">
        <v>15</v>
      </c>
      <c r="E144" s="1">
        <v>47</v>
      </c>
      <c r="F144" s="1" t="s">
        <v>50</v>
      </c>
      <c r="G144" s="1" t="s">
        <v>26</v>
      </c>
      <c r="H144" s="1" t="s">
        <v>475</v>
      </c>
      <c r="I144" s="1">
        <v>116650</v>
      </c>
      <c r="J144" s="1" t="s">
        <v>65</v>
      </c>
      <c r="K144" s="1" t="s">
        <v>476</v>
      </c>
      <c r="L144" s="1" t="s">
        <v>36</v>
      </c>
      <c r="M144" s="1" t="str">
        <f>VLOOKUP(F144,Departments!$A$2:$C$6,2,0)</f>
        <v>Finance</v>
      </c>
      <c r="N144" s="1" t="str">
        <f>INDEX(Departments!$B:$B,MATCH(Employees!F144,Departments!$A:$A,0))</f>
        <v>Finance</v>
      </c>
    </row>
    <row r="145" spans="1:14" x14ac:dyDescent="0.3">
      <c r="A145" s="1" t="s">
        <v>477</v>
      </c>
      <c r="B145" s="1" t="s">
        <v>71</v>
      </c>
      <c r="C145" s="1" t="s">
        <v>83</v>
      </c>
      <c r="D145" s="1" t="s">
        <v>24</v>
      </c>
      <c r="E145" s="1">
        <v>28</v>
      </c>
      <c r="F145" s="1" t="s">
        <v>39</v>
      </c>
      <c r="G145" s="1" t="s">
        <v>26</v>
      </c>
      <c r="H145" s="1" t="s">
        <v>478</v>
      </c>
      <c r="I145" s="1">
        <v>86592</v>
      </c>
      <c r="J145" s="1" t="s">
        <v>80</v>
      </c>
      <c r="K145" s="1" t="s">
        <v>479</v>
      </c>
      <c r="L145" s="1" t="s">
        <v>36</v>
      </c>
      <c r="M145" s="1" t="str">
        <f>VLOOKUP(F145,Departments!$A$2:$C$6,2,0)</f>
        <v>Marketing</v>
      </c>
      <c r="N145" s="1" t="str">
        <f>INDEX(Departments!$B:$B,MATCH(Employees!F145,Departments!$A:$A,0))</f>
        <v>Marketing</v>
      </c>
    </row>
    <row r="146" spans="1:14" x14ac:dyDescent="0.3">
      <c r="A146" s="1" t="s">
        <v>480</v>
      </c>
      <c r="B146" s="1" t="s">
        <v>44</v>
      </c>
      <c r="C146" s="1" t="s">
        <v>23</v>
      </c>
      <c r="D146" s="1" t="s">
        <v>24</v>
      </c>
      <c r="E146" s="1">
        <v>57</v>
      </c>
      <c r="F146" s="1" t="s">
        <v>50</v>
      </c>
      <c r="G146" s="1" t="s">
        <v>26</v>
      </c>
      <c r="H146" s="1" t="s">
        <v>481</v>
      </c>
      <c r="I146" s="1">
        <v>78320</v>
      </c>
      <c r="J146" s="1" t="s">
        <v>34</v>
      </c>
      <c r="K146" s="1" t="s">
        <v>482</v>
      </c>
      <c r="L146" s="1" t="s">
        <v>21</v>
      </c>
      <c r="M146" s="1" t="str">
        <f>VLOOKUP(F146,Departments!$A$2:$C$6,2,0)</f>
        <v>Finance</v>
      </c>
      <c r="N146" s="1" t="str">
        <f>INDEX(Departments!$B:$B,MATCH(Employees!F146,Departments!$A:$A,0))</f>
        <v>Finance</v>
      </c>
    </row>
    <row r="147" spans="1:14" x14ac:dyDescent="0.3">
      <c r="A147" s="1" t="s">
        <v>483</v>
      </c>
      <c r="B147" s="1" t="s">
        <v>30</v>
      </c>
      <c r="C147" s="1" t="s">
        <v>45</v>
      </c>
      <c r="D147" s="1" t="s">
        <v>24</v>
      </c>
      <c r="E147" s="1">
        <v>40</v>
      </c>
      <c r="F147" s="1" t="s">
        <v>16</v>
      </c>
      <c r="G147" s="1" t="s">
        <v>17</v>
      </c>
      <c r="H147" s="1" t="s">
        <v>484</v>
      </c>
      <c r="I147" s="1">
        <v>50627</v>
      </c>
      <c r="J147" s="1" t="s">
        <v>80</v>
      </c>
      <c r="K147" s="1" t="s">
        <v>485</v>
      </c>
      <c r="L147" s="1" t="s">
        <v>36</v>
      </c>
      <c r="M147" s="1" t="str">
        <f>VLOOKUP(F147,Departments!$A$2:$C$6,2,0)</f>
        <v>HR</v>
      </c>
      <c r="N147" s="1" t="str">
        <f>INDEX(Departments!$B:$B,MATCH(Employees!F147,Departments!$A:$A,0))</f>
        <v>HR</v>
      </c>
    </row>
    <row r="148" spans="1:14" x14ac:dyDescent="0.3">
      <c r="A148" s="1" t="s">
        <v>486</v>
      </c>
      <c r="B148" s="1" t="s">
        <v>38</v>
      </c>
      <c r="C148" s="1" t="s">
        <v>95</v>
      </c>
      <c r="D148" s="1" t="s">
        <v>24</v>
      </c>
      <c r="E148" s="1">
        <v>47</v>
      </c>
      <c r="F148" s="1" t="s">
        <v>25</v>
      </c>
      <c r="G148" s="1" t="s">
        <v>26</v>
      </c>
      <c r="H148" s="1" t="s">
        <v>487</v>
      </c>
      <c r="I148" s="1">
        <v>84212</v>
      </c>
      <c r="J148" s="1" t="s">
        <v>34</v>
      </c>
      <c r="K148" s="1" t="s">
        <v>488</v>
      </c>
      <c r="L148" s="1" t="s">
        <v>36</v>
      </c>
      <c r="M148" s="1" t="str">
        <f>VLOOKUP(F148,Departments!$A$2:$C$6,2,0)</f>
        <v>IT</v>
      </c>
      <c r="N148" s="1" t="str">
        <f>INDEX(Departments!$B:$B,MATCH(Employees!F148,Departments!$A:$A,0))</f>
        <v>IT</v>
      </c>
    </row>
    <row r="149" spans="1:14" x14ac:dyDescent="0.3">
      <c r="A149" s="1" t="s">
        <v>489</v>
      </c>
      <c r="B149" s="1" t="s">
        <v>54</v>
      </c>
      <c r="C149" s="1" t="s">
        <v>63</v>
      </c>
      <c r="D149" s="1" t="s">
        <v>15</v>
      </c>
      <c r="E149" s="1">
        <v>53</v>
      </c>
      <c r="F149" s="1" t="s">
        <v>50</v>
      </c>
      <c r="G149" s="1" t="s">
        <v>32</v>
      </c>
      <c r="H149" s="1" t="s">
        <v>490</v>
      </c>
      <c r="I149" s="1">
        <v>98718</v>
      </c>
      <c r="J149" s="1" t="s">
        <v>34</v>
      </c>
      <c r="K149" s="1" t="s">
        <v>491</v>
      </c>
      <c r="L149" s="1" t="s">
        <v>21</v>
      </c>
      <c r="M149" s="1" t="str">
        <f>VLOOKUP(F149,Departments!$A$2:$C$6,2,0)</f>
        <v>Finance</v>
      </c>
      <c r="N149" s="1" t="str">
        <f>INDEX(Departments!$B:$B,MATCH(Employees!F149,Departments!$A:$A,0))</f>
        <v>Finance</v>
      </c>
    </row>
    <row r="150" spans="1:14" x14ac:dyDescent="0.3">
      <c r="A150" s="1" t="s">
        <v>492</v>
      </c>
      <c r="B150" s="1" t="s">
        <v>143</v>
      </c>
      <c r="C150" s="1" t="s">
        <v>23</v>
      </c>
      <c r="D150" s="1" t="s">
        <v>24</v>
      </c>
      <c r="E150" s="1">
        <v>22</v>
      </c>
      <c r="F150" s="1" t="s">
        <v>16</v>
      </c>
      <c r="G150" s="1" t="s">
        <v>26</v>
      </c>
      <c r="H150" s="1" t="s">
        <v>193</v>
      </c>
      <c r="I150" s="1">
        <v>35307</v>
      </c>
      <c r="J150" s="1" t="s">
        <v>80</v>
      </c>
      <c r="K150" s="1" t="s">
        <v>493</v>
      </c>
      <c r="L150" s="1" t="s">
        <v>36</v>
      </c>
      <c r="M150" s="1" t="str">
        <f>VLOOKUP(F150,Departments!$A$2:$C$6,2,0)</f>
        <v>HR</v>
      </c>
      <c r="N150" s="1" t="str">
        <f>INDEX(Departments!$B:$B,MATCH(Employees!F150,Departments!$A:$A,0))</f>
        <v>HR</v>
      </c>
    </row>
    <row r="151" spans="1:14" x14ac:dyDescent="0.3">
      <c r="A151" s="1" t="s">
        <v>494</v>
      </c>
      <c r="B151" s="1" t="s">
        <v>30</v>
      </c>
      <c r="C151" s="1" t="s">
        <v>130</v>
      </c>
      <c r="D151" s="1" t="s">
        <v>15</v>
      </c>
      <c r="E151" s="1">
        <v>54</v>
      </c>
      <c r="F151" s="1" t="s">
        <v>25</v>
      </c>
      <c r="G151" s="1" t="s">
        <v>108</v>
      </c>
      <c r="H151" s="1" t="s">
        <v>495</v>
      </c>
      <c r="I151" s="1">
        <v>92735</v>
      </c>
      <c r="J151" s="1" t="s">
        <v>60</v>
      </c>
      <c r="K151" s="1" t="s">
        <v>496</v>
      </c>
      <c r="L151" s="1" t="s">
        <v>36</v>
      </c>
      <c r="M151" s="1" t="str">
        <f>VLOOKUP(F151,Departments!$A$2:$C$6,2,0)</f>
        <v>IT</v>
      </c>
      <c r="N151" s="1" t="str">
        <f>INDEX(Departments!$B:$B,MATCH(Employees!F151,Departments!$A:$A,0))</f>
        <v>IT</v>
      </c>
    </row>
    <row r="152" spans="1:14" x14ac:dyDescent="0.3">
      <c r="A152" s="1" t="s">
        <v>497</v>
      </c>
      <c r="B152" s="1" t="s">
        <v>94</v>
      </c>
      <c r="C152" s="1" t="s">
        <v>14</v>
      </c>
      <c r="D152" s="1" t="s">
        <v>24</v>
      </c>
      <c r="E152" s="1">
        <v>45</v>
      </c>
      <c r="F152" s="1" t="s">
        <v>50</v>
      </c>
      <c r="G152" s="1" t="s">
        <v>17</v>
      </c>
      <c r="H152" s="1" t="s">
        <v>498</v>
      </c>
      <c r="I152" s="1">
        <v>55679</v>
      </c>
      <c r="J152" s="1" t="s">
        <v>60</v>
      </c>
      <c r="K152" s="1" t="s">
        <v>499</v>
      </c>
      <c r="L152" s="1" t="s">
        <v>36</v>
      </c>
      <c r="M152" s="1" t="str">
        <f>VLOOKUP(F152,Departments!$A$2:$C$6,2,0)</f>
        <v>Finance</v>
      </c>
      <c r="N152" s="1" t="str">
        <f>INDEX(Departments!$B:$B,MATCH(Employees!F152,Departments!$A:$A,0))</f>
        <v>Finance</v>
      </c>
    </row>
    <row r="153" spans="1:14" x14ac:dyDescent="0.3">
      <c r="A153" s="1" t="s">
        <v>500</v>
      </c>
      <c r="B153" s="1" t="s">
        <v>38</v>
      </c>
      <c r="C153" s="1" t="s">
        <v>90</v>
      </c>
      <c r="D153" s="1" t="s">
        <v>15</v>
      </c>
      <c r="E153" s="1">
        <v>25</v>
      </c>
      <c r="F153" s="1" t="s">
        <v>25</v>
      </c>
      <c r="G153" s="1" t="s">
        <v>32</v>
      </c>
      <c r="H153" s="1" t="s">
        <v>501</v>
      </c>
      <c r="I153" s="1">
        <v>94614</v>
      </c>
      <c r="J153" s="1" t="s">
        <v>34</v>
      </c>
      <c r="K153" s="1" t="s">
        <v>502</v>
      </c>
      <c r="L153" s="1" t="s">
        <v>21</v>
      </c>
      <c r="M153" s="1" t="str">
        <f>VLOOKUP(F153,Departments!$A$2:$C$6,2,0)</f>
        <v>IT</v>
      </c>
      <c r="N153" s="1" t="str">
        <f>INDEX(Departments!$B:$B,MATCH(Employees!F153,Departments!$A:$A,0))</f>
        <v>IT</v>
      </c>
    </row>
    <row r="154" spans="1:14" x14ac:dyDescent="0.3">
      <c r="A154" s="1" t="s">
        <v>503</v>
      </c>
      <c r="B154" s="1" t="s">
        <v>30</v>
      </c>
      <c r="C154" s="1" t="s">
        <v>90</v>
      </c>
      <c r="D154" s="1" t="s">
        <v>24</v>
      </c>
      <c r="E154" s="1">
        <v>53</v>
      </c>
      <c r="F154" s="1" t="s">
        <v>31</v>
      </c>
      <c r="G154" s="1" t="s">
        <v>40</v>
      </c>
      <c r="H154" s="1" t="s">
        <v>504</v>
      </c>
      <c r="I154" s="1">
        <v>102516</v>
      </c>
      <c r="J154" s="1" t="s">
        <v>34</v>
      </c>
      <c r="K154" s="1" t="s">
        <v>505</v>
      </c>
      <c r="L154" s="1" t="s">
        <v>21</v>
      </c>
      <c r="M154" s="1" t="str">
        <f>VLOOKUP(F154,Departments!$A$2:$C$6,2,0)</f>
        <v>Sales</v>
      </c>
      <c r="N154" s="1" t="str">
        <f>INDEX(Departments!$B:$B,MATCH(Employees!F154,Departments!$A:$A,0))</f>
        <v>Sales</v>
      </c>
    </row>
    <row r="155" spans="1:14" x14ac:dyDescent="0.3">
      <c r="A155" s="1" t="s">
        <v>506</v>
      </c>
      <c r="B155" s="1" t="s">
        <v>49</v>
      </c>
      <c r="C155" s="1" t="s">
        <v>90</v>
      </c>
      <c r="D155" s="1" t="s">
        <v>24</v>
      </c>
      <c r="E155" s="1">
        <v>48</v>
      </c>
      <c r="F155" s="1" t="s">
        <v>31</v>
      </c>
      <c r="G155" s="1" t="s">
        <v>17</v>
      </c>
      <c r="H155" s="1" t="s">
        <v>507</v>
      </c>
      <c r="I155" s="1">
        <v>47666</v>
      </c>
      <c r="J155" s="1" t="s">
        <v>80</v>
      </c>
      <c r="K155" s="1" t="s">
        <v>508</v>
      </c>
      <c r="L155" s="1" t="s">
        <v>36</v>
      </c>
      <c r="M155" s="1" t="str">
        <f>VLOOKUP(F155,Departments!$A$2:$C$6,2,0)</f>
        <v>Sales</v>
      </c>
      <c r="N155" s="1" t="str">
        <f>INDEX(Departments!$B:$B,MATCH(Employees!F155,Departments!$A:$A,0))</f>
        <v>Sales</v>
      </c>
    </row>
    <row r="156" spans="1:14" x14ac:dyDescent="0.3">
      <c r="A156" s="1" t="s">
        <v>509</v>
      </c>
      <c r="B156" s="1" t="s">
        <v>54</v>
      </c>
      <c r="C156" s="1" t="s">
        <v>23</v>
      </c>
      <c r="D156" s="1" t="s">
        <v>15</v>
      </c>
      <c r="E156" s="1">
        <v>27</v>
      </c>
      <c r="F156" s="1" t="s">
        <v>16</v>
      </c>
      <c r="G156" s="1" t="s">
        <v>40</v>
      </c>
      <c r="H156" s="1" t="s">
        <v>510</v>
      </c>
      <c r="I156" s="1">
        <v>72710</v>
      </c>
      <c r="J156" s="1" t="s">
        <v>80</v>
      </c>
      <c r="K156" s="1" t="s">
        <v>511</v>
      </c>
      <c r="L156" s="1" t="s">
        <v>36</v>
      </c>
      <c r="M156" s="1" t="str">
        <f>VLOOKUP(F156,Departments!$A$2:$C$6,2,0)</f>
        <v>HR</v>
      </c>
      <c r="N156" s="1" t="str">
        <f>INDEX(Departments!$B:$B,MATCH(Employees!F156,Departments!$A:$A,0))</f>
        <v>HR</v>
      </c>
    </row>
    <row r="157" spans="1:14" x14ac:dyDescent="0.3">
      <c r="A157" s="1" t="s">
        <v>512</v>
      </c>
      <c r="B157" s="1" t="s">
        <v>71</v>
      </c>
      <c r="C157" s="1" t="s">
        <v>23</v>
      </c>
      <c r="D157" s="1" t="s">
        <v>24</v>
      </c>
      <c r="E157" s="1">
        <v>22</v>
      </c>
      <c r="F157" s="1" t="s">
        <v>25</v>
      </c>
      <c r="G157" s="1" t="s">
        <v>108</v>
      </c>
      <c r="H157" s="1" t="s">
        <v>513</v>
      </c>
      <c r="I157" s="1">
        <v>60944</v>
      </c>
      <c r="J157" s="1" t="s">
        <v>65</v>
      </c>
      <c r="K157" s="1" t="s">
        <v>514</v>
      </c>
      <c r="L157" s="1" t="s">
        <v>36</v>
      </c>
      <c r="M157" s="1" t="str">
        <f>VLOOKUP(F157,Departments!$A$2:$C$6,2,0)</f>
        <v>IT</v>
      </c>
      <c r="N157" s="1" t="str">
        <f>INDEX(Departments!$B:$B,MATCH(Employees!F157,Departments!$A:$A,0))</f>
        <v>IT</v>
      </c>
    </row>
    <row r="158" spans="1:14" x14ac:dyDescent="0.3">
      <c r="A158" s="1" t="s">
        <v>515</v>
      </c>
      <c r="B158" s="1" t="s">
        <v>54</v>
      </c>
      <c r="C158" s="1" t="s">
        <v>78</v>
      </c>
      <c r="D158" s="1" t="s">
        <v>15</v>
      </c>
      <c r="E158" s="1">
        <v>39</v>
      </c>
      <c r="F158" s="1" t="s">
        <v>50</v>
      </c>
      <c r="G158" s="1" t="s">
        <v>32</v>
      </c>
      <c r="H158" s="1" t="s">
        <v>516</v>
      </c>
      <c r="I158" s="1">
        <v>87181</v>
      </c>
      <c r="J158" s="1" t="s">
        <v>60</v>
      </c>
      <c r="K158" s="1" t="s">
        <v>517</v>
      </c>
      <c r="L158" s="1" t="s">
        <v>21</v>
      </c>
      <c r="M158" s="1" t="str">
        <f>VLOOKUP(F158,Departments!$A$2:$C$6,2,0)</f>
        <v>Finance</v>
      </c>
      <c r="N158" s="1" t="str">
        <f>INDEX(Departments!$B:$B,MATCH(Employees!F158,Departments!$A:$A,0))</f>
        <v>Finance</v>
      </c>
    </row>
    <row r="159" spans="1:14" x14ac:dyDescent="0.3">
      <c r="A159" s="1" t="s">
        <v>518</v>
      </c>
      <c r="B159" s="1" t="s">
        <v>71</v>
      </c>
      <c r="C159" s="1" t="s">
        <v>63</v>
      </c>
      <c r="D159" s="1" t="s">
        <v>15</v>
      </c>
      <c r="E159" s="1">
        <v>42</v>
      </c>
      <c r="F159" s="1" t="s">
        <v>31</v>
      </c>
      <c r="G159" s="1" t="s">
        <v>32</v>
      </c>
      <c r="H159" s="1" t="s">
        <v>519</v>
      </c>
      <c r="I159" s="1">
        <v>65659</v>
      </c>
      <c r="J159" s="1" t="s">
        <v>65</v>
      </c>
      <c r="K159" s="1" t="s">
        <v>520</v>
      </c>
      <c r="L159" s="1" t="s">
        <v>36</v>
      </c>
      <c r="M159" s="1" t="str">
        <f>VLOOKUP(F159,Departments!$A$2:$C$6,2,0)</f>
        <v>Sales</v>
      </c>
      <c r="N159" s="1" t="str">
        <f>INDEX(Departments!$B:$B,MATCH(Employees!F159,Departments!$A:$A,0))</f>
        <v>Sales</v>
      </c>
    </row>
    <row r="160" spans="1:14" x14ac:dyDescent="0.3">
      <c r="A160" s="1" t="s">
        <v>521</v>
      </c>
      <c r="B160" s="1" t="s">
        <v>49</v>
      </c>
      <c r="C160" s="1" t="s">
        <v>78</v>
      </c>
      <c r="D160" s="1" t="s">
        <v>24</v>
      </c>
      <c r="E160" s="1">
        <v>46</v>
      </c>
      <c r="F160" s="1" t="s">
        <v>50</v>
      </c>
      <c r="G160" s="1" t="s">
        <v>32</v>
      </c>
      <c r="H160" s="1" t="s">
        <v>522</v>
      </c>
      <c r="I160" s="1">
        <v>100538</v>
      </c>
      <c r="J160" s="1" t="s">
        <v>65</v>
      </c>
      <c r="K160" s="1" t="s">
        <v>523</v>
      </c>
      <c r="L160" s="1" t="s">
        <v>21</v>
      </c>
      <c r="M160" s="1" t="str">
        <f>VLOOKUP(F160,Departments!$A$2:$C$6,2,0)</f>
        <v>Finance</v>
      </c>
      <c r="N160" s="1" t="str">
        <f>INDEX(Departments!$B:$B,MATCH(Employees!F160,Departments!$A:$A,0))</f>
        <v>Finance</v>
      </c>
    </row>
    <row r="161" spans="1:14" x14ac:dyDescent="0.3">
      <c r="A161" s="1" t="s">
        <v>524</v>
      </c>
      <c r="B161" s="1" t="s">
        <v>71</v>
      </c>
      <c r="C161" s="1" t="s">
        <v>165</v>
      </c>
      <c r="D161" s="1" t="s">
        <v>24</v>
      </c>
      <c r="E161" s="1">
        <v>49</v>
      </c>
      <c r="F161" s="1" t="s">
        <v>50</v>
      </c>
      <c r="G161" s="1" t="s">
        <v>32</v>
      </c>
      <c r="H161" s="1" t="s">
        <v>525</v>
      </c>
      <c r="I161" s="1">
        <v>109819</v>
      </c>
      <c r="J161" s="1" t="s">
        <v>19</v>
      </c>
      <c r="K161" s="1" t="s">
        <v>526</v>
      </c>
      <c r="L161" s="1" t="s">
        <v>21</v>
      </c>
      <c r="M161" s="1" t="str">
        <f>VLOOKUP(F161,Departments!$A$2:$C$6,2,0)</f>
        <v>Finance</v>
      </c>
      <c r="N161" s="1" t="str">
        <f>INDEX(Departments!$B:$B,MATCH(Employees!F161,Departments!$A:$A,0))</f>
        <v>Finance</v>
      </c>
    </row>
    <row r="162" spans="1:14" x14ac:dyDescent="0.3">
      <c r="A162" s="1" t="s">
        <v>527</v>
      </c>
      <c r="B162" s="1" t="s">
        <v>38</v>
      </c>
      <c r="C162" s="1" t="s">
        <v>14</v>
      </c>
      <c r="D162" s="1" t="s">
        <v>15</v>
      </c>
      <c r="E162" s="1">
        <v>24</v>
      </c>
      <c r="F162" s="1" t="s">
        <v>31</v>
      </c>
      <c r="G162" s="1" t="s">
        <v>40</v>
      </c>
      <c r="H162" s="1" t="s">
        <v>528</v>
      </c>
      <c r="I162" s="1">
        <v>113747</v>
      </c>
      <c r="J162" s="1" t="s">
        <v>60</v>
      </c>
      <c r="K162" s="1" t="s">
        <v>529</v>
      </c>
      <c r="L162" s="1" t="s">
        <v>21</v>
      </c>
      <c r="M162" s="1" t="str">
        <f>VLOOKUP(F162,Departments!$A$2:$C$6,2,0)</f>
        <v>Sales</v>
      </c>
      <c r="N162" s="1" t="str">
        <f>INDEX(Departments!$B:$B,MATCH(Employees!F162,Departments!$A:$A,0))</f>
        <v>Sales</v>
      </c>
    </row>
    <row r="163" spans="1:14" x14ac:dyDescent="0.3">
      <c r="A163" s="1" t="s">
        <v>530</v>
      </c>
      <c r="B163" s="1" t="s">
        <v>94</v>
      </c>
      <c r="C163" s="1" t="s">
        <v>45</v>
      </c>
      <c r="D163" s="1" t="s">
        <v>24</v>
      </c>
      <c r="E163" s="1">
        <v>51</v>
      </c>
      <c r="F163" s="1" t="s">
        <v>50</v>
      </c>
      <c r="G163" s="1" t="s">
        <v>26</v>
      </c>
      <c r="H163" s="1" t="s">
        <v>258</v>
      </c>
      <c r="I163" s="1">
        <v>103468</v>
      </c>
      <c r="J163" s="1" t="s">
        <v>65</v>
      </c>
      <c r="K163" s="1" t="s">
        <v>531</v>
      </c>
      <c r="L163" s="1" t="s">
        <v>21</v>
      </c>
      <c r="M163" s="1" t="str">
        <f>VLOOKUP(F163,Departments!$A$2:$C$6,2,0)</f>
        <v>Finance</v>
      </c>
      <c r="N163" s="1" t="str">
        <f>INDEX(Departments!$B:$B,MATCH(Employees!F163,Departments!$A:$A,0))</f>
        <v>Finance</v>
      </c>
    </row>
    <row r="164" spans="1:14" x14ac:dyDescent="0.3">
      <c r="A164" s="1" t="s">
        <v>532</v>
      </c>
      <c r="B164" s="1" t="s">
        <v>30</v>
      </c>
      <c r="C164" s="1" t="s">
        <v>90</v>
      </c>
      <c r="D164" s="1" t="s">
        <v>24</v>
      </c>
      <c r="E164" s="1">
        <v>22</v>
      </c>
      <c r="F164" s="1" t="s">
        <v>31</v>
      </c>
      <c r="G164" s="1" t="s">
        <v>32</v>
      </c>
      <c r="H164" s="1" t="s">
        <v>533</v>
      </c>
      <c r="I164" s="1">
        <v>55327</v>
      </c>
      <c r="J164" s="1" t="s">
        <v>65</v>
      </c>
      <c r="K164" s="1" t="s">
        <v>534</v>
      </c>
      <c r="L164" s="1" t="s">
        <v>36</v>
      </c>
      <c r="M164" s="1" t="str">
        <f>VLOOKUP(F164,Departments!$A$2:$C$6,2,0)</f>
        <v>Sales</v>
      </c>
      <c r="N164" s="1" t="str">
        <f>INDEX(Departments!$B:$B,MATCH(Employees!F164,Departments!$A:$A,0))</f>
        <v>Sales</v>
      </c>
    </row>
    <row r="165" spans="1:14" x14ac:dyDescent="0.3">
      <c r="A165" s="1" t="s">
        <v>535</v>
      </c>
      <c r="B165" s="1" t="s">
        <v>49</v>
      </c>
      <c r="C165" s="1" t="s">
        <v>45</v>
      </c>
      <c r="D165" s="1" t="s">
        <v>24</v>
      </c>
      <c r="E165" s="1">
        <v>43</v>
      </c>
      <c r="F165" s="1" t="s">
        <v>31</v>
      </c>
      <c r="G165" s="1" t="s">
        <v>26</v>
      </c>
      <c r="H165" s="1" t="s">
        <v>536</v>
      </c>
      <c r="I165" s="1">
        <v>89628</v>
      </c>
      <c r="J165" s="1" t="s">
        <v>60</v>
      </c>
      <c r="K165" s="1" t="s">
        <v>537</v>
      </c>
      <c r="L165" s="1" t="s">
        <v>21</v>
      </c>
      <c r="M165" s="1" t="str">
        <f>VLOOKUP(F165,Departments!$A$2:$C$6,2,0)</f>
        <v>Sales</v>
      </c>
      <c r="N165" s="1" t="str">
        <f>INDEX(Departments!$B:$B,MATCH(Employees!F165,Departments!$A:$A,0))</f>
        <v>Sales</v>
      </c>
    </row>
    <row r="166" spans="1:14" x14ac:dyDescent="0.3">
      <c r="A166" s="1" t="s">
        <v>538</v>
      </c>
      <c r="B166" s="1" t="s">
        <v>44</v>
      </c>
      <c r="C166" s="1" t="s">
        <v>78</v>
      </c>
      <c r="D166" s="1" t="s">
        <v>15</v>
      </c>
      <c r="E166" s="1">
        <v>25</v>
      </c>
      <c r="F166" s="1" t="s">
        <v>50</v>
      </c>
      <c r="G166" s="1" t="s">
        <v>108</v>
      </c>
      <c r="H166" s="1" t="s">
        <v>539</v>
      </c>
      <c r="I166" s="1">
        <v>98304</v>
      </c>
      <c r="J166" s="1" t="s">
        <v>80</v>
      </c>
      <c r="K166" s="1" t="s">
        <v>540</v>
      </c>
      <c r="L166" s="1" t="s">
        <v>36</v>
      </c>
      <c r="M166" s="1" t="str">
        <f>VLOOKUP(F166,Departments!$A$2:$C$6,2,0)</f>
        <v>Finance</v>
      </c>
      <c r="N166" s="1" t="str">
        <f>INDEX(Departments!$B:$B,MATCH(Employees!F166,Departments!$A:$A,0))</f>
        <v>Finance</v>
      </c>
    </row>
    <row r="167" spans="1:14" x14ac:dyDescent="0.3">
      <c r="A167" s="1" t="s">
        <v>541</v>
      </c>
      <c r="B167" s="1" t="s">
        <v>54</v>
      </c>
      <c r="C167" s="1" t="s">
        <v>90</v>
      </c>
      <c r="D167" s="1" t="s">
        <v>15</v>
      </c>
      <c r="E167" s="1">
        <v>50</v>
      </c>
      <c r="F167" s="1" t="s">
        <v>16</v>
      </c>
      <c r="G167" s="1" t="s">
        <v>26</v>
      </c>
      <c r="H167" s="1" t="s">
        <v>542</v>
      </c>
      <c r="I167" s="1">
        <v>116611</v>
      </c>
      <c r="J167" s="1" t="s">
        <v>65</v>
      </c>
      <c r="K167" s="1" t="s">
        <v>543</v>
      </c>
      <c r="L167" s="1" t="s">
        <v>36</v>
      </c>
      <c r="M167" s="1" t="str">
        <f>VLOOKUP(F167,Departments!$A$2:$C$6,2,0)</f>
        <v>HR</v>
      </c>
      <c r="N167" s="1" t="str">
        <f>INDEX(Departments!$B:$B,MATCH(Employees!F167,Departments!$A:$A,0))</f>
        <v>HR</v>
      </c>
    </row>
    <row r="168" spans="1:14" x14ac:dyDescent="0.3">
      <c r="A168" s="1" t="s">
        <v>544</v>
      </c>
      <c r="B168" s="1" t="s">
        <v>38</v>
      </c>
      <c r="C168" s="1" t="s">
        <v>78</v>
      </c>
      <c r="D168" s="1" t="s">
        <v>24</v>
      </c>
      <c r="E168" s="1">
        <v>41</v>
      </c>
      <c r="F168" s="1" t="s">
        <v>39</v>
      </c>
      <c r="G168" s="1" t="s">
        <v>17</v>
      </c>
      <c r="H168" s="1" t="s">
        <v>545</v>
      </c>
      <c r="I168" s="1">
        <v>45748</v>
      </c>
      <c r="J168" s="1" t="s">
        <v>19</v>
      </c>
      <c r="K168" s="1" t="s">
        <v>546</v>
      </c>
      <c r="L168" s="1" t="s">
        <v>36</v>
      </c>
      <c r="M168" s="1" t="str">
        <f>VLOOKUP(F168,Departments!$A$2:$C$6,2,0)</f>
        <v>Marketing</v>
      </c>
      <c r="N168" s="1" t="str">
        <f>INDEX(Departments!$B:$B,MATCH(Employees!F168,Departments!$A:$A,0))</f>
        <v>Marketing</v>
      </c>
    </row>
    <row r="169" spans="1:14" x14ac:dyDescent="0.3">
      <c r="A169" s="1" t="s">
        <v>547</v>
      </c>
      <c r="B169" s="1" t="s">
        <v>54</v>
      </c>
      <c r="C169" s="1" t="s">
        <v>83</v>
      </c>
      <c r="D169" s="1" t="s">
        <v>24</v>
      </c>
      <c r="E169" s="1">
        <v>48</v>
      </c>
      <c r="F169" s="1" t="s">
        <v>39</v>
      </c>
      <c r="G169" s="1" t="s">
        <v>32</v>
      </c>
      <c r="H169" s="1" t="s">
        <v>548</v>
      </c>
      <c r="I169" s="1">
        <v>45767</v>
      </c>
      <c r="J169" s="1" t="s">
        <v>80</v>
      </c>
      <c r="K169" s="1" t="s">
        <v>549</v>
      </c>
      <c r="L169" s="1" t="s">
        <v>36</v>
      </c>
      <c r="M169" s="1" t="str">
        <f>VLOOKUP(F169,Departments!$A$2:$C$6,2,0)</f>
        <v>Marketing</v>
      </c>
      <c r="N169" s="1" t="str">
        <f>INDEX(Departments!$B:$B,MATCH(Employees!F169,Departments!$A:$A,0))</f>
        <v>Marketing</v>
      </c>
    </row>
    <row r="170" spans="1:14" x14ac:dyDescent="0.3">
      <c r="A170" s="1" t="s">
        <v>550</v>
      </c>
      <c r="B170" s="1" t="s">
        <v>58</v>
      </c>
      <c r="C170" s="1" t="s">
        <v>45</v>
      </c>
      <c r="D170" s="1" t="s">
        <v>24</v>
      </c>
      <c r="E170" s="1">
        <v>49</v>
      </c>
      <c r="F170" s="1" t="s">
        <v>50</v>
      </c>
      <c r="G170" s="1" t="s">
        <v>108</v>
      </c>
      <c r="H170" s="1" t="s">
        <v>551</v>
      </c>
      <c r="I170" s="1">
        <v>63927</v>
      </c>
      <c r="J170" s="1" t="s">
        <v>34</v>
      </c>
      <c r="K170" s="1" t="s">
        <v>552</v>
      </c>
      <c r="L170" s="1" t="s">
        <v>36</v>
      </c>
      <c r="M170" s="1" t="str">
        <f>VLOOKUP(F170,Departments!$A$2:$C$6,2,0)</f>
        <v>Finance</v>
      </c>
      <c r="N170" s="1" t="str">
        <f>INDEX(Departments!$B:$B,MATCH(Employees!F170,Departments!$A:$A,0))</f>
        <v>Finance</v>
      </c>
    </row>
    <row r="171" spans="1:14" x14ac:dyDescent="0.3">
      <c r="A171" s="1" t="s">
        <v>553</v>
      </c>
      <c r="B171" s="1" t="s">
        <v>71</v>
      </c>
      <c r="C171" s="1" t="s">
        <v>23</v>
      </c>
      <c r="D171" s="1" t="s">
        <v>24</v>
      </c>
      <c r="E171" s="1">
        <v>46</v>
      </c>
      <c r="F171" s="1" t="s">
        <v>16</v>
      </c>
      <c r="G171" s="1" t="s">
        <v>108</v>
      </c>
      <c r="H171" s="1" t="s">
        <v>554</v>
      </c>
      <c r="I171" s="1">
        <v>116657</v>
      </c>
      <c r="J171" s="1" t="s">
        <v>60</v>
      </c>
      <c r="K171" s="1" t="s">
        <v>555</v>
      </c>
      <c r="L171" s="1" t="s">
        <v>36</v>
      </c>
      <c r="M171" s="1" t="str">
        <f>VLOOKUP(F171,Departments!$A$2:$C$6,2,0)</f>
        <v>HR</v>
      </c>
      <c r="N171" s="1" t="str">
        <f>INDEX(Departments!$B:$B,MATCH(Employees!F171,Departments!$A:$A,0))</f>
        <v>HR</v>
      </c>
    </row>
    <row r="172" spans="1:14" x14ac:dyDescent="0.3">
      <c r="A172" s="1" t="s">
        <v>556</v>
      </c>
      <c r="B172" s="1" t="s">
        <v>13</v>
      </c>
      <c r="C172" s="1" t="s">
        <v>90</v>
      </c>
      <c r="D172" s="1" t="s">
        <v>24</v>
      </c>
      <c r="E172" s="1">
        <v>49</v>
      </c>
      <c r="F172" s="1" t="s">
        <v>25</v>
      </c>
      <c r="G172" s="1" t="s">
        <v>26</v>
      </c>
      <c r="H172" s="1" t="s">
        <v>557</v>
      </c>
      <c r="I172" s="1">
        <v>35376</v>
      </c>
      <c r="J172" s="1" t="s">
        <v>34</v>
      </c>
      <c r="K172" s="1" t="s">
        <v>558</v>
      </c>
      <c r="L172" s="1" t="s">
        <v>36</v>
      </c>
      <c r="M172" s="1" t="str">
        <f>VLOOKUP(F172,Departments!$A$2:$C$6,2,0)</f>
        <v>IT</v>
      </c>
      <c r="N172" s="1" t="str">
        <f>INDEX(Departments!$B:$B,MATCH(Employees!F172,Departments!$A:$A,0))</f>
        <v>IT</v>
      </c>
    </row>
    <row r="173" spans="1:14" x14ac:dyDescent="0.3">
      <c r="A173" s="1" t="s">
        <v>559</v>
      </c>
      <c r="B173" s="1" t="s">
        <v>143</v>
      </c>
      <c r="C173" s="1" t="s">
        <v>63</v>
      </c>
      <c r="D173" s="1" t="s">
        <v>24</v>
      </c>
      <c r="E173" s="1">
        <v>44</v>
      </c>
      <c r="F173" s="1" t="s">
        <v>25</v>
      </c>
      <c r="G173" s="1" t="s">
        <v>108</v>
      </c>
      <c r="H173" s="1" t="s">
        <v>560</v>
      </c>
      <c r="I173" s="1">
        <v>37908</v>
      </c>
      <c r="J173" s="1" t="s">
        <v>65</v>
      </c>
      <c r="K173" s="1" t="s">
        <v>561</v>
      </c>
      <c r="L173" s="1" t="s">
        <v>21</v>
      </c>
      <c r="M173" s="1" t="str">
        <f>VLOOKUP(F173,Departments!$A$2:$C$6,2,0)</f>
        <v>IT</v>
      </c>
      <c r="N173" s="1" t="str">
        <f>INDEX(Departments!$B:$B,MATCH(Employees!F173,Departments!$A:$A,0))</f>
        <v>IT</v>
      </c>
    </row>
    <row r="174" spans="1:14" x14ac:dyDescent="0.3">
      <c r="A174" s="1" t="s">
        <v>562</v>
      </c>
      <c r="B174" s="1" t="s">
        <v>58</v>
      </c>
      <c r="C174" s="1" t="s">
        <v>63</v>
      </c>
      <c r="D174" s="1" t="s">
        <v>24</v>
      </c>
      <c r="E174" s="1">
        <v>59</v>
      </c>
      <c r="F174" s="1" t="s">
        <v>16</v>
      </c>
      <c r="G174" s="1" t="s">
        <v>17</v>
      </c>
      <c r="H174" s="1" t="s">
        <v>563</v>
      </c>
      <c r="I174" s="1">
        <v>106205</v>
      </c>
      <c r="J174" s="1" t="s">
        <v>34</v>
      </c>
      <c r="K174" s="1" t="s">
        <v>564</v>
      </c>
      <c r="L174" s="1" t="s">
        <v>21</v>
      </c>
      <c r="M174" s="1" t="str">
        <f>VLOOKUP(F174,Departments!$A$2:$C$6,2,0)</f>
        <v>HR</v>
      </c>
      <c r="N174" s="1" t="str">
        <f>INDEX(Departments!$B:$B,MATCH(Employees!F174,Departments!$A:$A,0))</f>
        <v>HR</v>
      </c>
    </row>
    <row r="175" spans="1:14" x14ac:dyDescent="0.3">
      <c r="A175" s="1" t="s">
        <v>565</v>
      </c>
      <c r="B175" s="1" t="s">
        <v>94</v>
      </c>
      <c r="C175" s="1" t="s">
        <v>130</v>
      </c>
      <c r="D175" s="1" t="s">
        <v>15</v>
      </c>
      <c r="E175" s="1">
        <v>29</v>
      </c>
      <c r="F175" s="1" t="s">
        <v>39</v>
      </c>
      <c r="G175" s="1" t="s">
        <v>108</v>
      </c>
      <c r="H175" s="1" t="s">
        <v>566</v>
      </c>
      <c r="I175" s="1">
        <v>101504</v>
      </c>
      <c r="J175" s="1" t="s">
        <v>80</v>
      </c>
      <c r="K175" s="1" t="s">
        <v>567</v>
      </c>
      <c r="L175" s="1" t="s">
        <v>21</v>
      </c>
      <c r="M175" s="1" t="str">
        <f>VLOOKUP(F175,Departments!$A$2:$C$6,2,0)</f>
        <v>Marketing</v>
      </c>
      <c r="N175" s="1" t="str">
        <f>INDEX(Departments!$B:$B,MATCH(Employees!F175,Departments!$A:$A,0))</f>
        <v>Marketing</v>
      </c>
    </row>
    <row r="176" spans="1:14" x14ac:dyDescent="0.3">
      <c r="A176" s="1" t="s">
        <v>568</v>
      </c>
      <c r="B176" s="1" t="s">
        <v>54</v>
      </c>
      <c r="C176" s="1" t="s">
        <v>63</v>
      </c>
      <c r="D176" s="1" t="s">
        <v>15</v>
      </c>
      <c r="E176" s="1">
        <v>48</v>
      </c>
      <c r="F176" s="1" t="s">
        <v>16</v>
      </c>
      <c r="G176" s="1" t="s">
        <v>108</v>
      </c>
      <c r="H176" s="1" t="s">
        <v>569</v>
      </c>
      <c r="I176" s="1">
        <v>36710</v>
      </c>
      <c r="J176" s="1" t="s">
        <v>34</v>
      </c>
      <c r="K176" s="1" t="s">
        <v>570</v>
      </c>
      <c r="L176" s="1" t="s">
        <v>21</v>
      </c>
      <c r="M176" s="1" t="str">
        <f>VLOOKUP(F176,Departments!$A$2:$C$6,2,0)</f>
        <v>HR</v>
      </c>
      <c r="N176" s="1" t="str">
        <f>INDEX(Departments!$B:$B,MATCH(Employees!F176,Departments!$A:$A,0))</f>
        <v>HR</v>
      </c>
    </row>
    <row r="177" spans="1:14" x14ac:dyDescent="0.3">
      <c r="A177" s="1" t="s">
        <v>571</v>
      </c>
      <c r="B177" s="1" t="s">
        <v>143</v>
      </c>
      <c r="C177" s="1" t="s">
        <v>83</v>
      </c>
      <c r="D177" s="1" t="s">
        <v>15</v>
      </c>
      <c r="E177" s="1">
        <v>58</v>
      </c>
      <c r="F177" s="1" t="s">
        <v>16</v>
      </c>
      <c r="G177" s="1" t="s">
        <v>32</v>
      </c>
      <c r="H177" s="1" t="s">
        <v>572</v>
      </c>
      <c r="I177" s="1">
        <v>78149</v>
      </c>
      <c r="J177" s="1" t="s">
        <v>19</v>
      </c>
      <c r="K177" s="1" t="s">
        <v>573</v>
      </c>
      <c r="L177" s="1" t="s">
        <v>36</v>
      </c>
      <c r="M177" s="1" t="str">
        <f>VLOOKUP(F177,Departments!$A$2:$C$6,2,0)</f>
        <v>HR</v>
      </c>
      <c r="N177" s="1" t="str">
        <f>INDEX(Departments!$B:$B,MATCH(Employees!F177,Departments!$A:$A,0))</f>
        <v>HR</v>
      </c>
    </row>
    <row r="178" spans="1:14" x14ac:dyDescent="0.3">
      <c r="A178" s="1" t="s">
        <v>574</v>
      </c>
      <c r="B178" s="1" t="s">
        <v>54</v>
      </c>
      <c r="C178" s="1" t="s">
        <v>90</v>
      </c>
      <c r="D178" s="1" t="s">
        <v>15</v>
      </c>
      <c r="E178" s="1">
        <v>57</v>
      </c>
      <c r="F178" s="1" t="s">
        <v>31</v>
      </c>
      <c r="G178" s="1" t="s">
        <v>32</v>
      </c>
      <c r="H178" s="1" t="s">
        <v>575</v>
      </c>
      <c r="I178" s="1">
        <v>93998</v>
      </c>
      <c r="J178" s="1" t="s">
        <v>19</v>
      </c>
      <c r="K178" s="1" t="s">
        <v>576</v>
      </c>
      <c r="L178" s="1" t="s">
        <v>36</v>
      </c>
      <c r="M178" s="1" t="str">
        <f>VLOOKUP(F178,Departments!$A$2:$C$6,2,0)</f>
        <v>Sales</v>
      </c>
      <c r="N178" s="1" t="str">
        <f>INDEX(Departments!$B:$B,MATCH(Employees!F178,Departments!$A:$A,0))</f>
        <v>Sales</v>
      </c>
    </row>
    <row r="179" spans="1:14" x14ac:dyDescent="0.3">
      <c r="A179" s="1" t="s">
        <v>577</v>
      </c>
      <c r="B179" s="1" t="s">
        <v>58</v>
      </c>
      <c r="C179" s="1" t="s">
        <v>78</v>
      </c>
      <c r="D179" s="1" t="s">
        <v>24</v>
      </c>
      <c r="E179" s="1">
        <v>50</v>
      </c>
      <c r="F179" s="1" t="s">
        <v>16</v>
      </c>
      <c r="G179" s="1" t="s">
        <v>40</v>
      </c>
      <c r="H179" s="1" t="s">
        <v>578</v>
      </c>
      <c r="I179" s="1">
        <v>47599</v>
      </c>
      <c r="J179" s="1" t="s">
        <v>80</v>
      </c>
      <c r="K179" s="1" t="s">
        <v>579</v>
      </c>
      <c r="L179" s="1" t="s">
        <v>21</v>
      </c>
      <c r="M179" s="1" t="str">
        <f>VLOOKUP(F179,Departments!$A$2:$C$6,2,0)</f>
        <v>HR</v>
      </c>
      <c r="N179" s="1" t="str">
        <f>INDEX(Departments!$B:$B,MATCH(Employees!F179,Departments!$A:$A,0))</f>
        <v>HR</v>
      </c>
    </row>
    <row r="180" spans="1:14" x14ac:dyDescent="0.3">
      <c r="A180" s="1" t="s">
        <v>580</v>
      </c>
      <c r="B180" s="1" t="s">
        <v>54</v>
      </c>
      <c r="C180" s="1" t="s">
        <v>45</v>
      </c>
      <c r="D180" s="1" t="s">
        <v>15</v>
      </c>
      <c r="E180" s="1">
        <v>32</v>
      </c>
      <c r="F180" s="1" t="s">
        <v>50</v>
      </c>
      <c r="G180" s="1" t="s">
        <v>26</v>
      </c>
      <c r="H180" s="1" t="s">
        <v>581</v>
      </c>
      <c r="I180" s="1">
        <v>82412</v>
      </c>
      <c r="J180" s="1" t="s">
        <v>65</v>
      </c>
      <c r="K180" s="1" t="s">
        <v>582</v>
      </c>
      <c r="L180" s="1" t="s">
        <v>36</v>
      </c>
      <c r="M180" s="1" t="str">
        <f>VLOOKUP(F180,Departments!$A$2:$C$6,2,0)</f>
        <v>Finance</v>
      </c>
      <c r="N180" s="1" t="str">
        <f>INDEX(Departments!$B:$B,MATCH(Employees!F180,Departments!$A:$A,0))</f>
        <v>Finance</v>
      </c>
    </row>
    <row r="181" spans="1:14" x14ac:dyDescent="0.3">
      <c r="A181" s="1" t="s">
        <v>583</v>
      </c>
      <c r="B181" s="1" t="s">
        <v>30</v>
      </c>
      <c r="C181" s="1" t="s">
        <v>78</v>
      </c>
      <c r="D181" s="1" t="s">
        <v>24</v>
      </c>
      <c r="E181" s="1">
        <v>52</v>
      </c>
      <c r="F181" s="1" t="s">
        <v>31</v>
      </c>
      <c r="G181" s="1" t="s">
        <v>17</v>
      </c>
      <c r="H181" s="1" t="s">
        <v>584</v>
      </c>
      <c r="I181" s="1">
        <v>82496</v>
      </c>
      <c r="J181" s="1" t="s">
        <v>65</v>
      </c>
      <c r="K181" s="1" t="s">
        <v>585</v>
      </c>
      <c r="L181" s="1" t="s">
        <v>21</v>
      </c>
      <c r="M181" s="1" t="str">
        <f>VLOOKUP(F181,Departments!$A$2:$C$6,2,0)</f>
        <v>Sales</v>
      </c>
      <c r="N181" s="1" t="str">
        <f>INDEX(Departments!$B:$B,MATCH(Employees!F181,Departments!$A:$A,0))</f>
        <v>Sales</v>
      </c>
    </row>
    <row r="182" spans="1:14" x14ac:dyDescent="0.3">
      <c r="A182" s="1" t="s">
        <v>586</v>
      </c>
      <c r="B182" s="1" t="s">
        <v>49</v>
      </c>
      <c r="C182" s="1" t="s">
        <v>130</v>
      </c>
      <c r="D182" s="1" t="s">
        <v>15</v>
      </c>
      <c r="E182" s="1">
        <v>60</v>
      </c>
      <c r="F182" s="1" t="s">
        <v>31</v>
      </c>
      <c r="G182" s="1" t="s">
        <v>26</v>
      </c>
      <c r="H182" s="1" t="s">
        <v>587</v>
      </c>
      <c r="I182" s="1">
        <v>51231</v>
      </c>
      <c r="J182" s="1" t="s">
        <v>65</v>
      </c>
      <c r="K182" s="1" t="s">
        <v>588</v>
      </c>
      <c r="L182" s="1" t="s">
        <v>36</v>
      </c>
      <c r="M182" s="1" t="str">
        <f>VLOOKUP(F182,Departments!$A$2:$C$6,2,0)</f>
        <v>Sales</v>
      </c>
      <c r="N182" s="1" t="str">
        <f>INDEX(Departments!$B:$B,MATCH(Employees!F182,Departments!$A:$A,0))</f>
        <v>Sales</v>
      </c>
    </row>
    <row r="183" spans="1:14" x14ac:dyDescent="0.3">
      <c r="A183" s="1" t="s">
        <v>589</v>
      </c>
      <c r="B183" s="1" t="s">
        <v>143</v>
      </c>
      <c r="C183" s="1" t="s">
        <v>14</v>
      </c>
      <c r="D183" s="1" t="s">
        <v>15</v>
      </c>
      <c r="E183" s="1">
        <v>48</v>
      </c>
      <c r="F183" s="1" t="s">
        <v>50</v>
      </c>
      <c r="G183" s="1" t="s">
        <v>26</v>
      </c>
      <c r="H183" s="1" t="s">
        <v>590</v>
      </c>
      <c r="I183" s="1">
        <v>119053</v>
      </c>
      <c r="J183" s="1" t="s">
        <v>19</v>
      </c>
      <c r="K183" s="1" t="s">
        <v>591</v>
      </c>
      <c r="L183" s="1" t="s">
        <v>21</v>
      </c>
      <c r="M183" s="1" t="str">
        <f>VLOOKUP(F183,Departments!$A$2:$C$6,2,0)</f>
        <v>Finance</v>
      </c>
      <c r="N183" s="1" t="str">
        <f>INDEX(Departments!$B:$B,MATCH(Employees!F183,Departments!$A:$A,0))</f>
        <v>Finance</v>
      </c>
    </row>
    <row r="184" spans="1:14" x14ac:dyDescent="0.3">
      <c r="A184" s="1" t="s">
        <v>592</v>
      </c>
      <c r="B184" s="1" t="s">
        <v>71</v>
      </c>
      <c r="C184" s="1" t="s">
        <v>83</v>
      </c>
      <c r="D184" s="1" t="s">
        <v>24</v>
      </c>
      <c r="E184" s="1">
        <v>60</v>
      </c>
      <c r="F184" s="1" t="s">
        <v>31</v>
      </c>
      <c r="G184" s="1" t="s">
        <v>17</v>
      </c>
      <c r="H184" s="1" t="s">
        <v>593</v>
      </c>
      <c r="I184" s="1">
        <v>111243</v>
      </c>
      <c r="J184" s="1" t="s">
        <v>19</v>
      </c>
      <c r="K184" s="1" t="s">
        <v>594</v>
      </c>
      <c r="L184" s="1" t="s">
        <v>21</v>
      </c>
      <c r="M184" s="1" t="str">
        <f>VLOOKUP(F184,Departments!$A$2:$C$6,2,0)</f>
        <v>Sales</v>
      </c>
      <c r="N184" s="1" t="str">
        <f>INDEX(Departments!$B:$B,MATCH(Employees!F184,Departments!$A:$A,0))</f>
        <v>Sales</v>
      </c>
    </row>
    <row r="185" spans="1:14" x14ac:dyDescent="0.3">
      <c r="A185" s="1" t="s">
        <v>595</v>
      </c>
      <c r="B185" s="1" t="s">
        <v>143</v>
      </c>
      <c r="C185" s="1" t="s">
        <v>63</v>
      </c>
      <c r="D185" s="1" t="s">
        <v>15</v>
      </c>
      <c r="E185" s="1">
        <v>55</v>
      </c>
      <c r="F185" s="1" t="s">
        <v>25</v>
      </c>
      <c r="G185" s="1" t="s">
        <v>17</v>
      </c>
      <c r="H185" s="1" t="s">
        <v>596</v>
      </c>
      <c r="I185" s="1">
        <v>73063</v>
      </c>
      <c r="J185" s="1" t="s">
        <v>80</v>
      </c>
      <c r="K185" s="1" t="s">
        <v>597</v>
      </c>
      <c r="L185" s="1" t="s">
        <v>21</v>
      </c>
      <c r="M185" s="1" t="str">
        <f>VLOOKUP(F185,Departments!$A$2:$C$6,2,0)</f>
        <v>IT</v>
      </c>
      <c r="N185" s="1" t="str">
        <f>INDEX(Departments!$B:$B,MATCH(Employees!F185,Departments!$A:$A,0))</f>
        <v>IT</v>
      </c>
    </row>
    <row r="186" spans="1:14" x14ac:dyDescent="0.3">
      <c r="A186" s="1" t="s">
        <v>598</v>
      </c>
      <c r="B186" s="1" t="s">
        <v>143</v>
      </c>
      <c r="C186" s="1" t="s">
        <v>45</v>
      </c>
      <c r="D186" s="1" t="s">
        <v>24</v>
      </c>
      <c r="E186" s="1">
        <v>35</v>
      </c>
      <c r="F186" s="1" t="s">
        <v>39</v>
      </c>
      <c r="G186" s="1" t="s">
        <v>17</v>
      </c>
      <c r="H186" s="1" t="s">
        <v>427</v>
      </c>
      <c r="I186" s="1">
        <v>71247</v>
      </c>
      <c r="J186" s="1" t="s">
        <v>19</v>
      </c>
      <c r="K186" s="1" t="s">
        <v>599</v>
      </c>
      <c r="L186" s="1" t="s">
        <v>36</v>
      </c>
      <c r="M186" s="1" t="str">
        <f>VLOOKUP(F186,Departments!$A$2:$C$6,2,0)</f>
        <v>Marketing</v>
      </c>
      <c r="N186" s="1" t="str">
        <f>INDEX(Departments!$B:$B,MATCH(Employees!F186,Departments!$A:$A,0))</f>
        <v>Marketing</v>
      </c>
    </row>
    <row r="187" spans="1:14" x14ac:dyDescent="0.3">
      <c r="A187" s="1" t="s">
        <v>600</v>
      </c>
      <c r="B187" s="1" t="s">
        <v>38</v>
      </c>
      <c r="C187" s="1" t="s">
        <v>130</v>
      </c>
      <c r="D187" s="1" t="s">
        <v>24</v>
      </c>
      <c r="E187" s="1">
        <v>41</v>
      </c>
      <c r="F187" s="1" t="s">
        <v>31</v>
      </c>
      <c r="G187" s="1" t="s">
        <v>26</v>
      </c>
      <c r="H187" s="1" t="s">
        <v>601</v>
      </c>
      <c r="I187" s="1">
        <v>67422</v>
      </c>
      <c r="J187" s="1" t="s">
        <v>65</v>
      </c>
      <c r="K187" s="1" t="s">
        <v>602</v>
      </c>
      <c r="L187" s="1" t="s">
        <v>36</v>
      </c>
      <c r="M187" s="1" t="str">
        <f>VLOOKUP(F187,Departments!$A$2:$C$6,2,0)</f>
        <v>Sales</v>
      </c>
      <c r="N187" s="1" t="str">
        <f>INDEX(Departments!$B:$B,MATCH(Employees!F187,Departments!$A:$A,0))</f>
        <v>Sales</v>
      </c>
    </row>
    <row r="188" spans="1:14" x14ac:dyDescent="0.3">
      <c r="A188" s="1" t="s">
        <v>603</v>
      </c>
      <c r="B188" s="1" t="s">
        <v>30</v>
      </c>
      <c r="C188" s="1" t="s">
        <v>63</v>
      </c>
      <c r="D188" s="1" t="s">
        <v>15</v>
      </c>
      <c r="E188" s="1">
        <v>26</v>
      </c>
      <c r="F188" s="1" t="s">
        <v>25</v>
      </c>
      <c r="G188" s="1" t="s">
        <v>32</v>
      </c>
      <c r="H188" s="1" t="s">
        <v>201</v>
      </c>
      <c r="I188" s="1">
        <v>110628</v>
      </c>
      <c r="J188" s="1" t="s">
        <v>65</v>
      </c>
      <c r="K188" s="1" t="s">
        <v>604</v>
      </c>
      <c r="L188" s="1" t="s">
        <v>36</v>
      </c>
      <c r="M188" s="1" t="str">
        <f>VLOOKUP(F188,Departments!$A$2:$C$6,2,0)</f>
        <v>IT</v>
      </c>
      <c r="N188" s="1" t="str">
        <f>INDEX(Departments!$B:$B,MATCH(Employees!F188,Departments!$A:$A,0))</f>
        <v>IT</v>
      </c>
    </row>
    <row r="189" spans="1:14" x14ac:dyDescent="0.3">
      <c r="A189" s="1" t="s">
        <v>605</v>
      </c>
      <c r="B189" s="1" t="s">
        <v>49</v>
      </c>
      <c r="C189" s="1" t="s">
        <v>165</v>
      </c>
      <c r="D189" s="1" t="s">
        <v>15</v>
      </c>
      <c r="E189" s="1">
        <v>48</v>
      </c>
      <c r="F189" s="1" t="s">
        <v>39</v>
      </c>
      <c r="G189" s="1" t="s">
        <v>17</v>
      </c>
      <c r="H189" s="1" t="s">
        <v>606</v>
      </c>
      <c r="I189" s="1">
        <v>96540</v>
      </c>
      <c r="J189" s="1" t="s">
        <v>34</v>
      </c>
      <c r="K189" s="1" t="s">
        <v>607</v>
      </c>
      <c r="L189" s="1" t="s">
        <v>36</v>
      </c>
      <c r="M189" s="1" t="str">
        <f>VLOOKUP(F189,Departments!$A$2:$C$6,2,0)</f>
        <v>Marketing</v>
      </c>
      <c r="N189" s="1" t="str">
        <f>INDEX(Departments!$B:$B,MATCH(Employees!F189,Departments!$A:$A,0))</f>
        <v>Marketing</v>
      </c>
    </row>
    <row r="190" spans="1:14" x14ac:dyDescent="0.3">
      <c r="A190" s="1" t="s">
        <v>608</v>
      </c>
      <c r="B190" s="1" t="s">
        <v>54</v>
      </c>
      <c r="C190" s="1" t="s">
        <v>78</v>
      </c>
      <c r="D190" s="1" t="s">
        <v>15</v>
      </c>
      <c r="E190" s="1">
        <v>49</v>
      </c>
      <c r="F190" s="1" t="s">
        <v>39</v>
      </c>
      <c r="G190" s="1" t="s">
        <v>17</v>
      </c>
      <c r="H190" s="1" t="s">
        <v>609</v>
      </c>
      <c r="I190" s="1">
        <v>76991</v>
      </c>
      <c r="J190" s="1" t="s">
        <v>60</v>
      </c>
      <c r="K190" s="1" t="s">
        <v>610</v>
      </c>
      <c r="L190" s="1" t="s">
        <v>21</v>
      </c>
      <c r="M190" s="1" t="str">
        <f>VLOOKUP(F190,Departments!$A$2:$C$6,2,0)</f>
        <v>Marketing</v>
      </c>
      <c r="N190" s="1" t="str">
        <f>INDEX(Departments!$B:$B,MATCH(Employees!F190,Departments!$A:$A,0))</f>
        <v>Marketing</v>
      </c>
    </row>
    <row r="191" spans="1:14" x14ac:dyDescent="0.3">
      <c r="A191" s="1" t="s">
        <v>611</v>
      </c>
      <c r="B191" s="1" t="s">
        <v>58</v>
      </c>
      <c r="C191" s="1" t="s">
        <v>130</v>
      </c>
      <c r="D191" s="1" t="s">
        <v>24</v>
      </c>
      <c r="E191" s="1">
        <v>26</v>
      </c>
      <c r="F191" s="1" t="s">
        <v>31</v>
      </c>
      <c r="G191" s="1" t="s">
        <v>17</v>
      </c>
      <c r="H191" s="1" t="s">
        <v>612</v>
      </c>
      <c r="I191" s="1">
        <v>92562</v>
      </c>
      <c r="J191" s="1" t="s">
        <v>34</v>
      </c>
      <c r="K191" s="1" t="s">
        <v>613</v>
      </c>
      <c r="L191" s="1" t="s">
        <v>36</v>
      </c>
      <c r="M191" s="1" t="str">
        <f>VLOOKUP(F191,Departments!$A$2:$C$6,2,0)</f>
        <v>Sales</v>
      </c>
      <c r="N191" s="1" t="str">
        <f>INDEX(Departments!$B:$B,MATCH(Employees!F191,Departments!$A:$A,0))</f>
        <v>Sales</v>
      </c>
    </row>
    <row r="192" spans="1:14" x14ac:dyDescent="0.3">
      <c r="A192" s="1" t="s">
        <v>614</v>
      </c>
      <c r="B192" s="1" t="s">
        <v>143</v>
      </c>
      <c r="C192" s="1" t="s">
        <v>165</v>
      </c>
      <c r="D192" s="1" t="s">
        <v>15</v>
      </c>
      <c r="E192" s="1">
        <v>51</v>
      </c>
      <c r="F192" s="1" t="s">
        <v>31</v>
      </c>
      <c r="G192" s="1" t="s">
        <v>40</v>
      </c>
      <c r="H192" s="1" t="s">
        <v>615</v>
      </c>
      <c r="I192" s="1">
        <v>102983</v>
      </c>
      <c r="J192" s="1" t="s">
        <v>34</v>
      </c>
      <c r="K192" s="1" t="s">
        <v>616</v>
      </c>
      <c r="L192" s="1" t="s">
        <v>36</v>
      </c>
      <c r="M192" s="1" t="str">
        <f>VLOOKUP(F192,Departments!$A$2:$C$6,2,0)</f>
        <v>Sales</v>
      </c>
      <c r="N192" s="1" t="str">
        <f>INDEX(Departments!$B:$B,MATCH(Employees!F192,Departments!$A:$A,0))</f>
        <v>Sales</v>
      </c>
    </row>
    <row r="193" spans="1:14" x14ac:dyDescent="0.3">
      <c r="A193" s="1" t="s">
        <v>617</v>
      </c>
      <c r="B193" s="1" t="s">
        <v>143</v>
      </c>
      <c r="C193" s="1" t="s">
        <v>95</v>
      </c>
      <c r="D193" s="1" t="s">
        <v>24</v>
      </c>
      <c r="E193" s="1">
        <v>23</v>
      </c>
      <c r="F193" s="1" t="s">
        <v>16</v>
      </c>
      <c r="G193" s="1" t="s">
        <v>32</v>
      </c>
      <c r="H193" s="1" t="s">
        <v>618</v>
      </c>
      <c r="I193" s="1">
        <v>114420</v>
      </c>
      <c r="J193" s="1" t="s">
        <v>19</v>
      </c>
      <c r="K193" s="1" t="s">
        <v>619</v>
      </c>
      <c r="L193" s="1" t="s">
        <v>21</v>
      </c>
      <c r="M193" s="1" t="str">
        <f>VLOOKUP(F193,Departments!$A$2:$C$6,2,0)</f>
        <v>HR</v>
      </c>
      <c r="N193" s="1" t="str">
        <f>INDEX(Departments!$B:$B,MATCH(Employees!F193,Departments!$A:$A,0))</f>
        <v>HR</v>
      </c>
    </row>
    <row r="194" spans="1:14" x14ac:dyDescent="0.3">
      <c r="A194" s="1" t="s">
        <v>620</v>
      </c>
      <c r="B194" s="1" t="s">
        <v>30</v>
      </c>
      <c r="C194" s="1" t="s">
        <v>165</v>
      </c>
      <c r="D194" s="1" t="s">
        <v>15</v>
      </c>
      <c r="E194" s="1">
        <v>58</v>
      </c>
      <c r="F194" s="1" t="s">
        <v>50</v>
      </c>
      <c r="G194" s="1" t="s">
        <v>32</v>
      </c>
      <c r="H194" s="1" t="s">
        <v>621</v>
      </c>
      <c r="I194" s="1">
        <v>108419</v>
      </c>
      <c r="J194" s="1" t="s">
        <v>60</v>
      </c>
      <c r="K194" s="1" t="s">
        <v>622</v>
      </c>
      <c r="L194" s="1" t="s">
        <v>21</v>
      </c>
      <c r="M194" s="1" t="str">
        <f>VLOOKUP(F194,Departments!$A$2:$C$6,2,0)</f>
        <v>Finance</v>
      </c>
      <c r="N194" s="1" t="str">
        <f>INDEX(Departments!$B:$B,MATCH(Employees!F194,Departments!$A:$A,0))</f>
        <v>Finance</v>
      </c>
    </row>
    <row r="195" spans="1:14" x14ac:dyDescent="0.3">
      <c r="A195" s="1" t="s">
        <v>623</v>
      </c>
      <c r="B195" s="1" t="s">
        <v>94</v>
      </c>
      <c r="C195" s="1" t="s">
        <v>45</v>
      </c>
      <c r="D195" s="1" t="s">
        <v>24</v>
      </c>
      <c r="E195" s="1">
        <v>54</v>
      </c>
      <c r="F195" s="1" t="s">
        <v>31</v>
      </c>
      <c r="G195" s="1" t="s">
        <v>108</v>
      </c>
      <c r="H195" s="1" t="s">
        <v>624</v>
      </c>
      <c r="I195" s="1">
        <v>100498</v>
      </c>
      <c r="J195" s="1" t="s">
        <v>65</v>
      </c>
      <c r="K195" s="1" t="s">
        <v>625</v>
      </c>
      <c r="L195" s="1" t="s">
        <v>36</v>
      </c>
      <c r="M195" s="1" t="str">
        <f>VLOOKUP(F195,Departments!$A$2:$C$6,2,0)</f>
        <v>Sales</v>
      </c>
      <c r="N195" s="1" t="str">
        <f>INDEX(Departments!$B:$B,MATCH(Employees!F195,Departments!$A:$A,0))</f>
        <v>Sales</v>
      </c>
    </row>
    <row r="196" spans="1:14" x14ac:dyDescent="0.3">
      <c r="A196" s="1" t="s">
        <v>626</v>
      </c>
      <c r="B196" s="1" t="s">
        <v>13</v>
      </c>
      <c r="C196" s="1" t="s">
        <v>165</v>
      </c>
      <c r="D196" s="1" t="s">
        <v>24</v>
      </c>
      <c r="E196" s="1">
        <v>48</v>
      </c>
      <c r="F196" s="1" t="s">
        <v>25</v>
      </c>
      <c r="G196" s="1" t="s">
        <v>17</v>
      </c>
      <c r="H196" s="1" t="s">
        <v>627</v>
      </c>
      <c r="I196" s="1">
        <v>62004</v>
      </c>
      <c r="J196" s="1" t="s">
        <v>65</v>
      </c>
      <c r="K196" s="1" t="s">
        <v>628</v>
      </c>
      <c r="L196" s="1" t="s">
        <v>21</v>
      </c>
      <c r="M196" s="1" t="str">
        <f>VLOOKUP(F196,Departments!$A$2:$C$6,2,0)</f>
        <v>IT</v>
      </c>
      <c r="N196" s="1" t="str">
        <f>INDEX(Departments!$B:$B,MATCH(Employees!F196,Departments!$A:$A,0))</f>
        <v>IT</v>
      </c>
    </row>
    <row r="197" spans="1:14" x14ac:dyDescent="0.3">
      <c r="A197" s="1" t="s">
        <v>629</v>
      </c>
      <c r="B197" s="1" t="s">
        <v>58</v>
      </c>
      <c r="C197" s="1" t="s">
        <v>83</v>
      </c>
      <c r="D197" s="1" t="s">
        <v>24</v>
      </c>
      <c r="E197" s="1">
        <v>46</v>
      </c>
      <c r="F197" s="1" t="s">
        <v>39</v>
      </c>
      <c r="G197" s="1" t="s">
        <v>26</v>
      </c>
      <c r="H197" s="1" t="s">
        <v>630</v>
      </c>
      <c r="I197" s="1">
        <v>37033</v>
      </c>
      <c r="J197" s="1" t="s">
        <v>60</v>
      </c>
      <c r="K197" s="1" t="s">
        <v>631</v>
      </c>
      <c r="L197" s="1" t="s">
        <v>36</v>
      </c>
      <c r="M197" s="1" t="str">
        <f>VLOOKUP(F197,Departments!$A$2:$C$6,2,0)</f>
        <v>Marketing</v>
      </c>
      <c r="N197" s="1" t="str">
        <f>INDEX(Departments!$B:$B,MATCH(Employees!F197,Departments!$A:$A,0))</f>
        <v>Marketing</v>
      </c>
    </row>
    <row r="198" spans="1:14" x14ac:dyDescent="0.3">
      <c r="A198" s="1" t="s">
        <v>632</v>
      </c>
      <c r="B198" s="1" t="s">
        <v>13</v>
      </c>
      <c r="C198" s="1" t="s">
        <v>63</v>
      </c>
      <c r="D198" s="1" t="s">
        <v>24</v>
      </c>
      <c r="E198" s="1">
        <v>25</v>
      </c>
      <c r="F198" s="1" t="s">
        <v>39</v>
      </c>
      <c r="G198" s="1" t="s">
        <v>108</v>
      </c>
      <c r="H198" s="1" t="s">
        <v>633</v>
      </c>
      <c r="I198" s="1">
        <v>58062</v>
      </c>
      <c r="J198" s="1" t="s">
        <v>34</v>
      </c>
      <c r="K198" s="1" t="s">
        <v>634</v>
      </c>
      <c r="L198" s="1" t="s">
        <v>21</v>
      </c>
      <c r="M198" s="1" t="str">
        <f>VLOOKUP(F198,Departments!$A$2:$C$6,2,0)</f>
        <v>Marketing</v>
      </c>
      <c r="N198" s="1" t="str">
        <f>INDEX(Departments!$B:$B,MATCH(Employees!F198,Departments!$A:$A,0))</f>
        <v>Marketing</v>
      </c>
    </row>
    <row r="199" spans="1:14" x14ac:dyDescent="0.3">
      <c r="A199" s="1" t="s">
        <v>635</v>
      </c>
      <c r="B199" s="1" t="s">
        <v>44</v>
      </c>
      <c r="C199" s="1" t="s">
        <v>130</v>
      </c>
      <c r="D199" s="1" t="s">
        <v>15</v>
      </c>
      <c r="E199" s="1">
        <v>29</v>
      </c>
      <c r="F199" s="1" t="s">
        <v>16</v>
      </c>
      <c r="G199" s="1" t="s">
        <v>40</v>
      </c>
      <c r="H199" s="1" t="s">
        <v>261</v>
      </c>
      <c r="I199" s="1">
        <v>49357</v>
      </c>
      <c r="J199" s="1" t="s">
        <v>60</v>
      </c>
      <c r="K199" s="1" t="s">
        <v>636</v>
      </c>
      <c r="L199" s="1" t="s">
        <v>21</v>
      </c>
      <c r="M199" s="1" t="str">
        <f>VLOOKUP(F199,Departments!$A$2:$C$6,2,0)</f>
        <v>HR</v>
      </c>
      <c r="N199" s="1" t="str">
        <f>INDEX(Departments!$B:$B,MATCH(Employees!F199,Departments!$A:$A,0))</f>
        <v>HR</v>
      </c>
    </row>
    <row r="200" spans="1:14" x14ac:dyDescent="0.3">
      <c r="A200" s="1" t="s">
        <v>637</v>
      </c>
      <c r="B200" s="1" t="s">
        <v>71</v>
      </c>
      <c r="C200" s="1" t="s">
        <v>90</v>
      </c>
      <c r="D200" s="1" t="s">
        <v>15</v>
      </c>
      <c r="E200" s="1">
        <v>54</v>
      </c>
      <c r="F200" s="1" t="s">
        <v>31</v>
      </c>
      <c r="G200" s="1" t="s">
        <v>26</v>
      </c>
      <c r="H200" s="1" t="s">
        <v>638</v>
      </c>
      <c r="I200" s="1">
        <v>59758</v>
      </c>
      <c r="J200" s="1" t="s">
        <v>34</v>
      </c>
      <c r="K200" s="1" t="s">
        <v>639</v>
      </c>
      <c r="L200" s="1" t="s">
        <v>36</v>
      </c>
      <c r="M200" s="1" t="str">
        <f>VLOOKUP(F200,Departments!$A$2:$C$6,2,0)</f>
        <v>Sales</v>
      </c>
      <c r="N200" s="1" t="str">
        <f>INDEX(Departments!$B:$B,MATCH(Employees!F200,Departments!$A:$A,0))</f>
        <v>Sales</v>
      </c>
    </row>
    <row r="201" spans="1:14" x14ac:dyDescent="0.3">
      <c r="A201" s="1" t="s">
        <v>640</v>
      </c>
      <c r="B201" s="1" t="s">
        <v>94</v>
      </c>
      <c r="C201" s="1" t="s">
        <v>165</v>
      </c>
      <c r="D201" s="1" t="s">
        <v>24</v>
      </c>
      <c r="E201" s="1">
        <v>37</v>
      </c>
      <c r="F201" s="1" t="s">
        <v>50</v>
      </c>
      <c r="G201" s="1" t="s">
        <v>17</v>
      </c>
      <c r="H201" s="1" t="s">
        <v>641</v>
      </c>
      <c r="I201" s="1">
        <v>45788</v>
      </c>
      <c r="J201" s="1" t="s">
        <v>80</v>
      </c>
      <c r="K201" s="1" t="s">
        <v>642</v>
      </c>
      <c r="L201" s="1" t="s">
        <v>36</v>
      </c>
      <c r="M201" s="1" t="str">
        <f>VLOOKUP(F201,Departments!$A$2:$C$6,2,0)</f>
        <v>Finance</v>
      </c>
      <c r="N201" s="1" t="str">
        <f>INDEX(Departments!$B:$B,MATCH(Employees!F201,Departments!$A:$A,0))</f>
        <v>Finance</v>
      </c>
    </row>
    <row r="202" spans="1:14" x14ac:dyDescent="0.3">
      <c r="A202" s="1" t="s">
        <v>643</v>
      </c>
      <c r="B202" s="1" t="s">
        <v>30</v>
      </c>
      <c r="C202" s="1" t="s">
        <v>23</v>
      </c>
      <c r="D202" s="1" t="s">
        <v>24</v>
      </c>
      <c r="E202" s="1">
        <v>28</v>
      </c>
      <c r="F202" s="1" t="s">
        <v>16</v>
      </c>
      <c r="G202" s="1" t="s">
        <v>32</v>
      </c>
      <c r="H202" s="1" t="s">
        <v>644</v>
      </c>
      <c r="I202" s="1">
        <v>38862</v>
      </c>
      <c r="J202" s="1" t="s">
        <v>65</v>
      </c>
      <c r="K202" s="1" t="s">
        <v>645</v>
      </c>
      <c r="L202" s="1" t="s">
        <v>36</v>
      </c>
      <c r="M202" s="1" t="str">
        <f>VLOOKUP(F202,Departments!$A$2:$C$6,2,0)</f>
        <v>HR</v>
      </c>
      <c r="N202" s="1" t="str">
        <f>INDEX(Departments!$B:$B,MATCH(Employees!F202,Departments!$A:$A,0))</f>
        <v>HR</v>
      </c>
    </row>
    <row r="203" spans="1:14" x14ac:dyDescent="0.3">
      <c r="A203" s="1" t="s">
        <v>646</v>
      </c>
      <c r="B203" s="1" t="s">
        <v>44</v>
      </c>
      <c r="C203" s="1" t="s">
        <v>165</v>
      </c>
      <c r="D203" s="1" t="s">
        <v>24</v>
      </c>
      <c r="E203" s="1">
        <v>48</v>
      </c>
      <c r="F203" s="1" t="s">
        <v>25</v>
      </c>
      <c r="G203" s="1" t="s">
        <v>40</v>
      </c>
      <c r="H203" s="1" t="s">
        <v>647</v>
      </c>
      <c r="I203" s="1">
        <v>76132</v>
      </c>
      <c r="J203" s="1" t="s">
        <v>19</v>
      </c>
      <c r="K203" s="1" t="s">
        <v>648</v>
      </c>
      <c r="L203" s="1" t="s">
        <v>36</v>
      </c>
      <c r="M203" s="1" t="str">
        <f>VLOOKUP(F203,Departments!$A$2:$C$6,2,0)</f>
        <v>IT</v>
      </c>
      <c r="N203" s="1" t="str">
        <f>INDEX(Departments!$B:$B,MATCH(Employees!F203,Departments!$A:$A,0))</f>
        <v>IT</v>
      </c>
    </row>
    <row r="204" spans="1:14" x14ac:dyDescent="0.3">
      <c r="A204" s="1" t="s">
        <v>649</v>
      </c>
      <c r="B204" s="1" t="s">
        <v>30</v>
      </c>
      <c r="C204" s="1" t="s">
        <v>78</v>
      </c>
      <c r="D204" s="1" t="s">
        <v>24</v>
      </c>
      <c r="E204" s="1">
        <v>49</v>
      </c>
      <c r="F204" s="1" t="s">
        <v>25</v>
      </c>
      <c r="G204" s="1" t="s">
        <v>17</v>
      </c>
      <c r="H204" s="1" t="s">
        <v>650</v>
      </c>
      <c r="I204" s="1">
        <v>56773</v>
      </c>
      <c r="J204" s="1" t="s">
        <v>80</v>
      </c>
      <c r="K204" s="1" t="s">
        <v>651</v>
      </c>
      <c r="L204" s="1" t="s">
        <v>21</v>
      </c>
      <c r="M204" s="1" t="str">
        <f>VLOOKUP(F204,Departments!$A$2:$C$6,2,0)</f>
        <v>IT</v>
      </c>
      <c r="N204" s="1" t="str">
        <f>INDEX(Departments!$B:$B,MATCH(Employees!F204,Departments!$A:$A,0))</f>
        <v>IT</v>
      </c>
    </row>
    <row r="205" spans="1:14" x14ac:dyDescent="0.3">
      <c r="A205" s="1" t="s">
        <v>652</v>
      </c>
      <c r="B205" s="1" t="s">
        <v>30</v>
      </c>
      <c r="C205" s="1" t="s">
        <v>23</v>
      </c>
      <c r="D205" s="1" t="s">
        <v>15</v>
      </c>
      <c r="E205" s="1">
        <v>25</v>
      </c>
      <c r="F205" s="1" t="s">
        <v>16</v>
      </c>
      <c r="G205" s="1" t="s">
        <v>40</v>
      </c>
      <c r="H205" s="1" t="s">
        <v>653</v>
      </c>
      <c r="I205" s="1">
        <v>84117</v>
      </c>
      <c r="J205" s="1" t="s">
        <v>80</v>
      </c>
      <c r="K205" s="1" t="s">
        <v>654</v>
      </c>
      <c r="L205" s="1" t="s">
        <v>36</v>
      </c>
      <c r="M205" s="1" t="str">
        <f>VLOOKUP(F205,Departments!$A$2:$C$6,2,0)</f>
        <v>HR</v>
      </c>
      <c r="N205" s="1" t="str">
        <f>INDEX(Departments!$B:$B,MATCH(Employees!F205,Departments!$A:$A,0))</f>
        <v>HR</v>
      </c>
    </row>
    <row r="206" spans="1:14" x14ac:dyDescent="0.3">
      <c r="A206" s="1" t="s">
        <v>655</v>
      </c>
      <c r="B206" s="1" t="s">
        <v>58</v>
      </c>
      <c r="C206" s="1" t="s">
        <v>45</v>
      </c>
      <c r="D206" s="1" t="s">
        <v>24</v>
      </c>
      <c r="E206" s="1">
        <v>41</v>
      </c>
      <c r="F206" s="1" t="s">
        <v>16</v>
      </c>
      <c r="G206" s="1" t="s">
        <v>26</v>
      </c>
      <c r="H206" s="1" t="s">
        <v>656</v>
      </c>
      <c r="I206" s="1">
        <v>111999</v>
      </c>
      <c r="J206" s="1" t="s">
        <v>80</v>
      </c>
      <c r="K206" s="1" t="s">
        <v>657</v>
      </c>
      <c r="L206" s="1" t="s">
        <v>36</v>
      </c>
      <c r="M206" s="1" t="str">
        <f>VLOOKUP(F206,Departments!$A$2:$C$6,2,0)</f>
        <v>HR</v>
      </c>
      <c r="N206" s="1" t="str">
        <f>INDEX(Departments!$B:$B,MATCH(Employees!F206,Departments!$A:$A,0))</f>
        <v>HR</v>
      </c>
    </row>
    <row r="207" spans="1:14" x14ac:dyDescent="0.3">
      <c r="A207" s="1" t="s">
        <v>658</v>
      </c>
      <c r="B207" s="1" t="s">
        <v>13</v>
      </c>
      <c r="C207" s="1" t="s">
        <v>45</v>
      </c>
      <c r="D207" s="1" t="s">
        <v>15</v>
      </c>
      <c r="E207" s="1">
        <v>23</v>
      </c>
      <c r="F207" s="1" t="s">
        <v>16</v>
      </c>
      <c r="G207" s="1" t="s">
        <v>40</v>
      </c>
      <c r="H207" s="1" t="s">
        <v>472</v>
      </c>
      <c r="I207" s="1">
        <v>93395</v>
      </c>
      <c r="J207" s="1" t="s">
        <v>65</v>
      </c>
      <c r="K207" s="1" t="s">
        <v>659</v>
      </c>
      <c r="L207" s="1" t="s">
        <v>21</v>
      </c>
      <c r="M207" s="1" t="str">
        <f>VLOOKUP(F207,Departments!$A$2:$C$6,2,0)</f>
        <v>HR</v>
      </c>
      <c r="N207" s="1" t="str">
        <f>INDEX(Departments!$B:$B,MATCH(Employees!F207,Departments!$A:$A,0))</f>
        <v>HR</v>
      </c>
    </row>
    <row r="208" spans="1:14" x14ac:dyDescent="0.3">
      <c r="A208" s="1" t="s">
        <v>660</v>
      </c>
      <c r="B208" s="1" t="s">
        <v>13</v>
      </c>
      <c r="C208" s="1" t="s">
        <v>14</v>
      </c>
      <c r="D208" s="1" t="s">
        <v>15</v>
      </c>
      <c r="E208" s="1">
        <v>42</v>
      </c>
      <c r="F208" s="1" t="s">
        <v>31</v>
      </c>
      <c r="G208" s="1" t="s">
        <v>108</v>
      </c>
      <c r="H208" s="1" t="s">
        <v>661</v>
      </c>
      <c r="I208" s="1">
        <v>91944</v>
      </c>
      <c r="J208" s="1" t="s">
        <v>60</v>
      </c>
      <c r="K208" s="1" t="s">
        <v>662</v>
      </c>
      <c r="L208" s="1" t="s">
        <v>21</v>
      </c>
      <c r="M208" s="1" t="str">
        <f>VLOOKUP(F208,Departments!$A$2:$C$6,2,0)</f>
        <v>Sales</v>
      </c>
      <c r="N208" s="1" t="str">
        <f>INDEX(Departments!$B:$B,MATCH(Employees!F208,Departments!$A:$A,0))</f>
        <v>Sales</v>
      </c>
    </row>
    <row r="209" spans="1:14" x14ac:dyDescent="0.3">
      <c r="A209" s="1" t="s">
        <v>663</v>
      </c>
      <c r="B209" s="1" t="s">
        <v>71</v>
      </c>
      <c r="C209" s="1" t="s">
        <v>63</v>
      </c>
      <c r="D209" s="1" t="s">
        <v>24</v>
      </c>
      <c r="E209" s="1">
        <v>33</v>
      </c>
      <c r="F209" s="1" t="s">
        <v>39</v>
      </c>
      <c r="G209" s="1" t="s">
        <v>40</v>
      </c>
      <c r="H209" s="1" t="s">
        <v>664</v>
      </c>
      <c r="I209" s="1">
        <v>115357</v>
      </c>
      <c r="J209" s="1" t="s">
        <v>19</v>
      </c>
      <c r="K209" s="1" t="s">
        <v>665</v>
      </c>
      <c r="L209" s="1" t="s">
        <v>36</v>
      </c>
      <c r="M209" s="1" t="str">
        <f>VLOOKUP(F209,Departments!$A$2:$C$6,2,0)</f>
        <v>Marketing</v>
      </c>
      <c r="N209" s="1" t="str">
        <f>INDEX(Departments!$B:$B,MATCH(Employees!F209,Departments!$A:$A,0))</f>
        <v>Marketing</v>
      </c>
    </row>
    <row r="210" spans="1:14" x14ac:dyDescent="0.3">
      <c r="A210" s="1" t="s">
        <v>666</v>
      </c>
      <c r="B210" s="1" t="s">
        <v>30</v>
      </c>
      <c r="C210" s="1" t="s">
        <v>14</v>
      </c>
      <c r="D210" s="1" t="s">
        <v>15</v>
      </c>
      <c r="E210" s="1">
        <v>40</v>
      </c>
      <c r="F210" s="1" t="s">
        <v>16</v>
      </c>
      <c r="G210" s="1" t="s">
        <v>108</v>
      </c>
      <c r="H210" s="1" t="s">
        <v>633</v>
      </c>
      <c r="I210" s="1">
        <v>103876</v>
      </c>
      <c r="J210" s="1" t="s">
        <v>80</v>
      </c>
      <c r="K210" s="1" t="s">
        <v>667</v>
      </c>
      <c r="L210" s="1" t="s">
        <v>36</v>
      </c>
      <c r="M210" s="1" t="str">
        <f>VLOOKUP(F210,Departments!$A$2:$C$6,2,0)</f>
        <v>HR</v>
      </c>
      <c r="N210" s="1" t="str">
        <f>INDEX(Departments!$B:$B,MATCH(Employees!F210,Departments!$A:$A,0))</f>
        <v>HR</v>
      </c>
    </row>
    <row r="211" spans="1:14" x14ac:dyDescent="0.3">
      <c r="A211" s="1" t="s">
        <v>668</v>
      </c>
      <c r="B211" s="1" t="s">
        <v>38</v>
      </c>
      <c r="C211" s="1" t="s">
        <v>165</v>
      </c>
      <c r="D211" s="1" t="s">
        <v>15</v>
      </c>
      <c r="E211" s="1">
        <v>42</v>
      </c>
      <c r="F211" s="1" t="s">
        <v>16</v>
      </c>
      <c r="G211" s="1" t="s">
        <v>108</v>
      </c>
      <c r="H211" s="1" t="s">
        <v>669</v>
      </c>
      <c r="I211" s="1">
        <v>106174</v>
      </c>
      <c r="J211" s="1" t="s">
        <v>65</v>
      </c>
      <c r="K211" s="1" t="s">
        <v>670</v>
      </c>
      <c r="L211" s="1" t="s">
        <v>21</v>
      </c>
      <c r="M211" s="1" t="str">
        <f>VLOOKUP(F211,Departments!$A$2:$C$6,2,0)</f>
        <v>HR</v>
      </c>
      <c r="N211" s="1" t="str">
        <f>INDEX(Departments!$B:$B,MATCH(Employees!F211,Departments!$A:$A,0))</f>
        <v>HR</v>
      </c>
    </row>
    <row r="212" spans="1:14" x14ac:dyDescent="0.3">
      <c r="A212" s="1" t="s">
        <v>671</v>
      </c>
      <c r="B212" s="1" t="s">
        <v>94</v>
      </c>
      <c r="C212" s="1" t="s">
        <v>45</v>
      </c>
      <c r="D212" s="1" t="s">
        <v>15</v>
      </c>
      <c r="E212" s="1">
        <v>29</v>
      </c>
      <c r="F212" s="1" t="s">
        <v>31</v>
      </c>
      <c r="G212" s="1" t="s">
        <v>40</v>
      </c>
      <c r="H212" s="1" t="s">
        <v>672</v>
      </c>
      <c r="I212" s="1">
        <v>80612</v>
      </c>
      <c r="J212" s="1" t="s">
        <v>65</v>
      </c>
      <c r="K212" s="1" t="s">
        <v>673</v>
      </c>
      <c r="L212" s="1" t="s">
        <v>21</v>
      </c>
      <c r="M212" s="1" t="str">
        <f>VLOOKUP(F212,Departments!$A$2:$C$6,2,0)</f>
        <v>Sales</v>
      </c>
      <c r="N212" s="1" t="str">
        <f>INDEX(Departments!$B:$B,MATCH(Employees!F212,Departments!$A:$A,0))</f>
        <v>Sales</v>
      </c>
    </row>
    <row r="213" spans="1:14" x14ac:dyDescent="0.3">
      <c r="A213" s="1" t="s">
        <v>674</v>
      </c>
      <c r="B213" s="1" t="s">
        <v>143</v>
      </c>
      <c r="C213" s="1" t="s">
        <v>23</v>
      </c>
      <c r="D213" s="1" t="s">
        <v>15</v>
      </c>
      <c r="E213" s="1">
        <v>55</v>
      </c>
      <c r="F213" s="1" t="s">
        <v>31</v>
      </c>
      <c r="G213" s="1" t="s">
        <v>40</v>
      </c>
      <c r="H213" s="1" t="s">
        <v>675</v>
      </c>
      <c r="I213" s="1">
        <v>103478</v>
      </c>
      <c r="J213" s="1" t="s">
        <v>65</v>
      </c>
      <c r="K213" s="1" t="s">
        <v>676</v>
      </c>
      <c r="L213" s="1" t="s">
        <v>21</v>
      </c>
      <c r="M213" s="1" t="str">
        <f>VLOOKUP(F213,Departments!$A$2:$C$6,2,0)</f>
        <v>Sales</v>
      </c>
      <c r="N213" s="1" t="str">
        <f>INDEX(Departments!$B:$B,MATCH(Employees!F213,Departments!$A:$A,0))</f>
        <v>Sales</v>
      </c>
    </row>
    <row r="214" spans="1:14" x14ac:dyDescent="0.3">
      <c r="A214" s="1" t="s">
        <v>677</v>
      </c>
      <c r="B214" s="1" t="s">
        <v>30</v>
      </c>
      <c r="C214" s="1" t="s">
        <v>78</v>
      </c>
      <c r="D214" s="1" t="s">
        <v>15</v>
      </c>
      <c r="E214" s="1">
        <v>59</v>
      </c>
      <c r="F214" s="1" t="s">
        <v>16</v>
      </c>
      <c r="G214" s="1" t="s">
        <v>32</v>
      </c>
      <c r="H214" s="1" t="s">
        <v>678</v>
      </c>
      <c r="I214" s="1">
        <v>38205</v>
      </c>
      <c r="J214" s="1" t="s">
        <v>80</v>
      </c>
      <c r="K214" s="1" t="s">
        <v>679</v>
      </c>
      <c r="L214" s="1" t="s">
        <v>36</v>
      </c>
      <c r="M214" s="1" t="str">
        <f>VLOOKUP(F214,Departments!$A$2:$C$6,2,0)</f>
        <v>HR</v>
      </c>
      <c r="N214" s="1" t="str">
        <f>INDEX(Departments!$B:$B,MATCH(Employees!F214,Departments!$A:$A,0))</f>
        <v>HR</v>
      </c>
    </row>
    <row r="215" spans="1:14" x14ac:dyDescent="0.3">
      <c r="A215" s="1" t="s">
        <v>680</v>
      </c>
      <c r="B215" s="1" t="s">
        <v>49</v>
      </c>
      <c r="C215" s="1" t="s">
        <v>130</v>
      </c>
      <c r="D215" s="1" t="s">
        <v>15</v>
      </c>
      <c r="E215" s="1">
        <v>46</v>
      </c>
      <c r="F215" s="1" t="s">
        <v>25</v>
      </c>
      <c r="G215" s="1" t="s">
        <v>108</v>
      </c>
      <c r="H215" s="1" t="s">
        <v>681</v>
      </c>
      <c r="I215" s="1">
        <v>53141</v>
      </c>
      <c r="J215" s="1" t="s">
        <v>34</v>
      </c>
      <c r="K215" s="1" t="s">
        <v>682</v>
      </c>
      <c r="L215" s="1" t="s">
        <v>36</v>
      </c>
      <c r="M215" s="1" t="str">
        <f>VLOOKUP(F215,Departments!$A$2:$C$6,2,0)</f>
        <v>IT</v>
      </c>
      <c r="N215" s="1" t="str">
        <f>INDEX(Departments!$B:$B,MATCH(Employees!F215,Departments!$A:$A,0))</f>
        <v>IT</v>
      </c>
    </row>
    <row r="216" spans="1:14" x14ac:dyDescent="0.3">
      <c r="A216" s="1" t="s">
        <v>683</v>
      </c>
      <c r="B216" s="1" t="s">
        <v>38</v>
      </c>
      <c r="C216" s="1" t="s">
        <v>63</v>
      </c>
      <c r="D216" s="1" t="s">
        <v>24</v>
      </c>
      <c r="E216" s="1">
        <v>27</v>
      </c>
      <c r="F216" s="1" t="s">
        <v>25</v>
      </c>
      <c r="G216" s="1" t="s">
        <v>108</v>
      </c>
      <c r="H216" s="1" t="s">
        <v>684</v>
      </c>
      <c r="I216" s="1">
        <v>70180</v>
      </c>
      <c r="J216" s="1" t="s">
        <v>34</v>
      </c>
      <c r="K216" s="1" t="s">
        <v>685</v>
      </c>
      <c r="L216" s="1" t="s">
        <v>21</v>
      </c>
      <c r="M216" s="1" t="str">
        <f>VLOOKUP(F216,Departments!$A$2:$C$6,2,0)</f>
        <v>IT</v>
      </c>
      <c r="N216" s="1" t="str">
        <f>INDEX(Departments!$B:$B,MATCH(Employees!F216,Departments!$A:$A,0))</f>
        <v>IT</v>
      </c>
    </row>
    <row r="217" spans="1:14" x14ac:dyDescent="0.3">
      <c r="A217" s="1" t="s">
        <v>686</v>
      </c>
      <c r="B217" s="1" t="s">
        <v>38</v>
      </c>
      <c r="C217" s="1" t="s">
        <v>45</v>
      </c>
      <c r="D217" s="1" t="s">
        <v>15</v>
      </c>
      <c r="E217" s="1">
        <v>29</v>
      </c>
      <c r="F217" s="1" t="s">
        <v>50</v>
      </c>
      <c r="G217" s="1" t="s">
        <v>26</v>
      </c>
      <c r="H217" s="1" t="s">
        <v>687</v>
      </c>
      <c r="I217" s="1">
        <v>48946</v>
      </c>
      <c r="J217" s="1" t="s">
        <v>60</v>
      </c>
      <c r="K217" s="1" t="s">
        <v>688</v>
      </c>
      <c r="L217" s="1" t="s">
        <v>36</v>
      </c>
      <c r="M217" s="1" t="str">
        <f>VLOOKUP(F217,Departments!$A$2:$C$6,2,0)</f>
        <v>Finance</v>
      </c>
      <c r="N217" s="1" t="str">
        <f>INDEX(Departments!$B:$B,MATCH(Employees!F217,Departments!$A:$A,0))</f>
        <v>Finance</v>
      </c>
    </row>
    <row r="218" spans="1:14" x14ac:dyDescent="0.3">
      <c r="A218" s="1" t="s">
        <v>689</v>
      </c>
      <c r="B218" s="1" t="s">
        <v>94</v>
      </c>
      <c r="C218" s="1" t="s">
        <v>78</v>
      </c>
      <c r="D218" s="1" t="s">
        <v>24</v>
      </c>
      <c r="E218" s="1">
        <v>38</v>
      </c>
      <c r="F218" s="1" t="s">
        <v>31</v>
      </c>
      <c r="G218" s="1" t="s">
        <v>32</v>
      </c>
      <c r="H218" s="1" t="s">
        <v>178</v>
      </c>
      <c r="I218" s="1">
        <v>107342</v>
      </c>
      <c r="J218" s="1" t="s">
        <v>80</v>
      </c>
      <c r="K218" s="1" t="s">
        <v>690</v>
      </c>
      <c r="L218" s="1" t="s">
        <v>21</v>
      </c>
      <c r="M218" s="1" t="str">
        <f>VLOOKUP(F218,Departments!$A$2:$C$6,2,0)</f>
        <v>Sales</v>
      </c>
      <c r="N218" s="1" t="str">
        <f>INDEX(Departments!$B:$B,MATCH(Employees!F218,Departments!$A:$A,0))</f>
        <v>Sales</v>
      </c>
    </row>
    <row r="219" spans="1:14" x14ac:dyDescent="0.3">
      <c r="A219" s="1" t="s">
        <v>691</v>
      </c>
      <c r="B219" s="1" t="s">
        <v>30</v>
      </c>
      <c r="C219" s="1" t="s">
        <v>130</v>
      </c>
      <c r="D219" s="1" t="s">
        <v>24</v>
      </c>
      <c r="E219" s="1">
        <v>58</v>
      </c>
      <c r="F219" s="1" t="s">
        <v>31</v>
      </c>
      <c r="G219" s="1" t="s">
        <v>108</v>
      </c>
      <c r="H219" s="1" t="s">
        <v>692</v>
      </c>
      <c r="I219" s="1">
        <v>45973</v>
      </c>
      <c r="J219" s="1" t="s">
        <v>65</v>
      </c>
      <c r="K219" s="1" t="s">
        <v>693</v>
      </c>
      <c r="L219" s="1" t="s">
        <v>36</v>
      </c>
      <c r="M219" s="1" t="str">
        <f>VLOOKUP(F219,Departments!$A$2:$C$6,2,0)</f>
        <v>Sales</v>
      </c>
      <c r="N219" s="1" t="str">
        <f>INDEX(Departments!$B:$B,MATCH(Employees!F219,Departments!$A:$A,0))</f>
        <v>Sales</v>
      </c>
    </row>
    <row r="220" spans="1:14" x14ac:dyDescent="0.3">
      <c r="A220" s="1" t="s">
        <v>694</v>
      </c>
      <c r="B220" s="1" t="s">
        <v>38</v>
      </c>
      <c r="C220" s="1" t="s">
        <v>83</v>
      </c>
      <c r="D220" s="1" t="s">
        <v>15</v>
      </c>
      <c r="E220" s="1">
        <v>26</v>
      </c>
      <c r="F220" s="1" t="s">
        <v>39</v>
      </c>
      <c r="G220" s="1" t="s">
        <v>26</v>
      </c>
      <c r="H220" s="1" t="s">
        <v>695</v>
      </c>
      <c r="I220" s="1">
        <v>49800</v>
      </c>
      <c r="J220" s="1" t="s">
        <v>60</v>
      </c>
      <c r="K220" s="1" t="s">
        <v>696</v>
      </c>
      <c r="L220" s="1" t="s">
        <v>36</v>
      </c>
      <c r="M220" s="1" t="str">
        <f>VLOOKUP(F220,Departments!$A$2:$C$6,2,0)</f>
        <v>Marketing</v>
      </c>
      <c r="N220" s="1" t="str">
        <f>INDEX(Departments!$B:$B,MATCH(Employees!F220,Departments!$A:$A,0))</f>
        <v>Marketing</v>
      </c>
    </row>
    <row r="221" spans="1:14" x14ac:dyDescent="0.3">
      <c r="A221" s="1" t="s">
        <v>697</v>
      </c>
      <c r="B221" s="1" t="s">
        <v>143</v>
      </c>
      <c r="C221" s="1" t="s">
        <v>23</v>
      </c>
      <c r="D221" s="1" t="s">
        <v>24</v>
      </c>
      <c r="E221" s="1">
        <v>25</v>
      </c>
      <c r="F221" s="1" t="s">
        <v>50</v>
      </c>
      <c r="G221" s="1" t="s">
        <v>32</v>
      </c>
      <c r="H221" s="1" t="s">
        <v>424</v>
      </c>
      <c r="I221" s="1">
        <v>39237</v>
      </c>
      <c r="J221" s="1" t="s">
        <v>34</v>
      </c>
      <c r="K221" s="1" t="s">
        <v>698</v>
      </c>
      <c r="L221" s="1" t="s">
        <v>36</v>
      </c>
      <c r="M221" s="1" t="str">
        <f>VLOOKUP(F221,Departments!$A$2:$C$6,2,0)</f>
        <v>Finance</v>
      </c>
      <c r="N221" s="1" t="str">
        <f>INDEX(Departments!$B:$B,MATCH(Employees!F221,Departments!$A:$A,0))</f>
        <v>Finance</v>
      </c>
    </row>
    <row r="222" spans="1:14" x14ac:dyDescent="0.3">
      <c r="A222" s="1" t="s">
        <v>699</v>
      </c>
      <c r="B222" s="1" t="s">
        <v>13</v>
      </c>
      <c r="C222" s="1" t="s">
        <v>90</v>
      </c>
      <c r="D222" s="1" t="s">
        <v>15</v>
      </c>
      <c r="E222" s="1">
        <v>54</v>
      </c>
      <c r="F222" s="1" t="s">
        <v>39</v>
      </c>
      <c r="G222" s="1" t="s">
        <v>32</v>
      </c>
      <c r="H222" s="1" t="s">
        <v>618</v>
      </c>
      <c r="I222" s="1">
        <v>69777</v>
      </c>
      <c r="J222" s="1" t="s">
        <v>19</v>
      </c>
      <c r="K222" s="1" t="s">
        <v>700</v>
      </c>
      <c r="L222" s="1" t="s">
        <v>21</v>
      </c>
      <c r="M222" s="1" t="str">
        <f>VLOOKUP(F222,Departments!$A$2:$C$6,2,0)</f>
        <v>Marketing</v>
      </c>
      <c r="N222" s="1" t="str">
        <f>INDEX(Departments!$B:$B,MATCH(Employees!F222,Departments!$A:$A,0))</f>
        <v>Marketing</v>
      </c>
    </row>
    <row r="223" spans="1:14" x14ac:dyDescent="0.3">
      <c r="A223" s="1" t="s">
        <v>701</v>
      </c>
      <c r="B223" s="1" t="s">
        <v>13</v>
      </c>
      <c r="C223" s="1" t="s">
        <v>83</v>
      </c>
      <c r="D223" s="1" t="s">
        <v>24</v>
      </c>
      <c r="E223" s="1">
        <v>24</v>
      </c>
      <c r="F223" s="1" t="s">
        <v>50</v>
      </c>
      <c r="G223" s="1" t="s">
        <v>26</v>
      </c>
      <c r="H223" s="1" t="s">
        <v>702</v>
      </c>
      <c r="I223" s="1">
        <v>45012</v>
      </c>
      <c r="J223" s="1" t="s">
        <v>34</v>
      </c>
      <c r="K223" s="1" t="s">
        <v>703</v>
      </c>
      <c r="L223" s="1" t="s">
        <v>36</v>
      </c>
      <c r="M223" s="1" t="str">
        <f>VLOOKUP(F223,Departments!$A$2:$C$6,2,0)</f>
        <v>Finance</v>
      </c>
      <c r="N223" s="1" t="str">
        <f>INDEX(Departments!$B:$B,MATCH(Employees!F223,Departments!$A:$A,0))</f>
        <v>Finance</v>
      </c>
    </row>
    <row r="224" spans="1:14" x14ac:dyDescent="0.3">
      <c r="A224" s="1" t="s">
        <v>704</v>
      </c>
      <c r="B224" s="1" t="s">
        <v>58</v>
      </c>
      <c r="C224" s="1" t="s">
        <v>45</v>
      </c>
      <c r="D224" s="1" t="s">
        <v>24</v>
      </c>
      <c r="E224" s="1">
        <v>56</v>
      </c>
      <c r="F224" s="1" t="s">
        <v>50</v>
      </c>
      <c r="G224" s="1" t="s">
        <v>26</v>
      </c>
      <c r="H224" s="1" t="s">
        <v>705</v>
      </c>
      <c r="I224" s="1">
        <v>99157</v>
      </c>
      <c r="J224" s="1" t="s">
        <v>60</v>
      </c>
      <c r="K224" s="1" t="s">
        <v>706</v>
      </c>
      <c r="L224" s="1" t="s">
        <v>36</v>
      </c>
      <c r="M224" s="1" t="str">
        <f>VLOOKUP(F224,Departments!$A$2:$C$6,2,0)</f>
        <v>Finance</v>
      </c>
      <c r="N224" s="1" t="str">
        <f>INDEX(Departments!$B:$B,MATCH(Employees!F224,Departments!$A:$A,0))</f>
        <v>Finance</v>
      </c>
    </row>
    <row r="225" spans="1:14" x14ac:dyDescent="0.3">
      <c r="A225" s="1" t="s">
        <v>707</v>
      </c>
      <c r="B225" s="1" t="s">
        <v>58</v>
      </c>
      <c r="C225" s="1" t="s">
        <v>165</v>
      </c>
      <c r="D225" s="1" t="s">
        <v>24</v>
      </c>
      <c r="E225" s="1">
        <v>42</v>
      </c>
      <c r="F225" s="1" t="s">
        <v>39</v>
      </c>
      <c r="G225" s="1" t="s">
        <v>40</v>
      </c>
      <c r="H225" s="1" t="s">
        <v>708</v>
      </c>
      <c r="I225" s="1">
        <v>81470</v>
      </c>
      <c r="J225" s="1" t="s">
        <v>34</v>
      </c>
      <c r="K225" s="1" t="s">
        <v>709</v>
      </c>
      <c r="L225" s="1" t="s">
        <v>21</v>
      </c>
      <c r="M225" s="1" t="str">
        <f>VLOOKUP(F225,Departments!$A$2:$C$6,2,0)</f>
        <v>Marketing</v>
      </c>
      <c r="N225" s="1" t="str">
        <f>INDEX(Departments!$B:$B,MATCH(Employees!F225,Departments!$A:$A,0))</f>
        <v>Marketing</v>
      </c>
    </row>
    <row r="226" spans="1:14" x14ac:dyDescent="0.3">
      <c r="A226" s="1" t="s">
        <v>710</v>
      </c>
      <c r="B226" s="1" t="s">
        <v>38</v>
      </c>
      <c r="C226" s="1" t="s">
        <v>83</v>
      </c>
      <c r="D226" s="1" t="s">
        <v>24</v>
      </c>
      <c r="E226" s="1">
        <v>23</v>
      </c>
      <c r="F226" s="1" t="s">
        <v>31</v>
      </c>
      <c r="G226" s="1" t="s">
        <v>40</v>
      </c>
      <c r="H226" s="1" t="s">
        <v>711</v>
      </c>
      <c r="I226" s="1">
        <v>98738</v>
      </c>
      <c r="J226" s="1" t="s">
        <v>65</v>
      </c>
      <c r="K226" s="1" t="s">
        <v>712</v>
      </c>
      <c r="L226" s="1" t="s">
        <v>36</v>
      </c>
      <c r="M226" s="1" t="str">
        <f>VLOOKUP(F226,Departments!$A$2:$C$6,2,0)</f>
        <v>Sales</v>
      </c>
      <c r="N226" s="1" t="str">
        <f>INDEX(Departments!$B:$B,MATCH(Employees!F226,Departments!$A:$A,0))</f>
        <v>Sales</v>
      </c>
    </row>
    <row r="227" spans="1:14" x14ac:dyDescent="0.3">
      <c r="A227" s="1" t="s">
        <v>713</v>
      </c>
      <c r="B227" s="1" t="s">
        <v>30</v>
      </c>
      <c r="C227" s="1" t="s">
        <v>45</v>
      </c>
      <c r="D227" s="1" t="s">
        <v>15</v>
      </c>
      <c r="E227" s="1">
        <v>45</v>
      </c>
      <c r="F227" s="1" t="s">
        <v>25</v>
      </c>
      <c r="G227" s="1" t="s">
        <v>32</v>
      </c>
      <c r="H227" s="1" t="s">
        <v>714</v>
      </c>
      <c r="I227" s="1">
        <v>69768</v>
      </c>
      <c r="J227" s="1" t="s">
        <v>19</v>
      </c>
      <c r="K227" s="1" t="s">
        <v>715</v>
      </c>
      <c r="L227" s="1" t="s">
        <v>36</v>
      </c>
      <c r="M227" s="1" t="str">
        <f>VLOOKUP(F227,Departments!$A$2:$C$6,2,0)</f>
        <v>IT</v>
      </c>
      <c r="N227" s="1" t="str">
        <f>INDEX(Departments!$B:$B,MATCH(Employees!F227,Departments!$A:$A,0))</f>
        <v>IT</v>
      </c>
    </row>
    <row r="228" spans="1:14" x14ac:dyDescent="0.3">
      <c r="A228" s="1" t="s">
        <v>716</v>
      </c>
      <c r="B228" s="1" t="s">
        <v>94</v>
      </c>
      <c r="C228" s="1" t="s">
        <v>78</v>
      </c>
      <c r="D228" s="1" t="s">
        <v>24</v>
      </c>
      <c r="E228" s="1">
        <v>47</v>
      </c>
      <c r="F228" s="1" t="s">
        <v>39</v>
      </c>
      <c r="G228" s="1" t="s">
        <v>32</v>
      </c>
      <c r="H228" s="1" t="s">
        <v>717</v>
      </c>
      <c r="I228" s="1">
        <v>78816</v>
      </c>
      <c r="J228" s="1" t="s">
        <v>34</v>
      </c>
      <c r="K228" s="1" t="s">
        <v>718</v>
      </c>
      <c r="L228" s="1" t="s">
        <v>36</v>
      </c>
      <c r="M228" s="1" t="str">
        <f>VLOOKUP(F228,Departments!$A$2:$C$6,2,0)</f>
        <v>Marketing</v>
      </c>
      <c r="N228" s="1" t="str">
        <f>INDEX(Departments!$B:$B,MATCH(Employees!F228,Departments!$A:$A,0))</f>
        <v>Marketing</v>
      </c>
    </row>
    <row r="229" spans="1:14" x14ac:dyDescent="0.3">
      <c r="A229" s="1" t="s">
        <v>719</v>
      </c>
      <c r="B229" s="1" t="s">
        <v>143</v>
      </c>
      <c r="C229" s="1" t="s">
        <v>165</v>
      </c>
      <c r="D229" s="1" t="s">
        <v>24</v>
      </c>
      <c r="E229" s="1">
        <v>30</v>
      </c>
      <c r="F229" s="1" t="s">
        <v>31</v>
      </c>
      <c r="G229" s="1" t="s">
        <v>108</v>
      </c>
      <c r="H229" s="1" t="s">
        <v>720</v>
      </c>
      <c r="I229" s="1">
        <v>39186</v>
      </c>
      <c r="J229" s="1" t="s">
        <v>19</v>
      </c>
      <c r="K229" s="1" t="s">
        <v>721</v>
      </c>
      <c r="L229" s="1" t="s">
        <v>21</v>
      </c>
      <c r="M229" s="1" t="str">
        <f>VLOOKUP(F229,Departments!$A$2:$C$6,2,0)</f>
        <v>Sales</v>
      </c>
      <c r="N229" s="1" t="str">
        <f>INDEX(Departments!$B:$B,MATCH(Employees!F229,Departments!$A:$A,0))</f>
        <v>Sales</v>
      </c>
    </row>
    <row r="230" spans="1:14" x14ac:dyDescent="0.3">
      <c r="A230" s="1" t="s">
        <v>722</v>
      </c>
      <c r="B230" s="1" t="s">
        <v>44</v>
      </c>
      <c r="C230" s="1" t="s">
        <v>165</v>
      </c>
      <c r="D230" s="1" t="s">
        <v>15</v>
      </c>
      <c r="E230" s="1">
        <v>57</v>
      </c>
      <c r="F230" s="1" t="s">
        <v>16</v>
      </c>
      <c r="G230" s="1" t="s">
        <v>40</v>
      </c>
      <c r="H230" s="1" t="s">
        <v>723</v>
      </c>
      <c r="I230" s="1">
        <v>90363</v>
      </c>
      <c r="J230" s="1" t="s">
        <v>60</v>
      </c>
      <c r="K230" s="1" t="s">
        <v>724</v>
      </c>
      <c r="L230" s="1" t="s">
        <v>36</v>
      </c>
      <c r="M230" s="1" t="str">
        <f>VLOOKUP(F230,Departments!$A$2:$C$6,2,0)</f>
        <v>HR</v>
      </c>
      <c r="N230" s="1" t="str">
        <f>INDEX(Departments!$B:$B,MATCH(Employees!F230,Departments!$A:$A,0))</f>
        <v>HR</v>
      </c>
    </row>
    <row r="231" spans="1:14" x14ac:dyDescent="0.3">
      <c r="A231" s="1" t="s">
        <v>725</v>
      </c>
      <c r="B231" s="1" t="s">
        <v>38</v>
      </c>
      <c r="C231" s="1" t="s">
        <v>78</v>
      </c>
      <c r="D231" s="1" t="s">
        <v>15</v>
      </c>
      <c r="E231" s="1">
        <v>56</v>
      </c>
      <c r="F231" s="1" t="s">
        <v>16</v>
      </c>
      <c r="G231" s="1" t="s">
        <v>26</v>
      </c>
      <c r="H231" s="1" t="s">
        <v>726</v>
      </c>
      <c r="I231" s="1">
        <v>86374</v>
      </c>
      <c r="J231" s="1" t="s">
        <v>19</v>
      </c>
      <c r="K231" s="1" t="s">
        <v>727</v>
      </c>
      <c r="L231" s="1" t="s">
        <v>36</v>
      </c>
      <c r="M231" s="1" t="str">
        <f>VLOOKUP(F231,Departments!$A$2:$C$6,2,0)</f>
        <v>HR</v>
      </c>
      <c r="N231" s="1" t="str">
        <f>INDEX(Departments!$B:$B,MATCH(Employees!F231,Departments!$A:$A,0))</f>
        <v>HR</v>
      </c>
    </row>
    <row r="232" spans="1:14" x14ac:dyDescent="0.3">
      <c r="A232" s="1" t="s">
        <v>728</v>
      </c>
      <c r="B232" s="1" t="s">
        <v>94</v>
      </c>
      <c r="C232" s="1" t="s">
        <v>23</v>
      </c>
      <c r="D232" s="1" t="s">
        <v>15</v>
      </c>
      <c r="E232" s="1">
        <v>28</v>
      </c>
      <c r="F232" s="1" t="s">
        <v>25</v>
      </c>
      <c r="G232" s="1" t="s">
        <v>108</v>
      </c>
      <c r="H232" s="1" t="s">
        <v>729</v>
      </c>
      <c r="I232" s="1">
        <v>51057</v>
      </c>
      <c r="J232" s="1" t="s">
        <v>34</v>
      </c>
      <c r="K232" s="1" t="s">
        <v>730</v>
      </c>
      <c r="L232" s="1" t="s">
        <v>21</v>
      </c>
      <c r="M232" s="1" t="str">
        <f>VLOOKUP(F232,Departments!$A$2:$C$6,2,0)</f>
        <v>IT</v>
      </c>
      <c r="N232" s="1" t="str">
        <f>INDEX(Departments!$B:$B,MATCH(Employees!F232,Departments!$A:$A,0))</f>
        <v>IT</v>
      </c>
    </row>
    <row r="233" spans="1:14" x14ac:dyDescent="0.3">
      <c r="A233" s="1" t="s">
        <v>731</v>
      </c>
      <c r="B233" s="1" t="s">
        <v>13</v>
      </c>
      <c r="C233" s="1" t="s">
        <v>83</v>
      </c>
      <c r="D233" s="1" t="s">
        <v>15</v>
      </c>
      <c r="E233" s="1">
        <v>55</v>
      </c>
      <c r="F233" s="1" t="s">
        <v>50</v>
      </c>
      <c r="G233" s="1" t="s">
        <v>17</v>
      </c>
      <c r="H233" s="1" t="s">
        <v>732</v>
      </c>
      <c r="I233" s="1">
        <v>94146</v>
      </c>
      <c r="J233" s="1" t="s">
        <v>60</v>
      </c>
      <c r="K233" s="1" t="s">
        <v>733</v>
      </c>
      <c r="L233" s="1" t="s">
        <v>36</v>
      </c>
      <c r="M233" s="1" t="str">
        <f>VLOOKUP(F233,Departments!$A$2:$C$6,2,0)</f>
        <v>Finance</v>
      </c>
      <c r="N233" s="1" t="str">
        <f>INDEX(Departments!$B:$B,MATCH(Employees!F233,Departments!$A:$A,0))</f>
        <v>Finance</v>
      </c>
    </row>
    <row r="234" spans="1:14" x14ac:dyDescent="0.3">
      <c r="A234" s="1" t="s">
        <v>734</v>
      </c>
      <c r="B234" s="1" t="s">
        <v>38</v>
      </c>
      <c r="C234" s="1" t="s">
        <v>14</v>
      </c>
      <c r="D234" s="1" t="s">
        <v>24</v>
      </c>
      <c r="E234" s="1">
        <v>33</v>
      </c>
      <c r="F234" s="1" t="s">
        <v>50</v>
      </c>
      <c r="G234" s="1" t="s">
        <v>108</v>
      </c>
      <c r="H234" s="1" t="s">
        <v>735</v>
      </c>
      <c r="I234" s="1">
        <v>102836</v>
      </c>
      <c r="J234" s="1" t="s">
        <v>60</v>
      </c>
      <c r="K234" s="1" t="s">
        <v>736</v>
      </c>
      <c r="L234" s="1" t="s">
        <v>21</v>
      </c>
      <c r="M234" s="1" t="str">
        <f>VLOOKUP(F234,Departments!$A$2:$C$6,2,0)</f>
        <v>Finance</v>
      </c>
      <c r="N234" s="1" t="str">
        <f>INDEX(Departments!$B:$B,MATCH(Employees!F234,Departments!$A:$A,0))</f>
        <v>Finance</v>
      </c>
    </row>
    <row r="235" spans="1:14" x14ac:dyDescent="0.3">
      <c r="A235" s="1" t="s">
        <v>737</v>
      </c>
      <c r="B235" s="1" t="s">
        <v>94</v>
      </c>
      <c r="C235" s="1" t="s">
        <v>23</v>
      </c>
      <c r="D235" s="1" t="s">
        <v>24</v>
      </c>
      <c r="E235" s="1">
        <v>28</v>
      </c>
      <c r="F235" s="1" t="s">
        <v>50</v>
      </c>
      <c r="G235" s="1" t="s">
        <v>26</v>
      </c>
      <c r="H235" s="1" t="s">
        <v>738</v>
      </c>
      <c r="I235" s="1">
        <v>56052</v>
      </c>
      <c r="J235" s="1" t="s">
        <v>65</v>
      </c>
      <c r="K235" s="1" t="s">
        <v>739</v>
      </c>
      <c r="L235" s="1" t="s">
        <v>36</v>
      </c>
      <c r="M235" s="1" t="str">
        <f>VLOOKUP(F235,Departments!$A$2:$C$6,2,0)</f>
        <v>Finance</v>
      </c>
      <c r="N235" s="1" t="str">
        <f>INDEX(Departments!$B:$B,MATCH(Employees!F235,Departments!$A:$A,0))</f>
        <v>Finance</v>
      </c>
    </row>
    <row r="236" spans="1:14" x14ac:dyDescent="0.3">
      <c r="A236" s="1" t="s">
        <v>740</v>
      </c>
      <c r="B236" s="1" t="s">
        <v>44</v>
      </c>
      <c r="C236" s="1" t="s">
        <v>45</v>
      </c>
      <c r="D236" s="1" t="s">
        <v>15</v>
      </c>
      <c r="E236" s="1">
        <v>56</v>
      </c>
      <c r="F236" s="1" t="s">
        <v>25</v>
      </c>
      <c r="G236" s="1" t="s">
        <v>108</v>
      </c>
      <c r="H236" s="1" t="s">
        <v>741</v>
      </c>
      <c r="I236" s="1">
        <v>106491</v>
      </c>
      <c r="J236" s="1" t="s">
        <v>19</v>
      </c>
      <c r="K236" s="1" t="s">
        <v>742</v>
      </c>
      <c r="L236" s="1" t="s">
        <v>36</v>
      </c>
      <c r="M236" s="1" t="str">
        <f>VLOOKUP(F236,Departments!$A$2:$C$6,2,0)</f>
        <v>IT</v>
      </c>
      <c r="N236" s="1" t="str">
        <f>INDEX(Departments!$B:$B,MATCH(Employees!F236,Departments!$A:$A,0))</f>
        <v>IT</v>
      </c>
    </row>
    <row r="237" spans="1:14" x14ac:dyDescent="0.3">
      <c r="A237" s="1" t="s">
        <v>743</v>
      </c>
      <c r="B237" s="1" t="s">
        <v>58</v>
      </c>
      <c r="C237" s="1" t="s">
        <v>165</v>
      </c>
      <c r="D237" s="1" t="s">
        <v>24</v>
      </c>
      <c r="E237" s="1">
        <v>48</v>
      </c>
      <c r="F237" s="1" t="s">
        <v>31</v>
      </c>
      <c r="G237" s="1" t="s">
        <v>108</v>
      </c>
      <c r="H237" s="1" t="s">
        <v>744</v>
      </c>
      <c r="I237" s="1">
        <v>36633</v>
      </c>
      <c r="J237" s="1" t="s">
        <v>60</v>
      </c>
      <c r="K237" s="1" t="s">
        <v>745</v>
      </c>
      <c r="L237" s="1" t="s">
        <v>36</v>
      </c>
      <c r="M237" s="1" t="str">
        <f>VLOOKUP(F237,Departments!$A$2:$C$6,2,0)</f>
        <v>Sales</v>
      </c>
      <c r="N237" s="1" t="str">
        <f>INDEX(Departments!$B:$B,MATCH(Employees!F237,Departments!$A:$A,0))</f>
        <v>Sales</v>
      </c>
    </row>
    <row r="238" spans="1:14" x14ac:dyDescent="0.3">
      <c r="A238" s="1" t="s">
        <v>746</v>
      </c>
      <c r="B238" s="1" t="s">
        <v>30</v>
      </c>
      <c r="C238" s="1" t="s">
        <v>45</v>
      </c>
      <c r="D238" s="1" t="s">
        <v>15</v>
      </c>
      <c r="E238" s="1">
        <v>50</v>
      </c>
      <c r="F238" s="1" t="s">
        <v>25</v>
      </c>
      <c r="G238" s="1" t="s">
        <v>26</v>
      </c>
      <c r="H238" s="1" t="s">
        <v>747</v>
      </c>
      <c r="I238" s="1">
        <v>109744</v>
      </c>
      <c r="J238" s="1" t="s">
        <v>19</v>
      </c>
      <c r="K238" s="1" t="s">
        <v>748</v>
      </c>
      <c r="L238" s="1" t="s">
        <v>36</v>
      </c>
      <c r="M238" s="1" t="str">
        <f>VLOOKUP(F238,Departments!$A$2:$C$6,2,0)</f>
        <v>IT</v>
      </c>
      <c r="N238" s="1" t="str">
        <f>INDEX(Departments!$B:$B,MATCH(Employees!F238,Departments!$A:$A,0))</f>
        <v>IT</v>
      </c>
    </row>
    <row r="239" spans="1:14" x14ac:dyDescent="0.3">
      <c r="A239" s="1" t="s">
        <v>749</v>
      </c>
      <c r="B239" s="1" t="s">
        <v>13</v>
      </c>
      <c r="C239" s="1" t="s">
        <v>165</v>
      </c>
      <c r="D239" s="1" t="s">
        <v>15</v>
      </c>
      <c r="E239" s="1">
        <v>57</v>
      </c>
      <c r="F239" s="1" t="s">
        <v>31</v>
      </c>
      <c r="G239" s="1" t="s">
        <v>40</v>
      </c>
      <c r="H239" s="1" t="s">
        <v>750</v>
      </c>
      <c r="I239" s="1">
        <v>44217</v>
      </c>
      <c r="J239" s="1" t="s">
        <v>19</v>
      </c>
      <c r="K239" s="1" t="s">
        <v>751</v>
      </c>
      <c r="L239" s="1" t="s">
        <v>36</v>
      </c>
      <c r="M239" s="1" t="str">
        <f>VLOOKUP(F239,Departments!$A$2:$C$6,2,0)</f>
        <v>Sales</v>
      </c>
      <c r="N239" s="1" t="str">
        <f>INDEX(Departments!$B:$B,MATCH(Employees!F239,Departments!$A:$A,0))</f>
        <v>Sales</v>
      </c>
    </row>
    <row r="240" spans="1:14" x14ac:dyDescent="0.3">
      <c r="A240" s="1" t="s">
        <v>752</v>
      </c>
      <c r="B240" s="1" t="s">
        <v>143</v>
      </c>
      <c r="C240" s="1" t="s">
        <v>90</v>
      </c>
      <c r="D240" s="1" t="s">
        <v>24</v>
      </c>
      <c r="E240" s="1">
        <v>28</v>
      </c>
      <c r="F240" s="1" t="s">
        <v>50</v>
      </c>
      <c r="G240" s="1" t="s">
        <v>17</v>
      </c>
      <c r="H240" s="1" t="s">
        <v>753</v>
      </c>
      <c r="I240" s="1">
        <v>40758</v>
      </c>
      <c r="J240" s="1" t="s">
        <v>80</v>
      </c>
      <c r="K240" s="1" t="s">
        <v>754</v>
      </c>
      <c r="L240" s="1" t="s">
        <v>21</v>
      </c>
      <c r="M240" s="1" t="str">
        <f>VLOOKUP(F240,Departments!$A$2:$C$6,2,0)</f>
        <v>Finance</v>
      </c>
      <c r="N240" s="1" t="str">
        <f>INDEX(Departments!$B:$B,MATCH(Employees!F240,Departments!$A:$A,0))</f>
        <v>Finance</v>
      </c>
    </row>
    <row r="241" spans="1:14" x14ac:dyDescent="0.3">
      <c r="A241" s="1" t="s">
        <v>755</v>
      </c>
      <c r="B241" s="1" t="s">
        <v>30</v>
      </c>
      <c r="C241" s="1" t="s">
        <v>95</v>
      </c>
      <c r="D241" s="1" t="s">
        <v>15</v>
      </c>
      <c r="E241" s="1">
        <v>59</v>
      </c>
      <c r="F241" s="1" t="s">
        <v>50</v>
      </c>
      <c r="G241" s="1" t="s">
        <v>40</v>
      </c>
      <c r="H241" s="1" t="s">
        <v>756</v>
      </c>
      <c r="I241" s="1">
        <v>49878</v>
      </c>
      <c r="J241" s="1" t="s">
        <v>65</v>
      </c>
      <c r="K241" s="1" t="s">
        <v>757</v>
      </c>
      <c r="L241" s="1" t="s">
        <v>21</v>
      </c>
      <c r="M241" s="1" t="str">
        <f>VLOOKUP(F241,Departments!$A$2:$C$6,2,0)</f>
        <v>Finance</v>
      </c>
      <c r="N241" s="1" t="str">
        <f>INDEX(Departments!$B:$B,MATCH(Employees!F241,Departments!$A:$A,0))</f>
        <v>Finance</v>
      </c>
    </row>
    <row r="242" spans="1:14" x14ac:dyDescent="0.3">
      <c r="A242" s="1" t="s">
        <v>758</v>
      </c>
      <c r="B242" s="1" t="s">
        <v>54</v>
      </c>
      <c r="C242" s="1" t="s">
        <v>130</v>
      </c>
      <c r="D242" s="1" t="s">
        <v>15</v>
      </c>
      <c r="E242" s="1">
        <v>48</v>
      </c>
      <c r="F242" s="1" t="s">
        <v>31</v>
      </c>
      <c r="G242" s="1" t="s">
        <v>108</v>
      </c>
      <c r="H242" s="1" t="s">
        <v>759</v>
      </c>
      <c r="I242" s="1">
        <v>95831</v>
      </c>
      <c r="J242" s="1" t="s">
        <v>60</v>
      </c>
      <c r="K242" s="1" t="s">
        <v>760</v>
      </c>
      <c r="L242" s="1" t="s">
        <v>36</v>
      </c>
      <c r="M242" s="1" t="str">
        <f>VLOOKUP(F242,Departments!$A$2:$C$6,2,0)</f>
        <v>Sales</v>
      </c>
      <c r="N242" s="1" t="str">
        <f>INDEX(Departments!$B:$B,MATCH(Employees!F242,Departments!$A:$A,0))</f>
        <v>Sales</v>
      </c>
    </row>
    <row r="243" spans="1:14" x14ac:dyDescent="0.3">
      <c r="A243" s="1" t="s">
        <v>761</v>
      </c>
      <c r="B243" s="1" t="s">
        <v>94</v>
      </c>
      <c r="C243" s="1" t="s">
        <v>14</v>
      </c>
      <c r="D243" s="1" t="s">
        <v>15</v>
      </c>
      <c r="E243" s="1">
        <v>22</v>
      </c>
      <c r="F243" s="1" t="s">
        <v>25</v>
      </c>
      <c r="G243" s="1" t="s">
        <v>26</v>
      </c>
      <c r="H243" s="1" t="s">
        <v>762</v>
      </c>
      <c r="I243" s="1">
        <v>106015</v>
      </c>
      <c r="J243" s="1" t="s">
        <v>19</v>
      </c>
      <c r="K243" s="1" t="s">
        <v>763</v>
      </c>
      <c r="L243" s="1" t="s">
        <v>21</v>
      </c>
      <c r="M243" s="1" t="str">
        <f>VLOOKUP(F243,Departments!$A$2:$C$6,2,0)</f>
        <v>IT</v>
      </c>
      <c r="N243" s="1" t="str">
        <f>INDEX(Departments!$B:$B,MATCH(Employees!F243,Departments!$A:$A,0))</f>
        <v>IT</v>
      </c>
    </row>
    <row r="244" spans="1:14" x14ac:dyDescent="0.3">
      <c r="A244" s="1" t="s">
        <v>764</v>
      </c>
      <c r="B244" s="1" t="s">
        <v>38</v>
      </c>
      <c r="C244" s="1" t="s">
        <v>45</v>
      </c>
      <c r="D244" s="1" t="s">
        <v>15</v>
      </c>
      <c r="E244" s="1">
        <v>28</v>
      </c>
      <c r="F244" s="1" t="s">
        <v>16</v>
      </c>
      <c r="G244" s="1" t="s">
        <v>17</v>
      </c>
      <c r="H244" s="1" t="s">
        <v>765</v>
      </c>
      <c r="I244" s="1">
        <v>100388</v>
      </c>
      <c r="J244" s="1" t="s">
        <v>80</v>
      </c>
      <c r="K244" s="1" t="s">
        <v>766</v>
      </c>
      <c r="L244" s="1" t="s">
        <v>21</v>
      </c>
      <c r="M244" s="1" t="str">
        <f>VLOOKUP(F244,Departments!$A$2:$C$6,2,0)</f>
        <v>HR</v>
      </c>
      <c r="N244" s="1" t="str">
        <f>INDEX(Departments!$B:$B,MATCH(Employees!F244,Departments!$A:$A,0))</f>
        <v>HR</v>
      </c>
    </row>
    <row r="245" spans="1:14" x14ac:dyDescent="0.3">
      <c r="A245" s="1" t="s">
        <v>767</v>
      </c>
      <c r="B245" s="1" t="s">
        <v>30</v>
      </c>
      <c r="C245" s="1" t="s">
        <v>90</v>
      </c>
      <c r="D245" s="1" t="s">
        <v>24</v>
      </c>
      <c r="E245" s="1">
        <v>47</v>
      </c>
      <c r="F245" s="1" t="s">
        <v>39</v>
      </c>
      <c r="G245" s="1" t="s">
        <v>26</v>
      </c>
      <c r="H245" s="1" t="s">
        <v>166</v>
      </c>
      <c r="I245" s="1">
        <v>60932</v>
      </c>
      <c r="J245" s="1" t="s">
        <v>80</v>
      </c>
      <c r="K245" s="1" t="s">
        <v>768</v>
      </c>
      <c r="L245" s="1" t="s">
        <v>36</v>
      </c>
      <c r="M245" s="1" t="str">
        <f>VLOOKUP(F245,Departments!$A$2:$C$6,2,0)</f>
        <v>Marketing</v>
      </c>
      <c r="N245" s="1" t="str">
        <f>INDEX(Departments!$B:$B,MATCH(Employees!F245,Departments!$A:$A,0))</f>
        <v>Marketing</v>
      </c>
    </row>
    <row r="246" spans="1:14" x14ac:dyDescent="0.3">
      <c r="A246" s="1" t="s">
        <v>769</v>
      </c>
      <c r="B246" s="1" t="s">
        <v>49</v>
      </c>
      <c r="C246" s="1" t="s">
        <v>83</v>
      </c>
      <c r="D246" s="1" t="s">
        <v>15</v>
      </c>
      <c r="E246" s="1">
        <v>36</v>
      </c>
      <c r="F246" s="1" t="s">
        <v>39</v>
      </c>
      <c r="G246" s="1" t="s">
        <v>32</v>
      </c>
      <c r="H246" s="1" t="s">
        <v>436</v>
      </c>
      <c r="I246" s="1">
        <v>107818</v>
      </c>
      <c r="J246" s="1" t="s">
        <v>34</v>
      </c>
      <c r="K246" s="1" t="s">
        <v>770</v>
      </c>
      <c r="L246" s="1" t="s">
        <v>21</v>
      </c>
      <c r="M246" s="1" t="str">
        <f>VLOOKUP(F246,Departments!$A$2:$C$6,2,0)</f>
        <v>Marketing</v>
      </c>
      <c r="N246" s="1" t="str">
        <f>INDEX(Departments!$B:$B,MATCH(Employees!F246,Departments!$A:$A,0))</f>
        <v>Marketing</v>
      </c>
    </row>
    <row r="247" spans="1:14" x14ac:dyDescent="0.3">
      <c r="A247" s="1" t="s">
        <v>771</v>
      </c>
      <c r="B247" s="1" t="s">
        <v>13</v>
      </c>
      <c r="C247" s="1" t="s">
        <v>45</v>
      </c>
      <c r="D247" s="1" t="s">
        <v>24</v>
      </c>
      <c r="E247" s="1">
        <v>49</v>
      </c>
      <c r="F247" s="1" t="s">
        <v>50</v>
      </c>
      <c r="G247" s="1" t="s">
        <v>32</v>
      </c>
      <c r="H247" s="1" t="s">
        <v>772</v>
      </c>
      <c r="I247" s="1">
        <v>95198</v>
      </c>
      <c r="J247" s="1" t="s">
        <v>34</v>
      </c>
      <c r="K247" s="1" t="s">
        <v>773</v>
      </c>
      <c r="L247" s="1" t="s">
        <v>21</v>
      </c>
      <c r="M247" s="1" t="str">
        <f>VLOOKUP(F247,Departments!$A$2:$C$6,2,0)</f>
        <v>Finance</v>
      </c>
      <c r="N247" s="1" t="str">
        <f>INDEX(Departments!$B:$B,MATCH(Employees!F247,Departments!$A:$A,0))</f>
        <v>Finance</v>
      </c>
    </row>
    <row r="248" spans="1:14" x14ac:dyDescent="0.3">
      <c r="A248" s="1" t="s">
        <v>774</v>
      </c>
      <c r="B248" s="1" t="s">
        <v>143</v>
      </c>
      <c r="C248" s="1" t="s">
        <v>130</v>
      </c>
      <c r="D248" s="1" t="s">
        <v>15</v>
      </c>
      <c r="E248" s="1">
        <v>43</v>
      </c>
      <c r="F248" s="1" t="s">
        <v>25</v>
      </c>
      <c r="G248" s="1" t="s">
        <v>40</v>
      </c>
      <c r="H248" s="1" t="s">
        <v>775</v>
      </c>
      <c r="I248" s="1">
        <v>42635</v>
      </c>
      <c r="J248" s="1" t="s">
        <v>19</v>
      </c>
      <c r="K248" s="1" t="s">
        <v>776</v>
      </c>
      <c r="L248" s="1" t="s">
        <v>21</v>
      </c>
      <c r="M248" s="1" t="str">
        <f>VLOOKUP(F248,Departments!$A$2:$C$6,2,0)</f>
        <v>IT</v>
      </c>
      <c r="N248" s="1" t="str">
        <f>INDEX(Departments!$B:$B,MATCH(Employees!F248,Departments!$A:$A,0))</f>
        <v>IT</v>
      </c>
    </row>
    <row r="249" spans="1:14" x14ac:dyDescent="0.3">
      <c r="A249" s="1" t="s">
        <v>777</v>
      </c>
      <c r="B249" s="1" t="s">
        <v>44</v>
      </c>
      <c r="C249" s="1" t="s">
        <v>14</v>
      </c>
      <c r="D249" s="1" t="s">
        <v>15</v>
      </c>
      <c r="E249" s="1">
        <v>48</v>
      </c>
      <c r="F249" s="1" t="s">
        <v>16</v>
      </c>
      <c r="G249" s="1" t="s">
        <v>32</v>
      </c>
      <c r="H249" s="1" t="s">
        <v>778</v>
      </c>
      <c r="I249" s="1">
        <v>48738</v>
      </c>
      <c r="J249" s="1" t="s">
        <v>60</v>
      </c>
      <c r="K249" s="1" t="s">
        <v>779</v>
      </c>
      <c r="L249" s="1" t="s">
        <v>21</v>
      </c>
      <c r="M249" s="1" t="str">
        <f>VLOOKUP(F249,Departments!$A$2:$C$6,2,0)</f>
        <v>HR</v>
      </c>
      <c r="N249" s="1" t="str">
        <f>INDEX(Departments!$B:$B,MATCH(Employees!F249,Departments!$A:$A,0))</f>
        <v>HR</v>
      </c>
    </row>
    <row r="250" spans="1:14" x14ac:dyDescent="0.3">
      <c r="A250" s="1" t="s">
        <v>780</v>
      </c>
      <c r="B250" s="1" t="s">
        <v>44</v>
      </c>
      <c r="C250" s="1" t="s">
        <v>63</v>
      </c>
      <c r="D250" s="1" t="s">
        <v>15</v>
      </c>
      <c r="E250" s="1">
        <v>23</v>
      </c>
      <c r="F250" s="1" t="s">
        <v>16</v>
      </c>
      <c r="G250" s="1" t="s">
        <v>17</v>
      </c>
      <c r="H250" s="1" t="s">
        <v>365</v>
      </c>
      <c r="I250" s="1">
        <v>64435</v>
      </c>
      <c r="J250" s="1" t="s">
        <v>80</v>
      </c>
      <c r="K250" s="1" t="s">
        <v>781</v>
      </c>
      <c r="L250" s="1" t="s">
        <v>21</v>
      </c>
      <c r="M250" s="1" t="str">
        <f>VLOOKUP(F250,Departments!$A$2:$C$6,2,0)</f>
        <v>HR</v>
      </c>
      <c r="N250" s="1" t="str">
        <f>INDEX(Departments!$B:$B,MATCH(Employees!F250,Departments!$A:$A,0))</f>
        <v>HR</v>
      </c>
    </row>
    <row r="251" spans="1:14" x14ac:dyDescent="0.3">
      <c r="A251" s="1" t="s">
        <v>782</v>
      </c>
      <c r="B251" s="1" t="s">
        <v>71</v>
      </c>
      <c r="C251" s="1" t="s">
        <v>23</v>
      </c>
      <c r="D251" s="1" t="s">
        <v>24</v>
      </c>
      <c r="E251" s="1">
        <v>55</v>
      </c>
      <c r="F251" s="1" t="s">
        <v>16</v>
      </c>
      <c r="G251" s="1" t="s">
        <v>17</v>
      </c>
      <c r="H251" s="1" t="s">
        <v>783</v>
      </c>
      <c r="I251" s="1">
        <v>116007</v>
      </c>
      <c r="J251" s="1" t="s">
        <v>65</v>
      </c>
      <c r="K251" s="1" t="s">
        <v>784</v>
      </c>
      <c r="L251" s="1" t="s">
        <v>21</v>
      </c>
      <c r="M251" s="1" t="str">
        <f>VLOOKUP(F251,Departments!$A$2:$C$6,2,0)</f>
        <v>HR</v>
      </c>
      <c r="N251" s="1" t="str">
        <f>INDEX(Departments!$B:$B,MATCH(Employees!F251,Departments!$A:$A,0))</f>
        <v>HR</v>
      </c>
    </row>
    <row r="252" spans="1:14" x14ac:dyDescent="0.3">
      <c r="A252" s="1" t="s">
        <v>785</v>
      </c>
      <c r="B252" s="1" t="s">
        <v>49</v>
      </c>
      <c r="C252" s="1" t="s">
        <v>90</v>
      </c>
      <c r="D252" s="1" t="s">
        <v>24</v>
      </c>
      <c r="E252" s="1">
        <v>38</v>
      </c>
      <c r="F252" s="1" t="s">
        <v>25</v>
      </c>
      <c r="G252" s="1" t="s">
        <v>26</v>
      </c>
      <c r="H252" s="1" t="s">
        <v>786</v>
      </c>
      <c r="I252" s="1">
        <v>60256</v>
      </c>
      <c r="J252" s="1" t="s">
        <v>60</v>
      </c>
      <c r="K252" s="1" t="s">
        <v>787</v>
      </c>
      <c r="L252" s="1" t="s">
        <v>21</v>
      </c>
      <c r="M252" s="1" t="str">
        <f>VLOOKUP(F252,Departments!$A$2:$C$6,2,0)</f>
        <v>IT</v>
      </c>
      <c r="N252" s="1" t="str">
        <f>INDEX(Departments!$B:$B,MATCH(Employees!F252,Departments!$A:$A,0))</f>
        <v>IT</v>
      </c>
    </row>
    <row r="253" spans="1:14" x14ac:dyDescent="0.3">
      <c r="A253" s="1" t="s">
        <v>788</v>
      </c>
      <c r="B253" s="1" t="s">
        <v>54</v>
      </c>
      <c r="C253" s="1" t="s">
        <v>165</v>
      </c>
      <c r="D253" s="1" t="s">
        <v>15</v>
      </c>
      <c r="E253" s="1">
        <v>52</v>
      </c>
      <c r="F253" s="1" t="s">
        <v>31</v>
      </c>
      <c r="G253" s="1" t="s">
        <v>40</v>
      </c>
      <c r="H253" s="1" t="s">
        <v>124</v>
      </c>
      <c r="I253" s="1">
        <v>79852</v>
      </c>
      <c r="J253" s="1" t="s">
        <v>34</v>
      </c>
      <c r="K253" s="1" t="s">
        <v>789</v>
      </c>
      <c r="L253" s="1" t="s">
        <v>36</v>
      </c>
      <c r="M253" s="1" t="str">
        <f>VLOOKUP(F253,Departments!$A$2:$C$6,2,0)</f>
        <v>Sales</v>
      </c>
      <c r="N253" s="1" t="str">
        <f>INDEX(Departments!$B:$B,MATCH(Employees!F253,Departments!$A:$A,0))</f>
        <v>Sales</v>
      </c>
    </row>
    <row r="254" spans="1:14" x14ac:dyDescent="0.3">
      <c r="A254" s="1" t="s">
        <v>790</v>
      </c>
      <c r="B254" s="1" t="s">
        <v>38</v>
      </c>
      <c r="C254" s="1" t="s">
        <v>95</v>
      </c>
      <c r="D254" s="1" t="s">
        <v>24</v>
      </c>
      <c r="E254" s="1">
        <v>25</v>
      </c>
      <c r="F254" s="1" t="s">
        <v>39</v>
      </c>
      <c r="G254" s="1" t="s">
        <v>26</v>
      </c>
      <c r="H254" s="1" t="s">
        <v>791</v>
      </c>
      <c r="I254" s="1">
        <v>94875</v>
      </c>
      <c r="J254" s="1" t="s">
        <v>60</v>
      </c>
      <c r="K254" s="1" t="s">
        <v>792</v>
      </c>
      <c r="L254" s="1" t="s">
        <v>21</v>
      </c>
      <c r="M254" s="1" t="str">
        <f>VLOOKUP(F254,Departments!$A$2:$C$6,2,0)</f>
        <v>Marketing</v>
      </c>
      <c r="N254" s="1" t="str">
        <f>INDEX(Departments!$B:$B,MATCH(Employees!F254,Departments!$A:$A,0))</f>
        <v>Marketing</v>
      </c>
    </row>
    <row r="255" spans="1:14" x14ac:dyDescent="0.3">
      <c r="A255" s="1" t="s">
        <v>793</v>
      </c>
      <c r="B255" s="1" t="s">
        <v>38</v>
      </c>
      <c r="C255" s="1" t="s">
        <v>45</v>
      </c>
      <c r="D255" s="1" t="s">
        <v>15</v>
      </c>
      <c r="E255" s="1">
        <v>42</v>
      </c>
      <c r="F255" s="1" t="s">
        <v>25</v>
      </c>
      <c r="G255" s="1" t="s">
        <v>32</v>
      </c>
      <c r="H255" s="1" t="s">
        <v>794</v>
      </c>
      <c r="I255" s="1">
        <v>43197</v>
      </c>
      <c r="J255" s="1" t="s">
        <v>19</v>
      </c>
      <c r="K255" s="1" t="s">
        <v>795</v>
      </c>
      <c r="L255" s="1" t="s">
        <v>36</v>
      </c>
      <c r="M255" s="1" t="str">
        <f>VLOOKUP(F255,Departments!$A$2:$C$6,2,0)</f>
        <v>IT</v>
      </c>
      <c r="N255" s="1" t="str">
        <f>INDEX(Departments!$B:$B,MATCH(Employees!F255,Departments!$A:$A,0))</f>
        <v>IT</v>
      </c>
    </row>
    <row r="256" spans="1:14" x14ac:dyDescent="0.3">
      <c r="A256" s="1" t="s">
        <v>796</v>
      </c>
      <c r="B256" s="1" t="s">
        <v>49</v>
      </c>
      <c r="C256" s="1" t="s">
        <v>90</v>
      </c>
      <c r="D256" s="1" t="s">
        <v>24</v>
      </c>
      <c r="E256" s="1">
        <v>32</v>
      </c>
      <c r="F256" s="1" t="s">
        <v>50</v>
      </c>
      <c r="G256" s="1" t="s">
        <v>40</v>
      </c>
      <c r="H256" s="1" t="s">
        <v>797</v>
      </c>
      <c r="I256" s="1">
        <v>117451</v>
      </c>
      <c r="J256" s="1" t="s">
        <v>65</v>
      </c>
      <c r="K256" s="1" t="s">
        <v>798</v>
      </c>
      <c r="L256" s="1" t="s">
        <v>21</v>
      </c>
      <c r="M256" s="1" t="str">
        <f>VLOOKUP(F256,Departments!$A$2:$C$6,2,0)</f>
        <v>Finance</v>
      </c>
      <c r="N256" s="1" t="str">
        <f>INDEX(Departments!$B:$B,MATCH(Employees!F256,Departments!$A:$A,0))</f>
        <v>Finance</v>
      </c>
    </row>
    <row r="257" spans="1:14" x14ac:dyDescent="0.3">
      <c r="A257" s="1" t="s">
        <v>799</v>
      </c>
      <c r="B257" s="1" t="s">
        <v>143</v>
      </c>
      <c r="C257" s="1" t="s">
        <v>130</v>
      </c>
      <c r="D257" s="1" t="s">
        <v>24</v>
      </c>
      <c r="E257" s="1">
        <v>28</v>
      </c>
      <c r="F257" s="1" t="s">
        <v>39</v>
      </c>
      <c r="G257" s="1" t="s">
        <v>40</v>
      </c>
      <c r="H257" s="1" t="s">
        <v>800</v>
      </c>
      <c r="I257" s="1">
        <v>54493</v>
      </c>
      <c r="J257" s="1" t="s">
        <v>65</v>
      </c>
      <c r="K257" s="1" t="s">
        <v>801</v>
      </c>
      <c r="L257" s="1" t="s">
        <v>21</v>
      </c>
      <c r="M257" s="1" t="str">
        <f>VLOOKUP(F257,Departments!$A$2:$C$6,2,0)</f>
        <v>Marketing</v>
      </c>
      <c r="N257" s="1" t="str">
        <f>INDEX(Departments!$B:$B,MATCH(Employees!F257,Departments!$A:$A,0))</f>
        <v>Marketing</v>
      </c>
    </row>
    <row r="258" spans="1:14" x14ac:dyDescent="0.3">
      <c r="A258" s="1" t="s">
        <v>802</v>
      </c>
      <c r="B258" s="1" t="s">
        <v>143</v>
      </c>
      <c r="C258" s="1" t="s">
        <v>78</v>
      </c>
      <c r="D258" s="1" t="s">
        <v>15</v>
      </c>
      <c r="E258" s="1">
        <v>55</v>
      </c>
      <c r="F258" s="1" t="s">
        <v>39</v>
      </c>
      <c r="G258" s="1" t="s">
        <v>32</v>
      </c>
      <c r="H258" s="1" t="s">
        <v>803</v>
      </c>
      <c r="I258" s="1">
        <v>68822</v>
      </c>
      <c r="J258" s="1" t="s">
        <v>34</v>
      </c>
      <c r="K258" s="1" t="s">
        <v>804</v>
      </c>
      <c r="L258" s="1" t="s">
        <v>36</v>
      </c>
      <c r="M258" s="1" t="str">
        <f>VLOOKUP(F258,Departments!$A$2:$C$6,2,0)</f>
        <v>Marketing</v>
      </c>
      <c r="N258" s="1" t="str">
        <f>INDEX(Departments!$B:$B,MATCH(Employees!F258,Departments!$A:$A,0))</f>
        <v>Marketing</v>
      </c>
    </row>
    <row r="259" spans="1:14" x14ac:dyDescent="0.3">
      <c r="A259" s="1" t="s">
        <v>805</v>
      </c>
      <c r="B259" s="1" t="s">
        <v>44</v>
      </c>
      <c r="C259" s="1" t="s">
        <v>95</v>
      </c>
      <c r="D259" s="1" t="s">
        <v>24</v>
      </c>
      <c r="E259" s="1">
        <v>27</v>
      </c>
      <c r="F259" s="1" t="s">
        <v>50</v>
      </c>
      <c r="G259" s="1" t="s">
        <v>26</v>
      </c>
      <c r="H259" s="1" t="s">
        <v>806</v>
      </c>
      <c r="I259" s="1">
        <v>96058</v>
      </c>
      <c r="J259" s="1" t="s">
        <v>19</v>
      </c>
      <c r="K259" s="1" t="s">
        <v>807</v>
      </c>
      <c r="L259" s="1" t="s">
        <v>36</v>
      </c>
      <c r="M259" s="1" t="str">
        <f>VLOOKUP(F259,Departments!$A$2:$C$6,2,0)</f>
        <v>Finance</v>
      </c>
      <c r="N259" s="1" t="str">
        <f>INDEX(Departments!$B:$B,MATCH(Employees!F259,Departments!$A:$A,0))</f>
        <v>Finance</v>
      </c>
    </row>
    <row r="260" spans="1:14" x14ac:dyDescent="0.3">
      <c r="A260" s="1" t="s">
        <v>808</v>
      </c>
      <c r="B260" s="1" t="s">
        <v>143</v>
      </c>
      <c r="C260" s="1" t="s">
        <v>165</v>
      </c>
      <c r="D260" s="1" t="s">
        <v>24</v>
      </c>
      <c r="E260" s="1">
        <v>26</v>
      </c>
      <c r="F260" s="1" t="s">
        <v>16</v>
      </c>
      <c r="G260" s="1" t="s">
        <v>17</v>
      </c>
      <c r="H260" s="1" t="s">
        <v>809</v>
      </c>
      <c r="I260" s="1">
        <v>109724</v>
      </c>
      <c r="J260" s="1" t="s">
        <v>60</v>
      </c>
      <c r="K260" s="1" t="s">
        <v>810</v>
      </c>
      <c r="L260" s="1" t="s">
        <v>21</v>
      </c>
      <c r="M260" s="1" t="str">
        <f>VLOOKUP(F260,Departments!$A$2:$C$6,2,0)</f>
        <v>HR</v>
      </c>
      <c r="N260" s="1" t="str">
        <f>INDEX(Departments!$B:$B,MATCH(Employees!F260,Departments!$A:$A,0))</f>
        <v>HR</v>
      </c>
    </row>
    <row r="261" spans="1:14" x14ac:dyDescent="0.3">
      <c r="A261" s="1" t="s">
        <v>811</v>
      </c>
      <c r="B261" s="1" t="s">
        <v>44</v>
      </c>
      <c r="C261" s="1" t="s">
        <v>45</v>
      </c>
      <c r="D261" s="1" t="s">
        <v>24</v>
      </c>
      <c r="E261" s="1">
        <v>35</v>
      </c>
      <c r="F261" s="1" t="s">
        <v>16</v>
      </c>
      <c r="G261" s="1" t="s">
        <v>26</v>
      </c>
      <c r="H261" s="1" t="s">
        <v>213</v>
      </c>
      <c r="I261" s="1">
        <v>69243</v>
      </c>
      <c r="J261" s="1" t="s">
        <v>65</v>
      </c>
      <c r="K261" s="1" t="s">
        <v>812</v>
      </c>
      <c r="L261" s="1" t="s">
        <v>36</v>
      </c>
      <c r="M261" s="1" t="str">
        <f>VLOOKUP(F261,Departments!$A$2:$C$6,2,0)</f>
        <v>HR</v>
      </c>
      <c r="N261" s="1" t="str">
        <f>INDEX(Departments!$B:$B,MATCH(Employees!F261,Departments!$A:$A,0))</f>
        <v>HR</v>
      </c>
    </row>
    <row r="262" spans="1:14" x14ac:dyDescent="0.3">
      <c r="A262" s="1" t="s">
        <v>813</v>
      </c>
      <c r="B262" s="1" t="s">
        <v>54</v>
      </c>
      <c r="C262" s="1" t="s">
        <v>45</v>
      </c>
      <c r="D262" s="1" t="s">
        <v>15</v>
      </c>
      <c r="E262" s="1">
        <v>22</v>
      </c>
      <c r="F262" s="1" t="s">
        <v>25</v>
      </c>
      <c r="G262" s="1" t="s">
        <v>26</v>
      </c>
      <c r="H262" s="1" t="s">
        <v>814</v>
      </c>
      <c r="I262" s="1">
        <v>46775</v>
      </c>
      <c r="J262" s="1" t="s">
        <v>19</v>
      </c>
      <c r="K262" s="1" t="s">
        <v>815</v>
      </c>
      <c r="L262" s="1" t="s">
        <v>36</v>
      </c>
      <c r="M262" s="1" t="str">
        <f>VLOOKUP(F262,Departments!$A$2:$C$6,2,0)</f>
        <v>IT</v>
      </c>
      <c r="N262" s="1" t="str">
        <f>INDEX(Departments!$B:$B,MATCH(Employees!F262,Departments!$A:$A,0))</f>
        <v>IT</v>
      </c>
    </row>
    <row r="263" spans="1:14" x14ac:dyDescent="0.3">
      <c r="A263" s="1" t="s">
        <v>816</v>
      </c>
      <c r="B263" s="1" t="s">
        <v>54</v>
      </c>
      <c r="C263" s="1" t="s">
        <v>130</v>
      </c>
      <c r="D263" s="1" t="s">
        <v>15</v>
      </c>
      <c r="E263" s="1">
        <v>37</v>
      </c>
      <c r="F263" s="1" t="s">
        <v>16</v>
      </c>
      <c r="G263" s="1" t="s">
        <v>40</v>
      </c>
      <c r="H263" s="1" t="s">
        <v>744</v>
      </c>
      <c r="I263" s="1">
        <v>86841</v>
      </c>
      <c r="J263" s="1" t="s">
        <v>60</v>
      </c>
      <c r="K263" s="1" t="s">
        <v>817</v>
      </c>
      <c r="L263" s="1" t="s">
        <v>36</v>
      </c>
      <c r="M263" s="1" t="str">
        <f>VLOOKUP(F263,Departments!$A$2:$C$6,2,0)</f>
        <v>HR</v>
      </c>
      <c r="N263" s="1" t="str">
        <f>INDEX(Departments!$B:$B,MATCH(Employees!F263,Departments!$A:$A,0))</f>
        <v>HR</v>
      </c>
    </row>
    <row r="264" spans="1:14" x14ac:dyDescent="0.3">
      <c r="A264" s="1" t="s">
        <v>818</v>
      </c>
      <c r="B264" s="1" t="s">
        <v>30</v>
      </c>
      <c r="C264" s="1" t="s">
        <v>90</v>
      </c>
      <c r="D264" s="1" t="s">
        <v>24</v>
      </c>
      <c r="E264" s="1">
        <v>59</v>
      </c>
      <c r="F264" s="1" t="s">
        <v>16</v>
      </c>
      <c r="G264" s="1" t="s">
        <v>108</v>
      </c>
      <c r="H264" s="1" t="s">
        <v>819</v>
      </c>
      <c r="I264" s="1">
        <v>91520</v>
      </c>
      <c r="J264" s="1" t="s">
        <v>80</v>
      </c>
      <c r="K264" s="1" t="s">
        <v>820</v>
      </c>
      <c r="L264" s="1" t="s">
        <v>36</v>
      </c>
      <c r="M264" s="1" t="str">
        <f>VLOOKUP(F264,Departments!$A$2:$C$6,2,0)</f>
        <v>HR</v>
      </c>
      <c r="N264" s="1" t="str">
        <f>INDEX(Departments!$B:$B,MATCH(Employees!F264,Departments!$A:$A,0))</f>
        <v>HR</v>
      </c>
    </row>
    <row r="265" spans="1:14" x14ac:dyDescent="0.3">
      <c r="A265" s="1" t="s">
        <v>821</v>
      </c>
      <c r="B265" s="1" t="s">
        <v>94</v>
      </c>
      <c r="C265" s="1" t="s">
        <v>130</v>
      </c>
      <c r="D265" s="1" t="s">
        <v>15</v>
      </c>
      <c r="E265" s="1">
        <v>44</v>
      </c>
      <c r="F265" s="1" t="s">
        <v>25</v>
      </c>
      <c r="G265" s="1" t="s">
        <v>17</v>
      </c>
      <c r="H265" s="1" t="s">
        <v>822</v>
      </c>
      <c r="I265" s="1">
        <v>97265</v>
      </c>
      <c r="J265" s="1" t="s">
        <v>19</v>
      </c>
      <c r="K265" s="1" t="s">
        <v>823</v>
      </c>
      <c r="L265" s="1" t="s">
        <v>21</v>
      </c>
      <c r="M265" s="1" t="str">
        <f>VLOOKUP(F265,Departments!$A$2:$C$6,2,0)</f>
        <v>IT</v>
      </c>
      <c r="N265" s="1" t="str">
        <f>INDEX(Departments!$B:$B,MATCH(Employees!F265,Departments!$A:$A,0))</f>
        <v>IT</v>
      </c>
    </row>
    <row r="266" spans="1:14" x14ac:dyDescent="0.3">
      <c r="A266" s="1" t="s">
        <v>824</v>
      </c>
      <c r="B266" s="1" t="s">
        <v>30</v>
      </c>
      <c r="C266" s="1" t="s">
        <v>78</v>
      </c>
      <c r="D266" s="1" t="s">
        <v>24</v>
      </c>
      <c r="E266" s="1">
        <v>60</v>
      </c>
      <c r="F266" s="1" t="s">
        <v>16</v>
      </c>
      <c r="G266" s="1" t="s">
        <v>32</v>
      </c>
      <c r="H266" s="1" t="s">
        <v>825</v>
      </c>
      <c r="I266" s="1">
        <v>76450</v>
      </c>
      <c r="J266" s="1" t="s">
        <v>60</v>
      </c>
      <c r="K266" s="1" t="s">
        <v>826</v>
      </c>
      <c r="L266" s="1" t="s">
        <v>21</v>
      </c>
      <c r="M266" s="1" t="str">
        <f>VLOOKUP(F266,Departments!$A$2:$C$6,2,0)</f>
        <v>HR</v>
      </c>
      <c r="N266" s="1" t="str">
        <f>INDEX(Departments!$B:$B,MATCH(Employees!F266,Departments!$A:$A,0))</f>
        <v>HR</v>
      </c>
    </row>
    <row r="267" spans="1:14" x14ac:dyDescent="0.3">
      <c r="A267" s="1" t="s">
        <v>827</v>
      </c>
      <c r="B267" s="1" t="s">
        <v>58</v>
      </c>
      <c r="C267" s="1" t="s">
        <v>14</v>
      </c>
      <c r="D267" s="1" t="s">
        <v>24</v>
      </c>
      <c r="E267" s="1">
        <v>45</v>
      </c>
      <c r="F267" s="1" t="s">
        <v>25</v>
      </c>
      <c r="G267" s="1" t="s">
        <v>17</v>
      </c>
      <c r="H267" s="1" t="s">
        <v>828</v>
      </c>
      <c r="I267" s="1">
        <v>85702</v>
      </c>
      <c r="J267" s="1" t="s">
        <v>34</v>
      </c>
      <c r="K267" s="1" t="s">
        <v>829</v>
      </c>
      <c r="L267" s="1" t="s">
        <v>36</v>
      </c>
      <c r="M267" s="1" t="str">
        <f>VLOOKUP(F267,Departments!$A$2:$C$6,2,0)</f>
        <v>IT</v>
      </c>
      <c r="N267" s="1" t="str">
        <f>INDEX(Departments!$B:$B,MATCH(Employees!F267,Departments!$A:$A,0))</f>
        <v>IT</v>
      </c>
    </row>
    <row r="268" spans="1:14" x14ac:dyDescent="0.3">
      <c r="A268" s="1" t="s">
        <v>830</v>
      </c>
      <c r="B268" s="1" t="s">
        <v>71</v>
      </c>
      <c r="C268" s="1" t="s">
        <v>165</v>
      </c>
      <c r="D268" s="1" t="s">
        <v>15</v>
      </c>
      <c r="E268" s="1">
        <v>52</v>
      </c>
      <c r="F268" s="1" t="s">
        <v>31</v>
      </c>
      <c r="G268" s="1" t="s">
        <v>40</v>
      </c>
      <c r="H268" s="1" t="s">
        <v>831</v>
      </c>
      <c r="I268" s="1">
        <v>94043</v>
      </c>
      <c r="J268" s="1" t="s">
        <v>65</v>
      </c>
      <c r="K268" s="1" t="s">
        <v>832</v>
      </c>
      <c r="L268" s="1" t="s">
        <v>36</v>
      </c>
      <c r="M268" s="1" t="str">
        <f>VLOOKUP(F268,Departments!$A$2:$C$6,2,0)</f>
        <v>Sales</v>
      </c>
      <c r="N268" s="1" t="str">
        <f>INDEX(Departments!$B:$B,MATCH(Employees!F268,Departments!$A:$A,0))</f>
        <v>Sales</v>
      </c>
    </row>
    <row r="269" spans="1:14" x14ac:dyDescent="0.3">
      <c r="A269" s="1" t="s">
        <v>833</v>
      </c>
      <c r="B269" s="1" t="s">
        <v>44</v>
      </c>
      <c r="C269" s="1" t="s">
        <v>78</v>
      </c>
      <c r="D269" s="1" t="s">
        <v>15</v>
      </c>
      <c r="E269" s="1">
        <v>26</v>
      </c>
      <c r="F269" s="1" t="s">
        <v>31</v>
      </c>
      <c r="G269" s="1" t="s">
        <v>108</v>
      </c>
      <c r="H269" s="1" t="s">
        <v>834</v>
      </c>
      <c r="I269" s="1">
        <v>59385</v>
      </c>
      <c r="J269" s="1" t="s">
        <v>34</v>
      </c>
      <c r="K269" s="1" t="s">
        <v>835</v>
      </c>
      <c r="L269" s="1" t="s">
        <v>21</v>
      </c>
      <c r="M269" s="1" t="str">
        <f>VLOOKUP(F269,Departments!$A$2:$C$6,2,0)</f>
        <v>Sales</v>
      </c>
      <c r="N269" s="1" t="str">
        <f>INDEX(Departments!$B:$B,MATCH(Employees!F269,Departments!$A:$A,0))</f>
        <v>Sales</v>
      </c>
    </row>
    <row r="270" spans="1:14" x14ac:dyDescent="0.3">
      <c r="A270" s="1" t="s">
        <v>836</v>
      </c>
      <c r="B270" s="1" t="s">
        <v>54</v>
      </c>
      <c r="C270" s="1" t="s">
        <v>63</v>
      </c>
      <c r="D270" s="1" t="s">
        <v>15</v>
      </c>
      <c r="E270" s="1">
        <v>43</v>
      </c>
      <c r="F270" s="1" t="s">
        <v>50</v>
      </c>
      <c r="G270" s="1" t="s">
        <v>40</v>
      </c>
      <c r="H270" s="1" t="s">
        <v>837</v>
      </c>
      <c r="I270" s="1">
        <v>114243</v>
      </c>
      <c r="J270" s="1" t="s">
        <v>65</v>
      </c>
      <c r="K270" s="1" t="s">
        <v>838</v>
      </c>
      <c r="L270" s="1" t="s">
        <v>21</v>
      </c>
      <c r="M270" s="1" t="str">
        <f>VLOOKUP(F270,Departments!$A$2:$C$6,2,0)</f>
        <v>Finance</v>
      </c>
      <c r="N270" s="1" t="str">
        <f>INDEX(Departments!$B:$B,MATCH(Employees!F270,Departments!$A:$A,0))</f>
        <v>Finance</v>
      </c>
    </row>
    <row r="271" spans="1:14" x14ac:dyDescent="0.3">
      <c r="A271" s="1" t="s">
        <v>839</v>
      </c>
      <c r="B271" s="1" t="s">
        <v>13</v>
      </c>
      <c r="C271" s="1" t="s">
        <v>83</v>
      </c>
      <c r="D271" s="1" t="s">
        <v>15</v>
      </c>
      <c r="E271" s="1">
        <v>38</v>
      </c>
      <c r="F271" s="1" t="s">
        <v>16</v>
      </c>
      <c r="G271" s="1" t="s">
        <v>17</v>
      </c>
      <c r="H271" s="1" t="s">
        <v>840</v>
      </c>
      <c r="I271" s="1">
        <v>108702</v>
      </c>
      <c r="J271" s="1" t="s">
        <v>60</v>
      </c>
      <c r="K271" s="1" t="s">
        <v>841</v>
      </c>
      <c r="L271" s="1" t="s">
        <v>21</v>
      </c>
      <c r="M271" s="1" t="str">
        <f>VLOOKUP(F271,Departments!$A$2:$C$6,2,0)</f>
        <v>HR</v>
      </c>
      <c r="N271" s="1" t="str">
        <f>INDEX(Departments!$B:$B,MATCH(Employees!F271,Departments!$A:$A,0))</f>
        <v>HR</v>
      </c>
    </row>
    <row r="272" spans="1:14" x14ac:dyDescent="0.3">
      <c r="A272" s="1" t="s">
        <v>842</v>
      </c>
      <c r="B272" s="1" t="s">
        <v>13</v>
      </c>
      <c r="C272" s="1" t="s">
        <v>78</v>
      </c>
      <c r="D272" s="1" t="s">
        <v>24</v>
      </c>
      <c r="E272" s="1">
        <v>54</v>
      </c>
      <c r="F272" s="1" t="s">
        <v>16</v>
      </c>
      <c r="G272" s="1" t="s">
        <v>40</v>
      </c>
      <c r="H272" s="1" t="s">
        <v>843</v>
      </c>
      <c r="I272" s="1">
        <v>103130</v>
      </c>
      <c r="J272" s="1" t="s">
        <v>19</v>
      </c>
      <c r="K272" s="1" t="s">
        <v>844</v>
      </c>
      <c r="L272" s="1" t="s">
        <v>21</v>
      </c>
      <c r="M272" s="1" t="str">
        <f>VLOOKUP(F272,Departments!$A$2:$C$6,2,0)</f>
        <v>HR</v>
      </c>
      <c r="N272" s="1" t="str">
        <f>INDEX(Departments!$B:$B,MATCH(Employees!F272,Departments!$A:$A,0))</f>
        <v>HR</v>
      </c>
    </row>
    <row r="273" spans="1:14" x14ac:dyDescent="0.3">
      <c r="A273" s="1" t="s">
        <v>845</v>
      </c>
      <c r="B273" s="1" t="s">
        <v>30</v>
      </c>
      <c r="C273" s="1" t="s">
        <v>45</v>
      </c>
      <c r="D273" s="1" t="s">
        <v>24</v>
      </c>
      <c r="E273" s="1">
        <v>44</v>
      </c>
      <c r="F273" s="1" t="s">
        <v>31</v>
      </c>
      <c r="G273" s="1" t="s">
        <v>17</v>
      </c>
      <c r="H273" s="1" t="s">
        <v>846</v>
      </c>
      <c r="I273" s="1">
        <v>71195</v>
      </c>
      <c r="J273" s="1" t="s">
        <v>80</v>
      </c>
      <c r="K273" s="1" t="s">
        <v>847</v>
      </c>
      <c r="L273" s="1" t="s">
        <v>21</v>
      </c>
      <c r="M273" s="1" t="str">
        <f>VLOOKUP(F273,Departments!$A$2:$C$6,2,0)</f>
        <v>Sales</v>
      </c>
      <c r="N273" s="1" t="str">
        <f>INDEX(Departments!$B:$B,MATCH(Employees!F273,Departments!$A:$A,0))</f>
        <v>Sales</v>
      </c>
    </row>
    <row r="274" spans="1:14" x14ac:dyDescent="0.3">
      <c r="A274" s="1" t="s">
        <v>848</v>
      </c>
      <c r="B274" s="1" t="s">
        <v>143</v>
      </c>
      <c r="C274" s="1" t="s">
        <v>83</v>
      </c>
      <c r="D274" s="1" t="s">
        <v>15</v>
      </c>
      <c r="E274" s="1">
        <v>55</v>
      </c>
      <c r="F274" s="1" t="s">
        <v>16</v>
      </c>
      <c r="G274" s="1" t="s">
        <v>26</v>
      </c>
      <c r="H274" s="1" t="s">
        <v>849</v>
      </c>
      <c r="I274" s="1">
        <v>40336</v>
      </c>
      <c r="J274" s="1" t="s">
        <v>80</v>
      </c>
      <c r="K274" s="1" t="s">
        <v>850</v>
      </c>
      <c r="L274" s="1" t="s">
        <v>36</v>
      </c>
      <c r="M274" s="1" t="str">
        <f>VLOOKUP(F274,Departments!$A$2:$C$6,2,0)</f>
        <v>HR</v>
      </c>
      <c r="N274" s="1" t="str">
        <f>INDEX(Departments!$B:$B,MATCH(Employees!F274,Departments!$A:$A,0))</f>
        <v>HR</v>
      </c>
    </row>
    <row r="275" spans="1:14" x14ac:dyDescent="0.3">
      <c r="A275" s="1" t="s">
        <v>851</v>
      </c>
      <c r="B275" s="1" t="s">
        <v>94</v>
      </c>
      <c r="C275" s="1" t="s">
        <v>23</v>
      </c>
      <c r="D275" s="1" t="s">
        <v>24</v>
      </c>
      <c r="E275" s="1">
        <v>52</v>
      </c>
      <c r="F275" s="1" t="s">
        <v>50</v>
      </c>
      <c r="G275" s="1" t="s">
        <v>40</v>
      </c>
      <c r="H275" s="1" t="s">
        <v>852</v>
      </c>
      <c r="I275" s="1">
        <v>107267</v>
      </c>
      <c r="J275" s="1" t="s">
        <v>65</v>
      </c>
      <c r="K275" s="1" t="s">
        <v>853</v>
      </c>
      <c r="L275" s="1" t="s">
        <v>36</v>
      </c>
      <c r="M275" s="1" t="str">
        <f>VLOOKUP(F275,Departments!$A$2:$C$6,2,0)</f>
        <v>Finance</v>
      </c>
      <c r="N275" s="1" t="str">
        <f>INDEX(Departments!$B:$B,MATCH(Employees!F275,Departments!$A:$A,0))</f>
        <v>Finance</v>
      </c>
    </row>
    <row r="276" spans="1:14" x14ac:dyDescent="0.3">
      <c r="A276" s="1" t="s">
        <v>854</v>
      </c>
      <c r="B276" s="1" t="s">
        <v>13</v>
      </c>
      <c r="C276" s="1" t="s">
        <v>90</v>
      </c>
      <c r="D276" s="1" t="s">
        <v>15</v>
      </c>
      <c r="E276" s="1">
        <v>43</v>
      </c>
      <c r="F276" s="1" t="s">
        <v>31</v>
      </c>
      <c r="G276" s="1" t="s">
        <v>32</v>
      </c>
      <c r="H276" s="1" t="s">
        <v>855</v>
      </c>
      <c r="I276" s="1">
        <v>89633</v>
      </c>
      <c r="J276" s="1" t="s">
        <v>65</v>
      </c>
      <c r="K276" s="1" t="s">
        <v>856</v>
      </c>
      <c r="L276" s="1" t="s">
        <v>36</v>
      </c>
      <c r="M276" s="1" t="str">
        <f>VLOOKUP(F276,Departments!$A$2:$C$6,2,0)</f>
        <v>Sales</v>
      </c>
      <c r="N276" s="1" t="str">
        <f>INDEX(Departments!$B:$B,MATCH(Employees!F276,Departments!$A:$A,0))</f>
        <v>Sales</v>
      </c>
    </row>
    <row r="277" spans="1:14" x14ac:dyDescent="0.3">
      <c r="A277" s="1" t="s">
        <v>857</v>
      </c>
      <c r="B277" s="1" t="s">
        <v>54</v>
      </c>
      <c r="C277" s="1" t="s">
        <v>23</v>
      </c>
      <c r="D277" s="1" t="s">
        <v>24</v>
      </c>
      <c r="E277" s="1">
        <v>51</v>
      </c>
      <c r="F277" s="1" t="s">
        <v>31</v>
      </c>
      <c r="G277" s="1" t="s">
        <v>40</v>
      </c>
      <c r="H277" s="1" t="s">
        <v>858</v>
      </c>
      <c r="I277" s="1">
        <v>76409</v>
      </c>
      <c r="J277" s="1" t="s">
        <v>34</v>
      </c>
      <c r="K277" s="1" t="s">
        <v>859</v>
      </c>
      <c r="L277" s="1" t="s">
        <v>36</v>
      </c>
      <c r="M277" s="1" t="str">
        <f>VLOOKUP(F277,Departments!$A$2:$C$6,2,0)</f>
        <v>Sales</v>
      </c>
      <c r="N277" s="1" t="str">
        <f>INDEX(Departments!$B:$B,MATCH(Employees!F277,Departments!$A:$A,0))</f>
        <v>Sales</v>
      </c>
    </row>
    <row r="278" spans="1:14" x14ac:dyDescent="0.3">
      <c r="A278" s="1" t="s">
        <v>860</v>
      </c>
      <c r="B278" s="1" t="s">
        <v>94</v>
      </c>
      <c r="C278" s="1" t="s">
        <v>45</v>
      </c>
      <c r="D278" s="1" t="s">
        <v>15</v>
      </c>
      <c r="E278" s="1">
        <v>22</v>
      </c>
      <c r="F278" s="1" t="s">
        <v>31</v>
      </c>
      <c r="G278" s="1" t="s">
        <v>26</v>
      </c>
      <c r="H278" s="1" t="s">
        <v>861</v>
      </c>
      <c r="I278" s="1">
        <v>79899</v>
      </c>
      <c r="J278" s="1" t="s">
        <v>65</v>
      </c>
      <c r="K278" s="1" t="s">
        <v>862</v>
      </c>
      <c r="L278" s="1" t="s">
        <v>36</v>
      </c>
      <c r="M278" s="1" t="str">
        <f>VLOOKUP(F278,Departments!$A$2:$C$6,2,0)</f>
        <v>Sales</v>
      </c>
      <c r="N278" s="1" t="str">
        <f>INDEX(Departments!$B:$B,MATCH(Employees!F278,Departments!$A:$A,0))</f>
        <v>Sales</v>
      </c>
    </row>
    <row r="279" spans="1:14" x14ac:dyDescent="0.3">
      <c r="A279" s="1" t="s">
        <v>863</v>
      </c>
      <c r="B279" s="1" t="s">
        <v>49</v>
      </c>
      <c r="C279" s="1" t="s">
        <v>95</v>
      </c>
      <c r="D279" s="1" t="s">
        <v>15</v>
      </c>
      <c r="E279" s="1">
        <v>28</v>
      </c>
      <c r="F279" s="1" t="s">
        <v>16</v>
      </c>
      <c r="G279" s="1" t="s">
        <v>32</v>
      </c>
      <c r="H279" s="1" t="s">
        <v>864</v>
      </c>
      <c r="I279" s="1">
        <v>92548</v>
      </c>
      <c r="J279" s="1" t="s">
        <v>19</v>
      </c>
      <c r="K279" s="1" t="s">
        <v>865</v>
      </c>
      <c r="L279" s="1" t="s">
        <v>36</v>
      </c>
      <c r="M279" s="1" t="str">
        <f>VLOOKUP(F279,Departments!$A$2:$C$6,2,0)</f>
        <v>HR</v>
      </c>
      <c r="N279" s="1" t="str">
        <f>INDEX(Departments!$B:$B,MATCH(Employees!F279,Departments!$A:$A,0))</f>
        <v>HR</v>
      </c>
    </row>
    <row r="280" spans="1:14" x14ac:dyDescent="0.3">
      <c r="A280" s="1" t="s">
        <v>866</v>
      </c>
      <c r="B280" s="1" t="s">
        <v>38</v>
      </c>
      <c r="C280" s="1" t="s">
        <v>165</v>
      </c>
      <c r="D280" s="1" t="s">
        <v>15</v>
      </c>
      <c r="E280" s="1">
        <v>32</v>
      </c>
      <c r="F280" s="1" t="s">
        <v>16</v>
      </c>
      <c r="G280" s="1" t="s">
        <v>40</v>
      </c>
      <c r="H280" s="1" t="s">
        <v>867</v>
      </c>
      <c r="I280" s="1">
        <v>60558</v>
      </c>
      <c r="J280" s="1" t="s">
        <v>60</v>
      </c>
      <c r="K280" s="1" t="s">
        <v>868</v>
      </c>
      <c r="L280" s="1" t="s">
        <v>21</v>
      </c>
      <c r="M280" s="1" t="str">
        <f>VLOOKUP(F280,Departments!$A$2:$C$6,2,0)</f>
        <v>HR</v>
      </c>
      <c r="N280" s="1" t="str">
        <f>INDEX(Departments!$B:$B,MATCH(Employees!F280,Departments!$A:$A,0))</f>
        <v>HR</v>
      </c>
    </row>
    <row r="281" spans="1:14" x14ac:dyDescent="0.3">
      <c r="A281" s="1" t="s">
        <v>869</v>
      </c>
      <c r="B281" s="1" t="s">
        <v>49</v>
      </c>
      <c r="C281" s="1" t="s">
        <v>130</v>
      </c>
      <c r="D281" s="1" t="s">
        <v>15</v>
      </c>
      <c r="E281" s="1">
        <v>60</v>
      </c>
      <c r="F281" s="1" t="s">
        <v>25</v>
      </c>
      <c r="G281" s="1" t="s">
        <v>17</v>
      </c>
      <c r="H281" s="1" t="s">
        <v>870</v>
      </c>
      <c r="I281" s="1">
        <v>40802</v>
      </c>
      <c r="J281" s="1" t="s">
        <v>80</v>
      </c>
      <c r="K281" s="1" t="s">
        <v>871</v>
      </c>
      <c r="L281" s="1" t="s">
        <v>21</v>
      </c>
      <c r="M281" s="1" t="str">
        <f>VLOOKUP(F281,Departments!$A$2:$C$6,2,0)</f>
        <v>IT</v>
      </c>
      <c r="N281" s="1" t="str">
        <f>INDEX(Departments!$B:$B,MATCH(Employees!F281,Departments!$A:$A,0))</f>
        <v>IT</v>
      </c>
    </row>
    <row r="282" spans="1:14" x14ac:dyDescent="0.3">
      <c r="A282" s="1" t="s">
        <v>872</v>
      </c>
      <c r="B282" s="1" t="s">
        <v>143</v>
      </c>
      <c r="C282" s="1" t="s">
        <v>165</v>
      </c>
      <c r="D282" s="1" t="s">
        <v>24</v>
      </c>
      <c r="E282" s="1">
        <v>24</v>
      </c>
      <c r="F282" s="1" t="s">
        <v>39</v>
      </c>
      <c r="G282" s="1" t="s">
        <v>108</v>
      </c>
      <c r="H282" s="1" t="s">
        <v>873</v>
      </c>
      <c r="I282" s="1">
        <v>117454</v>
      </c>
      <c r="J282" s="1" t="s">
        <v>65</v>
      </c>
      <c r="K282" s="1" t="s">
        <v>874</v>
      </c>
      <c r="L282" s="1" t="s">
        <v>36</v>
      </c>
      <c r="M282" s="1" t="str">
        <f>VLOOKUP(F282,Departments!$A$2:$C$6,2,0)</f>
        <v>Marketing</v>
      </c>
      <c r="N282" s="1" t="str">
        <f>INDEX(Departments!$B:$B,MATCH(Employees!F282,Departments!$A:$A,0))</f>
        <v>Marketing</v>
      </c>
    </row>
    <row r="283" spans="1:14" x14ac:dyDescent="0.3">
      <c r="A283" s="1" t="s">
        <v>875</v>
      </c>
      <c r="B283" s="1" t="s">
        <v>143</v>
      </c>
      <c r="C283" s="1" t="s">
        <v>95</v>
      </c>
      <c r="D283" s="1" t="s">
        <v>24</v>
      </c>
      <c r="E283" s="1">
        <v>26</v>
      </c>
      <c r="F283" s="1" t="s">
        <v>31</v>
      </c>
      <c r="G283" s="1" t="s">
        <v>32</v>
      </c>
      <c r="H283" s="1" t="s">
        <v>876</v>
      </c>
      <c r="I283" s="1">
        <v>48830</v>
      </c>
      <c r="J283" s="1" t="s">
        <v>65</v>
      </c>
      <c r="K283" s="1" t="s">
        <v>877</v>
      </c>
      <c r="L283" s="1" t="s">
        <v>21</v>
      </c>
      <c r="M283" s="1" t="str">
        <f>VLOOKUP(F283,Departments!$A$2:$C$6,2,0)</f>
        <v>Sales</v>
      </c>
      <c r="N283" s="1" t="str">
        <f>INDEX(Departments!$B:$B,MATCH(Employees!F283,Departments!$A:$A,0))</f>
        <v>Sales</v>
      </c>
    </row>
    <row r="284" spans="1:14" x14ac:dyDescent="0.3">
      <c r="A284" s="1" t="s">
        <v>878</v>
      </c>
      <c r="B284" s="1" t="s">
        <v>58</v>
      </c>
      <c r="C284" s="1" t="s">
        <v>23</v>
      </c>
      <c r="D284" s="1" t="s">
        <v>24</v>
      </c>
      <c r="E284" s="1">
        <v>36</v>
      </c>
      <c r="F284" s="1" t="s">
        <v>50</v>
      </c>
      <c r="G284" s="1" t="s">
        <v>17</v>
      </c>
      <c r="H284" s="1" t="s">
        <v>879</v>
      </c>
      <c r="I284" s="1">
        <v>45532</v>
      </c>
      <c r="J284" s="1" t="s">
        <v>80</v>
      </c>
      <c r="K284" s="1" t="s">
        <v>880</v>
      </c>
      <c r="L284" s="1" t="s">
        <v>36</v>
      </c>
      <c r="M284" s="1" t="str">
        <f>VLOOKUP(F284,Departments!$A$2:$C$6,2,0)</f>
        <v>Finance</v>
      </c>
      <c r="N284" s="1" t="str">
        <f>INDEX(Departments!$B:$B,MATCH(Employees!F284,Departments!$A:$A,0))</f>
        <v>Finance</v>
      </c>
    </row>
    <row r="285" spans="1:14" x14ac:dyDescent="0.3">
      <c r="A285" s="1" t="s">
        <v>881</v>
      </c>
      <c r="B285" s="1" t="s">
        <v>44</v>
      </c>
      <c r="C285" s="1" t="s">
        <v>95</v>
      </c>
      <c r="D285" s="1" t="s">
        <v>24</v>
      </c>
      <c r="E285" s="1">
        <v>43</v>
      </c>
      <c r="F285" s="1" t="s">
        <v>39</v>
      </c>
      <c r="G285" s="1" t="s">
        <v>40</v>
      </c>
      <c r="H285" s="1" t="s">
        <v>216</v>
      </c>
      <c r="I285" s="1">
        <v>44771</v>
      </c>
      <c r="J285" s="1" t="s">
        <v>65</v>
      </c>
      <c r="K285" s="1" t="s">
        <v>882</v>
      </c>
      <c r="L285" s="1" t="s">
        <v>21</v>
      </c>
      <c r="M285" s="1" t="str">
        <f>VLOOKUP(F285,Departments!$A$2:$C$6,2,0)</f>
        <v>Marketing</v>
      </c>
      <c r="N285" s="1" t="str">
        <f>INDEX(Departments!$B:$B,MATCH(Employees!F285,Departments!$A:$A,0))</f>
        <v>Marketing</v>
      </c>
    </row>
    <row r="286" spans="1:14" x14ac:dyDescent="0.3">
      <c r="A286" s="1" t="s">
        <v>883</v>
      </c>
      <c r="B286" s="1" t="s">
        <v>54</v>
      </c>
      <c r="C286" s="1" t="s">
        <v>45</v>
      </c>
      <c r="D286" s="1" t="s">
        <v>15</v>
      </c>
      <c r="E286" s="1">
        <v>27</v>
      </c>
      <c r="F286" s="1" t="s">
        <v>39</v>
      </c>
      <c r="G286" s="1" t="s">
        <v>17</v>
      </c>
      <c r="H286" s="1" t="s">
        <v>884</v>
      </c>
      <c r="I286" s="1">
        <v>46998</v>
      </c>
      <c r="J286" s="1" t="s">
        <v>60</v>
      </c>
      <c r="K286" s="1" t="s">
        <v>885</v>
      </c>
      <c r="L286" s="1" t="s">
        <v>36</v>
      </c>
      <c r="M286" s="1" t="str">
        <f>VLOOKUP(F286,Departments!$A$2:$C$6,2,0)</f>
        <v>Marketing</v>
      </c>
      <c r="N286" s="1" t="str">
        <f>INDEX(Departments!$B:$B,MATCH(Employees!F286,Departments!$A:$A,0))</f>
        <v>Marketing</v>
      </c>
    </row>
    <row r="287" spans="1:14" x14ac:dyDescent="0.3">
      <c r="A287" s="1" t="s">
        <v>886</v>
      </c>
      <c r="B287" s="1" t="s">
        <v>71</v>
      </c>
      <c r="C287" s="1" t="s">
        <v>45</v>
      </c>
      <c r="D287" s="1" t="s">
        <v>15</v>
      </c>
      <c r="E287" s="1">
        <v>47</v>
      </c>
      <c r="F287" s="1" t="s">
        <v>31</v>
      </c>
      <c r="G287" s="1" t="s">
        <v>26</v>
      </c>
      <c r="H287" s="1" t="s">
        <v>887</v>
      </c>
      <c r="I287" s="1">
        <v>106837</v>
      </c>
      <c r="J287" s="1" t="s">
        <v>80</v>
      </c>
      <c r="K287" s="1" t="s">
        <v>888</v>
      </c>
      <c r="L287" s="1" t="s">
        <v>36</v>
      </c>
      <c r="M287" s="1" t="str">
        <f>VLOOKUP(F287,Departments!$A$2:$C$6,2,0)</f>
        <v>Sales</v>
      </c>
      <c r="N287" s="1" t="str">
        <f>INDEX(Departments!$B:$B,MATCH(Employees!F287,Departments!$A:$A,0))</f>
        <v>Sales</v>
      </c>
    </row>
    <row r="288" spans="1:14" x14ac:dyDescent="0.3">
      <c r="A288" s="1" t="s">
        <v>889</v>
      </c>
      <c r="B288" s="1" t="s">
        <v>58</v>
      </c>
      <c r="C288" s="1" t="s">
        <v>130</v>
      </c>
      <c r="D288" s="1" t="s">
        <v>15</v>
      </c>
      <c r="E288" s="1">
        <v>52</v>
      </c>
      <c r="F288" s="1" t="s">
        <v>31</v>
      </c>
      <c r="G288" s="1" t="s">
        <v>108</v>
      </c>
      <c r="H288" s="1" t="s">
        <v>890</v>
      </c>
      <c r="I288" s="1">
        <v>97878</v>
      </c>
      <c r="J288" s="1" t="s">
        <v>65</v>
      </c>
      <c r="K288" s="1" t="s">
        <v>891</v>
      </c>
      <c r="L288" s="1" t="s">
        <v>36</v>
      </c>
      <c r="M288" s="1" t="str">
        <f>VLOOKUP(F288,Departments!$A$2:$C$6,2,0)</f>
        <v>Sales</v>
      </c>
      <c r="N288" s="1" t="str">
        <f>INDEX(Departments!$B:$B,MATCH(Employees!F288,Departments!$A:$A,0))</f>
        <v>Sales</v>
      </c>
    </row>
    <row r="289" spans="1:14" x14ac:dyDescent="0.3">
      <c r="A289" s="1" t="s">
        <v>892</v>
      </c>
      <c r="B289" s="1" t="s">
        <v>54</v>
      </c>
      <c r="C289" s="1" t="s">
        <v>95</v>
      </c>
      <c r="D289" s="1" t="s">
        <v>15</v>
      </c>
      <c r="E289" s="1">
        <v>52</v>
      </c>
      <c r="F289" s="1" t="s">
        <v>31</v>
      </c>
      <c r="G289" s="1" t="s">
        <v>108</v>
      </c>
      <c r="H289" s="1" t="s">
        <v>893</v>
      </c>
      <c r="I289" s="1">
        <v>42401</v>
      </c>
      <c r="J289" s="1" t="s">
        <v>65</v>
      </c>
      <c r="K289" s="1" t="s">
        <v>894</v>
      </c>
      <c r="L289" s="1" t="s">
        <v>36</v>
      </c>
      <c r="M289" s="1" t="str">
        <f>VLOOKUP(F289,Departments!$A$2:$C$6,2,0)</f>
        <v>Sales</v>
      </c>
      <c r="N289" s="1" t="str">
        <f>INDEX(Departments!$B:$B,MATCH(Employees!F289,Departments!$A:$A,0))</f>
        <v>Sales</v>
      </c>
    </row>
    <row r="290" spans="1:14" x14ac:dyDescent="0.3">
      <c r="A290" s="1" t="s">
        <v>895</v>
      </c>
      <c r="B290" s="1" t="s">
        <v>49</v>
      </c>
      <c r="C290" s="1" t="s">
        <v>165</v>
      </c>
      <c r="D290" s="1" t="s">
        <v>15</v>
      </c>
      <c r="E290" s="1">
        <v>59</v>
      </c>
      <c r="F290" s="1" t="s">
        <v>31</v>
      </c>
      <c r="G290" s="1" t="s">
        <v>26</v>
      </c>
      <c r="H290" s="1" t="s">
        <v>896</v>
      </c>
      <c r="I290" s="1">
        <v>88760</v>
      </c>
      <c r="J290" s="1" t="s">
        <v>19</v>
      </c>
      <c r="K290" s="1" t="s">
        <v>897</v>
      </c>
      <c r="L290" s="1" t="s">
        <v>21</v>
      </c>
      <c r="M290" s="1" t="str">
        <f>VLOOKUP(F290,Departments!$A$2:$C$6,2,0)</f>
        <v>Sales</v>
      </c>
      <c r="N290" s="1" t="str">
        <f>INDEX(Departments!$B:$B,MATCH(Employees!F290,Departments!$A:$A,0))</f>
        <v>Sales</v>
      </c>
    </row>
    <row r="291" spans="1:14" x14ac:dyDescent="0.3">
      <c r="A291" s="1" t="s">
        <v>898</v>
      </c>
      <c r="B291" s="1" t="s">
        <v>94</v>
      </c>
      <c r="C291" s="1" t="s">
        <v>63</v>
      </c>
      <c r="D291" s="1" t="s">
        <v>24</v>
      </c>
      <c r="E291" s="1">
        <v>43</v>
      </c>
      <c r="F291" s="1" t="s">
        <v>39</v>
      </c>
      <c r="G291" s="1" t="s">
        <v>17</v>
      </c>
      <c r="H291" s="1" t="s">
        <v>899</v>
      </c>
      <c r="I291" s="1">
        <v>55436</v>
      </c>
      <c r="J291" s="1" t="s">
        <v>80</v>
      </c>
      <c r="K291" s="1" t="s">
        <v>900</v>
      </c>
      <c r="L291" s="1" t="s">
        <v>21</v>
      </c>
      <c r="M291" s="1" t="str">
        <f>VLOOKUP(F291,Departments!$A$2:$C$6,2,0)</f>
        <v>Marketing</v>
      </c>
      <c r="N291" s="1" t="str">
        <f>INDEX(Departments!$B:$B,MATCH(Employees!F291,Departments!$A:$A,0))</f>
        <v>Marketing</v>
      </c>
    </row>
    <row r="292" spans="1:14" x14ac:dyDescent="0.3">
      <c r="A292" s="1" t="s">
        <v>901</v>
      </c>
      <c r="B292" s="1" t="s">
        <v>58</v>
      </c>
      <c r="C292" s="1" t="s">
        <v>45</v>
      </c>
      <c r="D292" s="1" t="s">
        <v>15</v>
      </c>
      <c r="E292" s="1">
        <v>55</v>
      </c>
      <c r="F292" s="1" t="s">
        <v>31</v>
      </c>
      <c r="G292" s="1" t="s">
        <v>108</v>
      </c>
      <c r="H292" s="1" t="s">
        <v>902</v>
      </c>
      <c r="I292" s="1">
        <v>84404</v>
      </c>
      <c r="J292" s="1" t="s">
        <v>19</v>
      </c>
      <c r="K292" s="1" t="s">
        <v>903</v>
      </c>
      <c r="L292" s="1" t="s">
        <v>36</v>
      </c>
      <c r="M292" s="1" t="str">
        <f>VLOOKUP(F292,Departments!$A$2:$C$6,2,0)</f>
        <v>Sales</v>
      </c>
      <c r="N292" s="1" t="str">
        <f>INDEX(Departments!$B:$B,MATCH(Employees!F292,Departments!$A:$A,0))</f>
        <v>Sales</v>
      </c>
    </row>
    <row r="293" spans="1:14" x14ac:dyDescent="0.3">
      <c r="A293" s="1" t="s">
        <v>904</v>
      </c>
      <c r="B293" s="1" t="s">
        <v>143</v>
      </c>
      <c r="C293" s="1" t="s">
        <v>130</v>
      </c>
      <c r="D293" s="1" t="s">
        <v>24</v>
      </c>
      <c r="E293" s="1">
        <v>24</v>
      </c>
      <c r="F293" s="1" t="s">
        <v>39</v>
      </c>
      <c r="G293" s="1" t="s">
        <v>26</v>
      </c>
      <c r="H293" s="1" t="s">
        <v>905</v>
      </c>
      <c r="I293" s="1">
        <v>83157</v>
      </c>
      <c r="J293" s="1" t="s">
        <v>19</v>
      </c>
      <c r="K293" s="1" t="s">
        <v>906</v>
      </c>
      <c r="L293" s="1" t="s">
        <v>36</v>
      </c>
      <c r="M293" s="1" t="str">
        <f>VLOOKUP(F293,Departments!$A$2:$C$6,2,0)</f>
        <v>Marketing</v>
      </c>
      <c r="N293" s="1" t="str">
        <f>INDEX(Departments!$B:$B,MATCH(Employees!F293,Departments!$A:$A,0))</f>
        <v>Marketing</v>
      </c>
    </row>
    <row r="294" spans="1:14" x14ac:dyDescent="0.3">
      <c r="A294" s="1" t="s">
        <v>907</v>
      </c>
      <c r="B294" s="1" t="s">
        <v>38</v>
      </c>
      <c r="C294" s="1" t="s">
        <v>45</v>
      </c>
      <c r="D294" s="1" t="s">
        <v>24</v>
      </c>
      <c r="E294" s="1">
        <v>50</v>
      </c>
      <c r="F294" s="1" t="s">
        <v>31</v>
      </c>
      <c r="G294" s="1" t="s">
        <v>26</v>
      </c>
      <c r="H294" s="1" t="s">
        <v>908</v>
      </c>
      <c r="I294" s="1">
        <v>49330</v>
      </c>
      <c r="J294" s="1" t="s">
        <v>65</v>
      </c>
      <c r="K294" s="1" t="s">
        <v>909</v>
      </c>
      <c r="L294" s="1" t="s">
        <v>21</v>
      </c>
      <c r="M294" s="1" t="str">
        <f>VLOOKUP(F294,Departments!$A$2:$C$6,2,0)</f>
        <v>Sales</v>
      </c>
      <c r="N294" s="1" t="str">
        <f>INDEX(Departments!$B:$B,MATCH(Employees!F294,Departments!$A:$A,0))</f>
        <v>Sales</v>
      </c>
    </row>
    <row r="295" spans="1:14" x14ac:dyDescent="0.3">
      <c r="A295" s="1" t="s">
        <v>910</v>
      </c>
      <c r="B295" s="1" t="s">
        <v>13</v>
      </c>
      <c r="C295" s="1" t="s">
        <v>45</v>
      </c>
      <c r="D295" s="1" t="s">
        <v>24</v>
      </c>
      <c r="E295" s="1">
        <v>40</v>
      </c>
      <c r="F295" s="1" t="s">
        <v>25</v>
      </c>
      <c r="G295" s="1" t="s">
        <v>40</v>
      </c>
      <c r="H295" s="1" t="s">
        <v>911</v>
      </c>
      <c r="I295" s="1">
        <v>89213</v>
      </c>
      <c r="J295" s="1" t="s">
        <v>34</v>
      </c>
      <c r="K295" s="1" t="s">
        <v>912</v>
      </c>
      <c r="L295" s="1" t="s">
        <v>21</v>
      </c>
      <c r="M295" s="1" t="str">
        <f>VLOOKUP(F295,Departments!$A$2:$C$6,2,0)</f>
        <v>IT</v>
      </c>
      <c r="N295" s="1" t="str">
        <f>INDEX(Departments!$B:$B,MATCH(Employees!F295,Departments!$A:$A,0))</f>
        <v>IT</v>
      </c>
    </row>
    <row r="296" spans="1:14" x14ac:dyDescent="0.3">
      <c r="A296" s="1" t="s">
        <v>913</v>
      </c>
      <c r="B296" s="1" t="s">
        <v>143</v>
      </c>
      <c r="C296" s="1" t="s">
        <v>63</v>
      </c>
      <c r="D296" s="1" t="s">
        <v>24</v>
      </c>
      <c r="E296" s="1">
        <v>29</v>
      </c>
      <c r="F296" s="1" t="s">
        <v>16</v>
      </c>
      <c r="G296" s="1" t="s">
        <v>32</v>
      </c>
      <c r="H296" s="1" t="s">
        <v>914</v>
      </c>
      <c r="I296" s="1">
        <v>75306</v>
      </c>
      <c r="J296" s="1" t="s">
        <v>65</v>
      </c>
      <c r="K296" s="1" t="s">
        <v>915</v>
      </c>
      <c r="L296" s="1" t="s">
        <v>36</v>
      </c>
      <c r="M296" s="1" t="str">
        <f>VLOOKUP(F296,Departments!$A$2:$C$6,2,0)</f>
        <v>HR</v>
      </c>
      <c r="N296" s="1" t="str">
        <f>INDEX(Departments!$B:$B,MATCH(Employees!F296,Departments!$A:$A,0))</f>
        <v>HR</v>
      </c>
    </row>
    <row r="297" spans="1:14" x14ac:dyDescent="0.3">
      <c r="A297" s="1" t="s">
        <v>916</v>
      </c>
      <c r="B297" s="1" t="s">
        <v>30</v>
      </c>
      <c r="C297" s="1" t="s">
        <v>95</v>
      </c>
      <c r="D297" s="1" t="s">
        <v>15</v>
      </c>
      <c r="E297" s="1">
        <v>33</v>
      </c>
      <c r="F297" s="1" t="s">
        <v>25</v>
      </c>
      <c r="G297" s="1" t="s">
        <v>26</v>
      </c>
      <c r="H297" s="1" t="s">
        <v>917</v>
      </c>
      <c r="I297" s="1">
        <v>88151</v>
      </c>
      <c r="J297" s="1" t="s">
        <v>80</v>
      </c>
      <c r="K297" s="1" t="s">
        <v>918</v>
      </c>
      <c r="L297" s="1" t="s">
        <v>36</v>
      </c>
      <c r="M297" s="1" t="str">
        <f>VLOOKUP(F297,Departments!$A$2:$C$6,2,0)</f>
        <v>IT</v>
      </c>
      <c r="N297" s="1" t="str">
        <f>INDEX(Departments!$B:$B,MATCH(Employees!F297,Departments!$A:$A,0))</f>
        <v>IT</v>
      </c>
    </row>
    <row r="298" spans="1:14" x14ac:dyDescent="0.3">
      <c r="A298" s="1" t="s">
        <v>919</v>
      </c>
      <c r="B298" s="1" t="s">
        <v>13</v>
      </c>
      <c r="C298" s="1" t="s">
        <v>78</v>
      </c>
      <c r="D298" s="1" t="s">
        <v>24</v>
      </c>
      <c r="E298" s="1">
        <v>36</v>
      </c>
      <c r="F298" s="1" t="s">
        <v>31</v>
      </c>
      <c r="G298" s="1" t="s">
        <v>32</v>
      </c>
      <c r="H298" s="1" t="s">
        <v>920</v>
      </c>
      <c r="I298" s="1">
        <v>112274</v>
      </c>
      <c r="J298" s="1" t="s">
        <v>60</v>
      </c>
      <c r="K298" s="1" t="s">
        <v>921</v>
      </c>
      <c r="L298" s="1" t="s">
        <v>36</v>
      </c>
      <c r="M298" s="1" t="str">
        <f>VLOOKUP(F298,Departments!$A$2:$C$6,2,0)</f>
        <v>Sales</v>
      </c>
      <c r="N298" s="1" t="str">
        <f>INDEX(Departments!$B:$B,MATCH(Employees!F298,Departments!$A:$A,0))</f>
        <v>Sales</v>
      </c>
    </row>
    <row r="299" spans="1:14" x14ac:dyDescent="0.3">
      <c r="A299" s="1" t="s">
        <v>922</v>
      </c>
      <c r="B299" s="1" t="s">
        <v>71</v>
      </c>
      <c r="C299" s="1" t="s">
        <v>14</v>
      </c>
      <c r="D299" s="1" t="s">
        <v>15</v>
      </c>
      <c r="E299" s="1">
        <v>39</v>
      </c>
      <c r="F299" s="1" t="s">
        <v>16</v>
      </c>
      <c r="G299" s="1" t="s">
        <v>40</v>
      </c>
      <c r="H299" s="1" t="s">
        <v>923</v>
      </c>
      <c r="I299" s="1">
        <v>55507</v>
      </c>
      <c r="J299" s="1" t="s">
        <v>80</v>
      </c>
      <c r="K299" s="1" t="s">
        <v>924</v>
      </c>
      <c r="L299" s="1" t="s">
        <v>21</v>
      </c>
      <c r="M299" s="1" t="str">
        <f>VLOOKUP(F299,Departments!$A$2:$C$6,2,0)</f>
        <v>HR</v>
      </c>
      <c r="N299" s="1" t="str">
        <f>INDEX(Departments!$B:$B,MATCH(Employees!F299,Departments!$A:$A,0))</f>
        <v>HR</v>
      </c>
    </row>
    <row r="300" spans="1:14" x14ac:dyDescent="0.3">
      <c r="A300" s="1" t="s">
        <v>925</v>
      </c>
      <c r="B300" s="1" t="s">
        <v>30</v>
      </c>
      <c r="C300" s="1" t="s">
        <v>95</v>
      </c>
      <c r="D300" s="1" t="s">
        <v>15</v>
      </c>
      <c r="E300" s="1">
        <v>24</v>
      </c>
      <c r="F300" s="1" t="s">
        <v>50</v>
      </c>
      <c r="G300" s="1" t="s">
        <v>17</v>
      </c>
      <c r="H300" s="1" t="s">
        <v>926</v>
      </c>
      <c r="I300" s="1">
        <v>66638</v>
      </c>
      <c r="J300" s="1" t="s">
        <v>65</v>
      </c>
      <c r="K300" s="1" t="s">
        <v>927</v>
      </c>
      <c r="L300" s="1" t="s">
        <v>21</v>
      </c>
      <c r="M300" s="1" t="str">
        <f>VLOOKUP(F300,Departments!$A$2:$C$6,2,0)</f>
        <v>Finance</v>
      </c>
      <c r="N300" s="1" t="str">
        <f>INDEX(Departments!$B:$B,MATCH(Employees!F300,Departments!$A:$A,0))</f>
        <v>Finance</v>
      </c>
    </row>
    <row r="301" spans="1:14" x14ac:dyDescent="0.3">
      <c r="A301" s="1" t="s">
        <v>928</v>
      </c>
      <c r="B301" s="1" t="s">
        <v>44</v>
      </c>
      <c r="C301" s="1" t="s">
        <v>78</v>
      </c>
      <c r="D301" s="1" t="s">
        <v>15</v>
      </c>
      <c r="E301" s="1">
        <v>51</v>
      </c>
      <c r="F301" s="1" t="s">
        <v>16</v>
      </c>
      <c r="G301" s="1" t="s">
        <v>108</v>
      </c>
      <c r="H301" s="1" t="s">
        <v>929</v>
      </c>
      <c r="I301" s="1">
        <v>43356</v>
      </c>
      <c r="J301" s="1" t="s">
        <v>65</v>
      </c>
      <c r="K301" s="1" t="s">
        <v>930</v>
      </c>
      <c r="L301" s="1" t="s">
        <v>21</v>
      </c>
      <c r="M301" s="1" t="str">
        <f>VLOOKUP(F301,Departments!$A$2:$C$6,2,0)</f>
        <v>HR</v>
      </c>
      <c r="N301" s="1" t="str">
        <f>INDEX(Departments!$B:$B,MATCH(Employees!F301,Departments!$A:$A,0))</f>
        <v>HR</v>
      </c>
    </row>
    <row r="302" spans="1:14" x14ac:dyDescent="0.3">
      <c r="A302" s="1" t="s">
        <v>931</v>
      </c>
      <c r="B302" s="1" t="s">
        <v>38</v>
      </c>
      <c r="C302" s="1" t="s">
        <v>130</v>
      </c>
      <c r="D302" s="1" t="s">
        <v>15</v>
      </c>
      <c r="E302" s="1">
        <v>44</v>
      </c>
      <c r="F302" s="1" t="s">
        <v>31</v>
      </c>
      <c r="G302" s="1" t="s">
        <v>40</v>
      </c>
      <c r="H302" s="1" t="s">
        <v>932</v>
      </c>
      <c r="I302" s="1">
        <v>82425</v>
      </c>
      <c r="J302" s="1" t="s">
        <v>80</v>
      </c>
      <c r="K302" s="1" t="s">
        <v>933</v>
      </c>
      <c r="L302" s="1" t="s">
        <v>21</v>
      </c>
      <c r="M302" s="1" t="str">
        <f>VLOOKUP(F302,Departments!$A$2:$C$6,2,0)</f>
        <v>Sales</v>
      </c>
      <c r="N302" s="1" t="str">
        <f>INDEX(Departments!$B:$B,MATCH(Employees!F302,Departments!$A:$A,0))</f>
        <v>Sales</v>
      </c>
    </row>
    <row r="303" spans="1:14" x14ac:dyDescent="0.3">
      <c r="A303" s="1" t="s">
        <v>934</v>
      </c>
      <c r="B303" s="1" t="s">
        <v>44</v>
      </c>
      <c r="C303" s="1" t="s">
        <v>23</v>
      </c>
      <c r="D303" s="1" t="s">
        <v>15</v>
      </c>
      <c r="E303" s="1">
        <v>23</v>
      </c>
      <c r="F303" s="1" t="s">
        <v>39</v>
      </c>
      <c r="G303" s="1" t="s">
        <v>40</v>
      </c>
      <c r="H303" s="1" t="s">
        <v>415</v>
      </c>
      <c r="I303" s="1">
        <v>79670</v>
      </c>
      <c r="J303" s="1" t="s">
        <v>80</v>
      </c>
      <c r="K303" s="1" t="s">
        <v>935</v>
      </c>
      <c r="L303" s="1" t="s">
        <v>36</v>
      </c>
      <c r="M303" s="1" t="str">
        <f>VLOOKUP(F303,Departments!$A$2:$C$6,2,0)</f>
        <v>Marketing</v>
      </c>
      <c r="N303" s="1" t="str">
        <f>INDEX(Departments!$B:$B,MATCH(Employees!F303,Departments!$A:$A,0))</f>
        <v>Marketing</v>
      </c>
    </row>
    <row r="304" spans="1:14" x14ac:dyDescent="0.3">
      <c r="A304" s="1" t="s">
        <v>936</v>
      </c>
      <c r="B304" s="1" t="s">
        <v>13</v>
      </c>
      <c r="C304" s="1" t="s">
        <v>14</v>
      </c>
      <c r="D304" s="1" t="s">
        <v>24</v>
      </c>
      <c r="E304" s="1">
        <v>58</v>
      </c>
      <c r="F304" s="1" t="s">
        <v>50</v>
      </c>
      <c r="G304" s="1" t="s">
        <v>32</v>
      </c>
      <c r="H304" s="1" t="s">
        <v>937</v>
      </c>
      <c r="I304" s="1">
        <v>85427</v>
      </c>
      <c r="J304" s="1" t="s">
        <v>65</v>
      </c>
      <c r="K304" s="1" t="s">
        <v>938</v>
      </c>
      <c r="L304" s="1" t="s">
        <v>36</v>
      </c>
      <c r="M304" s="1" t="str">
        <f>VLOOKUP(F304,Departments!$A$2:$C$6,2,0)</f>
        <v>Finance</v>
      </c>
      <c r="N304" s="1" t="str">
        <f>INDEX(Departments!$B:$B,MATCH(Employees!F304,Departments!$A:$A,0))</f>
        <v>Finance</v>
      </c>
    </row>
    <row r="305" spans="1:14" x14ac:dyDescent="0.3">
      <c r="A305" s="1" t="s">
        <v>939</v>
      </c>
      <c r="B305" s="1" t="s">
        <v>143</v>
      </c>
      <c r="C305" s="1" t="s">
        <v>95</v>
      </c>
      <c r="D305" s="1" t="s">
        <v>15</v>
      </c>
      <c r="E305" s="1">
        <v>25</v>
      </c>
      <c r="F305" s="1" t="s">
        <v>25</v>
      </c>
      <c r="G305" s="1" t="s">
        <v>108</v>
      </c>
      <c r="H305" s="1" t="s">
        <v>940</v>
      </c>
      <c r="I305" s="1">
        <v>76975</v>
      </c>
      <c r="J305" s="1" t="s">
        <v>34</v>
      </c>
      <c r="K305" s="1" t="s">
        <v>941</v>
      </c>
      <c r="L305" s="1" t="s">
        <v>21</v>
      </c>
      <c r="M305" s="1" t="str">
        <f>VLOOKUP(F305,Departments!$A$2:$C$6,2,0)</f>
        <v>IT</v>
      </c>
      <c r="N305" s="1" t="str">
        <f>INDEX(Departments!$B:$B,MATCH(Employees!F305,Departments!$A:$A,0))</f>
        <v>IT</v>
      </c>
    </row>
    <row r="306" spans="1:14" x14ac:dyDescent="0.3">
      <c r="A306" s="1" t="s">
        <v>942</v>
      </c>
      <c r="B306" s="1" t="s">
        <v>38</v>
      </c>
      <c r="C306" s="1" t="s">
        <v>45</v>
      </c>
      <c r="D306" s="1" t="s">
        <v>15</v>
      </c>
      <c r="E306" s="1">
        <v>40</v>
      </c>
      <c r="F306" s="1" t="s">
        <v>16</v>
      </c>
      <c r="G306" s="1" t="s">
        <v>40</v>
      </c>
      <c r="H306" s="1" t="s">
        <v>943</v>
      </c>
      <c r="I306" s="1">
        <v>52019</v>
      </c>
      <c r="J306" s="1" t="s">
        <v>80</v>
      </c>
      <c r="K306" s="1" t="s">
        <v>944</v>
      </c>
      <c r="L306" s="1" t="s">
        <v>21</v>
      </c>
      <c r="M306" s="1" t="str">
        <f>VLOOKUP(F306,Departments!$A$2:$C$6,2,0)</f>
        <v>HR</v>
      </c>
      <c r="N306" s="1" t="str">
        <f>INDEX(Departments!$B:$B,MATCH(Employees!F306,Departments!$A:$A,0))</f>
        <v>HR</v>
      </c>
    </row>
    <row r="307" spans="1:14" x14ac:dyDescent="0.3">
      <c r="A307" s="1" t="s">
        <v>945</v>
      </c>
      <c r="B307" s="1" t="s">
        <v>58</v>
      </c>
      <c r="C307" s="1" t="s">
        <v>130</v>
      </c>
      <c r="D307" s="1" t="s">
        <v>15</v>
      </c>
      <c r="E307" s="1">
        <v>22</v>
      </c>
      <c r="F307" s="1" t="s">
        <v>16</v>
      </c>
      <c r="G307" s="1" t="s">
        <v>108</v>
      </c>
      <c r="H307" s="1" t="s">
        <v>946</v>
      </c>
      <c r="I307" s="1">
        <v>89336</v>
      </c>
      <c r="J307" s="1" t="s">
        <v>65</v>
      </c>
      <c r="K307" s="1" t="s">
        <v>947</v>
      </c>
      <c r="L307" s="1" t="s">
        <v>21</v>
      </c>
      <c r="M307" s="1" t="str">
        <f>VLOOKUP(F307,Departments!$A$2:$C$6,2,0)</f>
        <v>HR</v>
      </c>
      <c r="N307" s="1" t="str">
        <f>INDEX(Departments!$B:$B,MATCH(Employees!F307,Departments!$A:$A,0))</f>
        <v>HR</v>
      </c>
    </row>
    <row r="308" spans="1:14" x14ac:dyDescent="0.3">
      <c r="A308" s="1" t="s">
        <v>948</v>
      </c>
      <c r="B308" s="1" t="s">
        <v>38</v>
      </c>
      <c r="C308" s="1" t="s">
        <v>78</v>
      </c>
      <c r="D308" s="1" t="s">
        <v>24</v>
      </c>
      <c r="E308" s="1">
        <v>41</v>
      </c>
      <c r="F308" s="1" t="s">
        <v>50</v>
      </c>
      <c r="G308" s="1" t="s">
        <v>32</v>
      </c>
      <c r="H308" s="1" t="s">
        <v>949</v>
      </c>
      <c r="I308" s="1">
        <v>81363</v>
      </c>
      <c r="J308" s="1" t="s">
        <v>60</v>
      </c>
      <c r="K308" s="1" t="s">
        <v>950</v>
      </c>
      <c r="L308" s="1" t="s">
        <v>36</v>
      </c>
      <c r="M308" s="1" t="str">
        <f>VLOOKUP(F308,Departments!$A$2:$C$6,2,0)</f>
        <v>Finance</v>
      </c>
      <c r="N308" s="1" t="str">
        <f>INDEX(Departments!$B:$B,MATCH(Employees!F308,Departments!$A:$A,0))</f>
        <v>Finance</v>
      </c>
    </row>
    <row r="309" spans="1:14" x14ac:dyDescent="0.3">
      <c r="A309" s="1" t="s">
        <v>951</v>
      </c>
      <c r="B309" s="1" t="s">
        <v>49</v>
      </c>
      <c r="C309" s="1" t="s">
        <v>83</v>
      </c>
      <c r="D309" s="1" t="s">
        <v>24</v>
      </c>
      <c r="E309" s="1">
        <v>45</v>
      </c>
      <c r="F309" s="1" t="s">
        <v>50</v>
      </c>
      <c r="G309" s="1" t="s">
        <v>17</v>
      </c>
      <c r="H309" s="1" t="s">
        <v>952</v>
      </c>
      <c r="I309" s="1">
        <v>74751</v>
      </c>
      <c r="J309" s="1" t="s">
        <v>60</v>
      </c>
      <c r="K309" s="1" t="s">
        <v>953</v>
      </c>
      <c r="L309" s="1" t="s">
        <v>21</v>
      </c>
      <c r="M309" s="1" t="str">
        <f>VLOOKUP(F309,Departments!$A$2:$C$6,2,0)</f>
        <v>Finance</v>
      </c>
      <c r="N309" s="1" t="str">
        <f>INDEX(Departments!$B:$B,MATCH(Employees!F309,Departments!$A:$A,0))</f>
        <v>Finance</v>
      </c>
    </row>
    <row r="310" spans="1:14" x14ac:dyDescent="0.3">
      <c r="A310" s="1" t="s">
        <v>954</v>
      </c>
      <c r="B310" s="1" t="s">
        <v>143</v>
      </c>
      <c r="C310" s="1" t="s">
        <v>63</v>
      </c>
      <c r="D310" s="1" t="s">
        <v>15</v>
      </c>
      <c r="E310" s="1">
        <v>55</v>
      </c>
      <c r="F310" s="1" t="s">
        <v>50</v>
      </c>
      <c r="G310" s="1" t="s">
        <v>40</v>
      </c>
      <c r="H310" s="1" t="s">
        <v>193</v>
      </c>
      <c r="I310" s="1">
        <v>75014</v>
      </c>
      <c r="J310" s="1" t="s">
        <v>65</v>
      </c>
      <c r="K310" s="1" t="s">
        <v>955</v>
      </c>
      <c r="L310" s="1" t="s">
        <v>21</v>
      </c>
      <c r="M310" s="1" t="str">
        <f>VLOOKUP(F310,Departments!$A$2:$C$6,2,0)</f>
        <v>Finance</v>
      </c>
      <c r="N310" s="1" t="str">
        <f>INDEX(Departments!$B:$B,MATCH(Employees!F310,Departments!$A:$A,0))</f>
        <v>Finance</v>
      </c>
    </row>
    <row r="311" spans="1:14" x14ac:dyDescent="0.3">
      <c r="A311" s="1" t="s">
        <v>956</v>
      </c>
      <c r="B311" s="1" t="s">
        <v>54</v>
      </c>
      <c r="C311" s="1" t="s">
        <v>63</v>
      </c>
      <c r="D311" s="1" t="s">
        <v>15</v>
      </c>
      <c r="E311" s="1">
        <v>55</v>
      </c>
      <c r="F311" s="1" t="s">
        <v>39</v>
      </c>
      <c r="G311" s="1" t="s">
        <v>26</v>
      </c>
      <c r="H311" s="1" t="s">
        <v>957</v>
      </c>
      <c r="I311" s="1">
        <v>98004</v>
      </c>
      <c r="J311" s="1" t="s">
        <v>60</v>
      </c>
      <c r="K311" s="1" t="s">
        <v>958</v>
      </c>
      <c r="L311" s="1" t="s">
        <v>36</v>
      </c>
      <c r="M311" s="1" t="str">
        <f>VLOOKUP(F311,Departments!$A$2:$C$6,2,0)</f>
        <v>Marketing</v>
      </c>
      <c r="N311" s="1" t="str">
        <f>INDEX(Departments!$B:$B,MATCH(Employees!F311,Departments!$A:$A,0))</f>
        <v>Marketing</v>
      </c>
    </row>
    <row r="312" spans="1:14" x14ac:dyDescent="0.3">
      <c r="A312" s="1" t="s">
        <v>959</v>
      </c>
      <c r="B312" s="1" t="s">
        <v>54</v>
      </c>
      <c r="C312" s="1" t="s">
        <v>23</v>
      </c>
      <c r="D312" s="1" t="s">
        <v>15</v>
      </c>
      <c r="E312" s="1">
        <v>27</v>
      </c>
      <c r="F312" s="1" t="s">
        <v>50</v>
      </c>
      <c r="G312" s="1" t="s">
        <v>17</v>
      </c>
      <c r="H312" s="1" t="s">
        <v>466</v>
      </c>
      <c r="I312" s="1">
        <v>86048</v>
      </c>
      <c r="J312" s="1" t="s">
        <v>19</v>
      </c>
      <c r="K312" s="1" t="s">
        <v>960</v>
      </c>
      <c r="L312" s="1" t="s">
        <v>21</v>
      </c>
      <c r="M312" s="1" t="str">
        <f>VLOOKUP(F312,Departments!$A$2:$C$6,2,0)</f>
        <v>Finance</v>
      </c>
      <c r="N312" s="1" t="str">
        <f>INDEX(Departments!$B:$B,MATCH(Employees!F312,Departments!$A:$A,0))</f>
        <v>Finance</v>
      </c>
    </row>
    <row r="313" spans="1:14" x14ac:dyDescent="0.3">
      <c r="A313" s="1" t="s">
        <v>961</v>
      </c>
      <c r="B313" s="1" t="s">
        <v>143</v>
      </c>
      <c r="C313" s="1" t="s">
        <v>165</v>
      </c>
      <c r="D313" s="1" t="s">
        <v>24</v>
      </c>
      <c r="E313" s="1">
        <v>47</v>
      </c>
      <c r="F313" s="1" t="s">
        <v>31</v>
      </c>
      <c r="G313" s="1" t="s">
        <v>32</v>
      </c>
      <c r="H313" s="1" t="s">
        <v>962</v>
      </c>
      <c r="I313" s="1">
        <v>105072</v>
      </c>
      <c r="J313" s="1" t="s">
        <v>34</v>
      </c>
      <c r="K313" s="1" t="s">
        <v>963</v>
      </c>
      <c r="L313" s="1" t="s">
        <v>36</v>
      </c>
      <c r="M313" s="1" t="str">
        <f>VLOOKUP(F313,Departments!$A$2:$C$6,2,0)</f>
        <v>Sales</v>
      </c>
      <c r="N313" s="1" t="str">
        <f>INDEX(Departments!$B:$B,MATCH(Employees!F313,Departments!$A:$A,0))</f>
        <v>Sales</v>
      </c>
    </row>
    <row r="314" spans="1:14" x14ac:dyDescent="0.3">
      <c r="A314" s="1" t="s">
        <v>964</v>
      </c>
      <c r="B314" s="1" t="s">
        <v>44</v>
      </c>
      <c r="C314" s="1" t="s">
        <v>165</v>
      </c>
      <c r="D314" s="1" t="s">
        <v>24</v>
      </c>
      <c r="E314" s="1">
        <v>24</v>
      </c>
      <c r="F314" s="1" t="s">
        <v>39</v>
      </c>
      <c r="G314" s="1" t="s">
        <v>17</v>
      </c>
      <c r="H314" s="1" t="s">
        <v>965</v>
      </c>
      <c r="I314" s="1">
        <v>54389</v>
      </c>
      <c r="J314" s="1" t="s">
        <v>34</v>
      </c>
      <c r="K314" s="1" t="s">
        <v>966</v>
      </c>
      <c r="L314" s="1" t="s">
        <v>36</v>
      </c>
      <c r="M314" s="1" t="str">
        <f>VLOOKUP(F314,Departments!$A$2:$C$6,2,0)</f>
        <v>Marketing</v>
      </c>
      <c r="N314" s="1" t="str">
        <f>INDEX(Departments!$B:$B,MATCH(Employees!F314,Departments!$A:$A,0))</f>
        <v>Marketing</v>
      </c>
    </row>
    <row r="315" spans="1:14" x14ac:dyDescent="0.3">
      <c r="A315" s="1" t="s">
        <v>967</v>
      </c>
      <c r="B315" s="1" t="s">
        <v>30</v>
      </c>
      <c r="C315" s="1" t="s">
        <v>23</v>
      </c>
      <c r="D315" s="1" t="s">
        <v>15</v>
      </c>
      <c r="E315" s="1">
        <v>58</v>
      </c>
      <c r="F315" s="1" t="s">
        <v>50</v>
      </c>
      <c r="G315" s="1" t="s">
        <v>17</v>
      </c>
      <c r="H315" s="1" t="s">
        <v>968</v>
      </c>
      <c r="I315" s="1">
        <v>48029</v>
      </c>
      <c r="J315" s="1" t="s">
        <v>34</v>
      </c>
      <c r="K315" s="1" t="s">
        <v>969</v>
      </c>
      <c r="L315" s="1" t="s">
        <v>21</v>
      </c>
      <c r="M315" s="1" t="str">
        <f>VLOOKUP(F315,Departments!$A$2:$C$6,2,0)</f>
        <v>Finance</v>
      </c>
      <c r="N315" s="1" t="str">
        <f>INDEX(Departments!$B:$B,MATCH(Employees!F315,Departments!$A:$A,0))</f>
        <v>Finance</v>
      </c>
    </row>
    <row r="316" spans="1:14" x14ac:dyDescent="0.3">
      <c r="A316" s="1" t="s">
        <v>970</v>
      </c>
      <c r="B316" s="1" t="s">
        <v>13</v>
      </c>
      <c r="C316" s="1" t="s">
        <v>165</v>
      </c>
      <c r="D316" s="1" t="s">
        <v>15</v>
      </c>
      <c r="E316" s="1">
        <v>45</v>
      </c>
      <c r="F316" s="1" t="s">
        <v>50</v>
      </c>
      <c r="G316" s="1" t="s">
        <v>17</v>
      </c>
      <c r="H316" s="1" t="s">
        <v>971</v>
      </c>
      <c r="I316" s="1">
        <v>98879</v>
      </c>
      <c r="J316" s="1" t="s">
        <v>65</v>
      </c>
      <c r="K316" s="1" t="s">
        <v>972</v>
      </c>
      <c r="L316" s="1" t="s">
        <v>21</v>
      </c>
      <c r="M316" s="1" t="str">
        <f>VLOOKUP(F316,Departments!$A$2:$C$6,2,0)</f>
        <v>Finance</v>
      </c>
      <c r="N316" s="1" t="str">
        <f>INDEX(Departments!$B:$B,MATCH(Employees!F316,Departments!$A:$A,0))</f>
        <v>Finance</v>
      </c>
    </row>
    <row r="317" spans="1:14" x14ac:dyDescent="0.3">
      <c r="A317" s="1" t="s">
        <v>973</v>
      </c>
      <c r="B317" s="1" t="s">
        <v>54</v>
      </c>
      <c r="C317" s="1" t="s">
        <v>130</v>
      </c>
      <c r="D317" s="1" t="s">
        <v>15</v>
      </c>
      <c r="E317" s="1">
        <v>41</v>
      </c>
      <c r="F317" s="1" t="s">
        <v>39</v>
      </c>
      <c r="G317" s="1" t="s">
        <v>40</v>
      </c>
      <c r="H317" s="1" t="s">
        <v>974</v>
      </c>
      <c r="I317" s="1">
        <v>41158</v>
      </c>
      <c r="J317" s="1" t="s">
        <v>19</v>
      </c>
      <c r="K317" s="1" t="s">
        <v>975</v>
      </c>
      <c r="L317" s="1" t="s">
        <v>36</v>
      </c>
      <c r="M317" s="1" t="str">
        <f>VLOOKUP(F317,Departments!$A$2:$C$6,2,0)</f>
        <v>Marketing</v>
      </c>
      <c r="N317" s="1" t="str">
        <f>INDEX(Departments!$B:$B,MATCH(Employees!F317,Departments!$A:$A,0))</f>
        <v>Marketing</v>
      </c>
    </row>
    <row r="318" spans="1:14" x14ac:dyDescent="0.3">
      <c r="A318" s="1" t="s">
        <v>976</v>
      </c>
      <c r="B318" s="1" t="s">
        <v>54</v>
      </c>
      <c r="C318" s="1" t="s">
        <v>23</v>
      </c>
      <c r="D318" s="1" t="s">
        <v>24</v>
      </c>
      <c r="E318" s="1">
        <v>31</v>
      </c>
      <c r="F318" s="1" t="s">
        <v>31</v>
      </c>
      <c r="G318" s="1" t="s">
        <v>26</v>
      </c>
      <c r="H318" s="1" t="s">
        <v>977</v>
      </c>
      <c r="I318" s="1">
        <v>57027</v>
      </c>
      <c r="J318" s="1" t="s">
        <v>34</v>
      </c>
      <c r="K318" s="1" t="s">
        <v>978</v>
      </c>
      <c r="L318" s="1" t="s">
        <v>36</v>
      </c>
      <c r="M318" s="1" t="str">
        <f>VLOOKUP(F318,Departments!$A$2:$C$6,2,0)</f>
        <v>Sales</v>
      </c>
      <c r="N318" s="1" t="str">
        <f>INDEX(Departments!$B:$B,MATCH(Employees!F318,Departments!$A:$A,0))</f>
        <v>Sales</v>
      </c>
    </row>
    <row r="319" spans="1:14" x14ac:dyDescent="0.3">
      <c r="A319" s="1" t="s">
        <v>979</v>
      </c>
      <c r="B319" s="1" t="s">
        <v>143</v>
      </c>
      <c r="C319" s="1" t="s">
        <v>130</v>
      </c>
      <c r="D319" s="1" t="s">
        <v>15</v>
      </c>
      <c r="E319" s="1">
        <v>24</v>
      </c>
      <c r="F319" s="1" t="s">
        <v>31</v>
      </c>
      <c r="G319" s="1" t="s">
        <v>26</v>
      </c>
      <c r="H319" s="1" t="s">
        <v>980</v>
      </c>
      <c r="I319" s="1">
        <v>56782</v>
      </c>
      <c r="J319" s="1" t="s">
        <v>34</v>
      </c>
      <c r="K319" s="1" t="s">
        <v>981</v>
      </c>
      <c r="L319" s="1" t="s">
        <v>21</v>
      </c>
      <c r="M319" s="1" t="str">
        <f>VLOOKUP(F319,Departments!$A$2:$C$6,2,0)</f>
        <v>Sales</v>
      </c>
      <c r="N319" s="1" t="str">
        <f>INDEX(Departments!$B:$B,MATCH(Employees!F319,Departments!$A:$A,0))</f>
        <v>Sales</v>
      </c>
    </row>
    <row r="320" spans="1:14" x14ac:dyDescent="0.3">
      <c r="A320" s="1" t="s">
        <v>982</v>
      </c>
      <c r="B320" s="1" t="s">
        <v>38</v>
      </c>
      <c r="C320" s="1" t="s">
        <v>95</v>
      </c>
      <c r="D320" s="1" t="s">
        <v>15</v>
      </c>
      <c r="E320" s="1">
        <v>53</v>
      </c>
      <c r="F320" s="1" t="s">
        <v>31</v>
      </c>
      <c r="G320" s="1" t="s">
        <v>17</v>
      </c>
      <c r="H320" s="1" t="s">
        <v>983</v>
      </c>
      <c r="I320" s="1">
        <v>50653</v>
      </c>
      <c r="J320" s="1" t="s">
        <v>19</v>
      </c>
      <c r="K320" s="1" t="s">
        <v>984</v>
      </c>
      <c r="L320" s="1" t="s">
        <v>36</v>
      </c>
      <c r="M320" s="1" t="str">
        <f>VLOOKUP(F320,Departments!$A$2:$C$6,2,0)</f>
        <v>Sales</v>
      </c>
      <c r="N320" s="1" t="str">
        <f>INDEX(Departments!$B:$B,MATCH(Employees!F320,Departments!$A:$A,0))</f>
        <v>Sales</v>
      </c>
    </row>
    <row r="321" spans="1:14" x14ac:dyDescent="0.3">
      <c r="A321" s="1" t="s">
        <v>985</v>
      </c>
      <c r="B321" s="1" t="s">
        <v>38</v>
      </c>
      <c r="C321" s="1" t="s">
        <v>83</v>
      </c>
      <c r="D321" s="1" t="s">
        <v>15</v>
      </c>
      <c r="E321" s="1">
        <v>37</v>
      </c>
      <c r="F321" s="1" t="s">
        <v>16</v>
      </c>
      <c r="G321" s="1" t="s">
        <v>40</v>
      </c>
      <c r="H321" s="1" t="s">
        <v>475</v>
      </c>
      <c r="I321" s="1">
        <v>104915</v>
      </c>
      <c r="J321" s="1" t="s">
        <v>80</v>
      </c>
      <c r="K321" s="1" t="s">
        <v>986</v>
      </c>
      <c r="L321" s="1" t="s">
        <v>36</v>
      </c>
      <c r="M321" s="1" t="str">
        <f>VLOOKUP(F321,Departments!$A$2:$C$6,2,0)</f>
        <v>HR</v>
      </c>
      <c r="N321" s="1" t="str">
        <f>INDEX(Departments!$B:$B,MATCH(Employees!F321,Departments!$A:$A,0))</f>
        <v>HR</v>
      </c>
    </row>
    <row r="322" spans="1:14" x14ac:dyDescent="0.3">
      <c r="A322" s="1" t="s">
        <v>987</v>
      </c>
      <c r="B322" s="1" t="s">
        <v>44</v>
      </c>
      <c r="C322" s="1" t="s">
        <v>95</v>
      </c>
      <c r="D322" s="1" t="s">
        <v>24</v>
      </c>
      <c r="E322" s="1">
        <v>43</v>
      </c>
      <c r="F322" s="1" t="s">
        <v>31</v>
      </c>
      <c r="G322" s="1" t="s">
        <v>40</v>
      </c>
      <c r="H322" s="1" t="s">
        <v>988</v>
      </c>
      <c r="I322" s="1">
        <v>87776</v>
      </c>
      <c r="J322" s="1" t="s">
        <v>80</v>
      </c>
      <c r="K322" s="1" t="s">
        <v>989</v>
      </c>
      <c r="L322" s="1" t="s">
        <v>36</v>
      </c>
      <c r="M322" s="1" t="str">
        <f>VLOOKUP(F322,Departments!$A$2:$C$6,2,0)</f>
        <v>Sales</v>
      </c>
      <c r="N322" s="1" t="str">
        <f>INDEX(Departments!$B:$B,MATCH(Employees!F322,Departments!$A:$A,0))</f>
        <v>Sales</v>
      </c>
    </row>
    <row r="323" spans="1:14" x14ac:dyDescent="0.3">
      <c r="A323" s="1" t="s">
        <v>990</v>
      </c>
      <c r="B323" s="1" t="s">
        <v>58</v>
      </c>
      <c r="C323" s="1" t="s">
        <v>130</v>
      </c>
      <c r="D323" s="1" t="s">
        <v>15</v>
      </c>
      <c r="E323" s="1">
        <v>49</v>
      </c>
      <c r="F323" s="1" t="s">
        <v>39</v>
      </c>
      <c r="G323" s="1" t="s">
        <v>32</v>
      </c>
      <c r="H323" s="1" t="s">
        <v>991</v>
      </c>
      <c r="I323" s="1">
        <v>52338</v>
      </c>
      <c r="J323" s="1" t="s">
        <v>60</v>
      </c>
      <c r="K323" s="1" t="s">
        <v>992</v>
      </c>
      <c r="L323" s="1" t="s">
        <v>36</v>
      </c>
      <c r="M323" s="1" t="str">
        <f>VLOOKUP(F323,Departments!$A$2:$C$6,2,0)</f>
        <v>Marketing</v>
      </c>
      <c r="N323" s="1" t="str">
        <f>INDEX(Departments!$B:$B,MATCH(Employees!F323,Departments!$A:$A,0))</f>
        <v>Marketing</v>
      </c>
    </row>
    <row r="324" spans="1:14" x14ac:dyDescent="0.3">
      <c r="A324" s="1" t="s">
        <v>993</v>
      </c>
      <c r="B324" s="1" t="s">
        <v>30</v>
      </c>
      <c r="C324" s="1" t="s">
        <v>45</v>
      </c>
      <c r="D324" s="1" t="s">
        <v>15</v>
      </c>
      <c r="E324" s="1">
        <v>53</v>
      </c>
      <c r="F324" s="1" t="s">
        <v>39</v>
      </c>
      <c r="G324" s="1" t="s">
        <v>32</v>
      </c>
      <c r="H324" s="1" t="s">
        <v>994</v>
      </c>
      <c r="I324" s="1">
        <v>45630</v>
      </c>
      <c r="J324" s="1" t="s">
        <v>65</v>
      </c>
      <c r="K324" s="1" t="s">
        <v>995</v>
      </c>
      <c r="L324" s="1" t="s">
        <v>36</v>
      </c>
      <c r="M324" s="1" t="str">
        <f>VLOOKUP(F324,Departments!$A$2:$C$6,2,0)</f>
        <v>Marketing</v>
      </c>
      <c r="N324" s="1" t="str">
        <f>INDEX(Departments!$B:$B,MATCH(Employees!F324,Departments!$A:$A,0))</f>
        <v>Marketing</v>
      </c>
    </row>
    <row r="325" spans="1:14" x14ac:dyDescent="0.3">
      <c r="A325" s="1" t="s">
        <v>996</v>
      </c>
      <c r="B325" s="1" t="s">
        <v>38</v>
      </c>
      <c r="C325" s="1" t="s">
        <v>45</v>
      </c>
      <c r="D325" s="1" t="s">
        <v>24</v>
      </c>
      <c r="E325" s="1">
        <v>44</v>
      </c>
      <c r="F325" s="1" t="s">
        <v>39</v>
      </c>
      <c r="G325" s="1" t="s">
        <v>32</v>
      </c>
      <c r="H325" s="1" t="s">
        <v>997</v>
      </c>
      <c r="I325" s="1">
        <v>80403</v>
      </c>
      <c r="J325" s="1" t="s">
        <v>60</v>
      </c>
      <c r="K325" s="1" t="s">
        <v>998</v>
      </c>
      <c r="L325" s="1" t="s">
        <v>21</v>
      </c>
      <c r="M325" s="1" t="str">
        <f>VLOOKUP(F325,Departments!$A$2:$C$6,2,0)</f>
        <v>Marketing</v>
      </c>
      <c r="N325" s="1" t="str">
        <f>INDEX(Departments!$B:$B,MATCH(Employees!F325,Departments!$A:$A,0))</f>
        <v>Marketing</v>
      </c>
    </row>
    <row r="326" spans="1:14" x14ac:dyDescent="0.3">
      <c r="A326" s="1" t="s">
        <v>999</v>
      </c>
      <c r="B326" s="1" t="s">
        <v>44</v>
      </c>
      <c r="C326" s="1" t="s">
        <v>45</v>
      </c>
      <c r="D326" s="1" t="s">
        <v>24</v>
      </c>
      <c r="E326" s="1">
        <v>51</v>
      </c>
      <c r="F326" s="1" t="s">
        <v>39</v>
      </c>
      <c r="G326" s="1" t="s">
        <v>26</v>
      </c>
      <c r="H326" s="1" t="s">
        <v>1000</v>
      </c>
      <c r="I326" s="1">
        <v>82902</v>
      </c>
      <c r="J326" s="1" t="s">
        <v>80</v>
      </c>
      <c r="K326" s="1" t="s">
        <v>1001</v>
      </c>
      <c r="L326" s="1" t="s">
        <v>36</v>
      </c>
      <c r="M326" s="1" t="str">
        <f>VLOOKUP(F326,Departments!$A$2:$C$6,2,0)</f>
        <v>Marketing</v>
      </c>
      <c r="N326" s="1" t="str">
        <f>INDEX(Departments!$B:$B,MATCH(Employees!F326,Departments!$A:$A,0))</f>
        <v>Marketing</v>
      </c>
    </row>
    <row r="327" spans="1:14" x14ac:dyDescent="0.3">
      <c r="A327" s="1" t="s">
        <v>1002</v>
      </c>
      <c r="B327" s="1" t="s">
        <v>13</v>
      </c>
      <c r="C327" s="1" t="s">
        <v>165</v>
      </c>
      <c r="D327" s="1" t="s">
        <v>24</v>
      </c>
      <c r="E327" s="1">
        <v>46</v>
      </c>
      <c r="F327" s="1" t="s">
        <v>39</v>
      </c>
      <c r="G327" s="1" t="s">
        <v>108</v>
      </c>
      <c r="H327" s="1" t="s">
        <v>1003</v>
      </c>
      <c r="I327" s="1">
        <v>89841</v>
      </c>
      <c r="J327" s="1" t="s">
        <v>80</v>
      </c>
      <c r="K327" s="1" t="s">
        <v>1004</v>
      </c>
      <c r="L327" s="1" t="s">
        <v>21</v>
      </c>
      <c r="M327" s="1" t="str">
        <f>VLOOKUP(F327,Departments!$A$2:$C$6,2,0)</f>
        <v>Marketing</v>
      </c>
      <c r="N327" s="1" t="str">
        <f>INDEX(Departments!$B:$B,MATCH(Employees!F327,Departments!$A:$A,0))</f>
        <v>Marketing</v>
      </c>
    </row>
    <row r="328" spans="1:14" x14ac:dyDescent="0.3">
      <c r="A328" s="1" t="s">
        <v>1005</v>
      </c>
      <c r="B328" s="1" t="s">
        <v>54</v>
      </c>
      <c r="C328" s="1" t="s">
        <v>90</v>
      </c>
      <c r="D328" s="1" t="s">
        <v>24</v>
      </c>
      <c r="E328" s="1">
        <v>36</v>
      </c>
      <c r="F328" s="1" t="s">
        <v>25</v>
      </c>
      <c r="G328" s="1" t="s">
        <v>26</v>
      </c>
      <c r="H328" s="1" t="s">
        <v>1006</v>
      </c>
      <c r="I328" s="1">
        <v>112396</v>
      </c>
      <c r="J328" s="1" t="s">
        <v>60</v>
      </c>
      <c r="K328" s="1" t="s">
        <v>1007</v>
      </c>
      <c r="L328" s="1" t="s">
        <v>21</v>
      </c>
      <c r="M328" s="1" t="str">
        <f>VLOOKUP(F328,Departments!$A$2:$C$6,2,0)</f>
        <v>IT</v>
      </c>
      <c r="N328" s="1" t="str">
        <f>INDEX(Departments!$B:$B,MATCH(Employees!F328,Departments!$A:$A,0))</f>
        <v>IT</v>
      </c>
    </row>
    <row r="329" spans="1:14" x14ac:dyDescent="0.3">
      <c r="A329" s="1" t="s">
        <v>1008</v>
      </c>
      <c r="B329" s="1" t="s">
        <v>54</v>
      </c>
      <c r="C329" s="1" t="s">
        <v>23</v>
      </c>
      <c r="D329" s="1" t="s">
        <v>24</v>
      </c>
      <c r="E329" s="1">
        <v>39</v>
      </c>
      <c r="F329" s="1" t="s">
        <v>16</v>
      </c>
      <c r="G329" s="1" t="s">
        <v>108</v>
      </c>
      <c r="H329" s="1" t="s">
        <v>1009</v>
      </c>
      <c r="I329" s="1">
        <v>91433</v>
      </c>
      <c r="J329" s="1" t="s">
        <v>80</v>
      </c>
      <c r="K329" s="1" t="s">
        <v>1010</v>
      </c>
      <c r="L329" s="1" t="s">
        <v>36</v>
      </c>
      <c r="M329" s="1" t="str">
        <f>VLOOKUP(F329,Departments!$A$2:$C$6,2,0)</f>
        <v>HR</v>
      </c>
      <c r="N329" s="1" t="str">
        <f>INDEX(Departments!$B:$B,MATCH(Employees!F329,Departments!$A:$A,0))</f>
        <v>HR</v>
      </c>
    </row>
    <row r="330" spans="1:14" x14ac:dyDescent="0.3">
      <c r="A330" s="1" t="s">
        <v>1011</v>
      </c>
      <c r="B330" s="1" t="s">
        <v>49</v>
      </c>
      <c r="C330" s="1" t="s">
        <v>95</v>
      </c>
      <c r="D330" s="1" t="s">
        <v>15</v>
      </c>
      <c r="E330" s="1">
        <v>58</v>
      </c>
      <c r="F330" s="1" t="s">
        <v>39</v>
      </c>
      <c r="G330" s="1" t="s">
        <v>32</v>
      </c>
      <c r="H330" s="1" t="s">
        <v>1012</v>
      </c>
      <c r="I330" s="1">
        <v>75628</v>
      </c>
      <c r="J330" s="1" t="s">
        <v>60</v>
      </c>
      <c r="K330" s="1" t="s">
        <v>1013</v>
      </c>
      <c r="L330" s="1" t="s">
        <v>21</v>
      </c>
      <c r="M330" s="1" t="str">
        <f>VLOOKUP(F330,Departments!$A$2:$C$6,2,0)</f>
        <v>Marketing</v>
      </c>
      <c r="N330" s="1" t="str">
        <f>INDEX(Departments!$B:$B,MATCH(Employees!F330,Departments!$A:$A,0))</f>
        <v>Marketing</v>
      </c>
    </row>
    <row r="331" spans="1:14" x14ac:dyDescent="0.3">
      <c r="A331" s="1" t="s">
        <v>1014</v>
      </c>
      <c r="B331" s="1" t="s">
        <v>13</v>
      </c>
      <c r="C331" s="1" t="s">
        <v>45</v>
      </c>
      <c r="D331" s="1" t="s">
        <v>15</v>
      </c>
      <c r="E331" s="1">
        <v>56</v>
      </c>
      <c r="F331" s="1" t="s">
        <v>50</v>
      </c>
      <c r="G331" s="1" t="s">
        <v>17</v>
      </c>
      <c r="H331" s="1" t="s">
        <v>1015</v>
      </c>
      <c r="I331" s="1">
        <v>68036</v>
      </c>
      <c r="J331" s="1" t="s">
        <v>80</v>
      </c>
      <c r="K331" s="1" t="s">
        <v>1016</v>
      </c>
      <c r="L331" s="1" t="s">
        <v>36</v>
      </c>
      <c r="M331" s="1" t="str">
        <f>VLOOKUP(F331,Departments!$A$2:$C$6,2,0)</f>
        <v>Finance</v>
      </c>
      <c r="N331" s="1" t="str">
        <f>INDEX(Departments!$B:$B,MATCH(Employees!F331,Departments!$A:$A,0))</f>
        <v>Finance</v>
      </c>
    </row>
    <row r="332" spans="1:14" x14ac:dyDescent="0.3">
      <c r="A332" s="1" t="s">
        <v>1017</v>
      </c>
      <c r="B332" s="1" t="s">
        <v>94</v>
      </c>
      <c r="C332" s="1" t="s">
        <v>78</v>
      </c>
      <c r="D332" s="1" t="s">
        <v>24</v>
      </c>
      <c r="E332" s="1">
        <v>50</v>
      </c>
      <c r="F332" s="1" t="s">
        <v>16</v>
      </c>
      <c r="G332" s="1" t="s">
        <v>108</v>
      </c>
      <c r="H332" s="1" t="s">
        <v>1018</v>
      </c>
      <c r="I332" s="1">
        <v>61746</v>
      </c>
      <c r="J332" s="1" t="s">
        <v>65</v>
      </c>
      <c r="K332" s="1" t="s">
        <v>1019</v>
      </c>
      <c r="L332" s="1" t="s">
        <v>36</v>
      </c>
      <c r="M332" s="1" t="str">
        <f>VLOOKUP(F332,Departments!$A$2:$C$6,2,0)</f>
        <v>HR</v>
      </c>
      <c r="N332" s="1" t="str">
        <f>INDEX(Departments!$B:$B,MATCH(Employees!F332,Departments!$A:$A,0))</f>
        <v>HR</v>
      </c>
    </row>
    <row r="333" spans="1:14" x14ac:dyDescent="0.3">
      <c r="A333" s="1" t="s">
        <v>1020</v>
      </c>
      <c r="B333" s="1" t="s">
        <v>143</v>
      </c>
      <c r="C333" s="1" t="s">
        <v>63</v>
      </c>
      <c r="D333" s="1" t="s">
        <v>15</v>
      </c>
      <c r="E333" s="1">
        <v>26</v>
      </c>
      <c r="F333" s="1" t="s">
        <v>16</v>
      </c>
      <c r="G333" s="1" t="s">
        <v>108</v>
      </c>
      <c r="H333" s="1" t="s">
        <v>510</v>
      </c>
      <c r="I333" s="1">
        <v>47221</v>
      </c>
      <c r="J333" s="1" t="s">
        <v>60</v>
      </c>
      <c r="K333" s="1" t="s">
        <v>1021</v>
      </c>
      <c r="L333" s="1" t="s">
        <v>36</v>
      </c>
      <c r="M333" s="1" t="str">
        <f>VLOOKUP(F333,Departments!$A$2:$C$6,2,0)</f>
        <v>HR</v>
      </c>
      <c r="N333" s="1" t="str">
        <f>INDEX(Departments!$B:$B,MATCH(Employees!F333,Departments!$A:$A,0))</f>
        <v>HR</v>
      </c>
    </row>
    <row r="334" spans="1:14" x14ac:dyDescent="0.3">
      <c r="A334" s="1" t="s">
        <v>1022</v>
      </c>
      <c r="B334" s="1" t="s">
        <v>71</v>
      </c>
      <c r="C334" s="1" t="s">
        <v>165</v>
      </c>
      <c r="D334" s="1" t="s">
        <v>15</v>
      </c>
      <c r="E334" s="1">
        <v>32</v>
      </c>
      <c r="F334" s="1" t="s">
        <v>31</v>
      </c>
      <c r="G334" s="1" t="s">
        <v>108</v>
      </c>
      <c r="H334" s="1" t="s">
        <v>1023</v>
      </c>
      <c r="I334" s="1">
        <v>75595</v>
      </c>
      <c r="J334" s="1" t="s">
        <v>19</v>
      </c>
      <c r="K334" s="1" t="s">
        <v>1024</v>
      </c>
      <c r="L334" s="1" t="s">
        <v>21</v>
      </c>
      <c r="M334" s="1" t="str">
        <f>VLOOKUP(F334,Departments!$A$2:$C$6,2,0)</f>
        <v>Sales</v>
      </c>
      <c r="N334" s="1" t="str">
        <f>INDEX(Departments!$B:$B,MATCH(Employees!F334,Departments!$A:$A,0))</f>
        <v>Sales</v>
      </c>
    </row>
    <row r="335" spans="1:14" x14ac:dyDescent="0.3">
      <c r="A335" s="1" t="s">
        <v>1025</v>
      </c>
      <c r="B335" s="1" t="s">
        <v>38</v>
      </c>
      <c r="C335" s="1" t="s">
        <v>83</v>
      </c>
      <c r="D335" s="1" t="s">
        <v>15</v>
      </c>
      <c r="E335" s="1">
        <v>46</v>
      </c>
      <c r="F335" s="1" t="s">
        <v>50</v>
      </c>
      <c r="G335" s="1" t="s">
        <v>17</v>
      </c>
      <c r="H335" s="1" t="s">
        <v>1026</v>
      </c>
      <c r="I335" s="1">
        <v>104179</v>
      </c>
      <c r="J335" s="1" t="s">
        <v>34</v>
      </c>
      <c r="K335" s="1" t="s">
        <v>1027</v>
      </c>
      <c r="L335" s="1" t="s">
        <v>36</v>
      </c>
      <c r="M335" s="1" t="str">
        <f>VLOOKUP(F335,Departments!$A$2:$C$6,2,0)</f>
        <v>Finance</v>
      </c>
      <c r="N335" s="1" t="str">
        <f>INDEX(Departments!$B:$B,MATCH(Employees!F335,Departments!$A:$A,0))</f>
        <v>Finance</v>
      </c>
    </row>
    <row r="336" spans="1:14" x14ac:dyDescent="0.3">
      <c r="A336" s="1" t="s">
        <v>1028</v>
      </c>
      <c r="B336" s="1" t="s">
        <v>44</v>
      </c>
      <c r="C336" s="1" t="s">
        <v>130</v>
      </c>
      <c r="D336" s="1" t="s">
        <v>15</v>
      </c>
      <c r="E336" s="1">
        <v>37</v>
      </c>
      <c r="F336" s="1" t="s">
        <v>16</v>
      </c>
      <c r="G336" s="1" t="s">
        <v>108</v>
      </c>
      <c r="H336" s="1" t="s">
        <v>1029</v>
      </c>
      <c r="I336" s="1">
        <v>46212</v>
      </c>
      <c r="J336" s="1" t="s">
        <v>19</v>
      </c>
      <c r="K336" s="1" t="s">
        <v>1030</v>
      </c>
      <c r="L336" s="1" t="s">
        <v>21</v>
      </c>
      <c r="M336" s="1" t="str">
        <f>VLOOKUP(F336,Departments!$A$2:$C$6,2,0)</f>
        <v>HR</v>
      </c>
      <c r="N336" s="1" t="str">
        <f>INDEX(Departments!$B:$B,MATCH(Employees!F336,Departments!$A:$A,0))</f>
        <v>HR</v>
      </c>
    </row>
    <row r="337" spans="1:14" x14ac:dyDescent="0.3">
      <c r="A337" s="1" t="s">
        <v>1031</v>
      </c>
      <c r="B337" s="1" t="s">
        <v>58</v>
      </c>
      <c r="C337" s="1" t="s">
        <v>90</v>
      </c>
      <c r="D337" s="1" t="s">
        <v>24</v>
      </c>
      <c r="E337" s="1">
        <v>47</v>
      </c>
      <c r="F337" s="1" t="s">
        <v>39</v>
      </c>
      <c r="G337" s="1" t="s">
        <v>40</v>
      </c>
      <c r="H337" s="1" t="s">
        <v>1032</v>
      </c>
      <c r="I337" s="1">
        <v>39091</v>
      </c>
      <c r="J337" s="1" t="s">
        <v>80</v>
      </c>
      <c r="K337" s="1" t="s">
        <v>1033</v>
      </c>
      <c r="L337" s="1" t="s">
        <v>21</v>
      </c>
      <c r="M337" s="1" t="str">
        <f>VLOOKUP(F337,Departments!$A$2:$C$6,2,0)</f>
        <v>Marketing</v>
      </c>
      <c r="N337" s="1" t="str">
        <f>INDEX(Departments!$B:$B,MATCH(Employees!F337,Departments!$A:$A,0))</f>
        <v>Marketing</v>
      </c>
    </row>
    <row r="338" spans="1:14" x14ac:dyDescent="0.3">
      <c r="A338" s="1" t="s">
        <v>1034</v>
      </c>
      <c r="B338" s="1" t="s">
        <v>30</v>
      </c>
      <c r="C338" s="1" t="s">
        <v>83</v>
      </c>
      <c r="D338" s="1" t="s">
        <v>24</v>
      </c>
      <c r="E338" s="1">
        <v>43</v>
      </c>
      <c r="F338" s="1" t="s">
        <v>31</v>
      </c>
      <c r="G338" s="1" t="s">
        <v>40</v>
      </c>
      <c r="H338" s="1" t="s">
        <v>1035</v>
      </c>
      <c r="I338" s="1">
        <v>73436</v>
      </c>
      <c r="J338" s="1" t="s">
        <v>60</v>
      </c>
      <c r="K338" s="1" t="s">
        <v>1036</v>
      </c>
      <c r="L338" s="1" t="s">
        <v>36</v>
      </c>
      <c r="M338" s="1" t="str">
        <f>VLOOKUP(F338,Departments!$A$2:$C$6,2,0)</f>
        <v>Sales</v>
      </c>
      <c r="N338" s="1" t="str">
        <f>INDEX(Departments!$B:$B,MATCH(Employees!F338,Departments!$A:$A,0))</f>
        <v>Sales</v>
      </c>
    </row>
    <row r="339" spans="1:14" x14ac:dyDescent="0.3">
      <c r="A339" s="1" t="s">
        <v>1037</v>
      </c>
      <c r="B339" s="1" t="s">
        <v>143</v>
      </c>
      <c r="C339" s="1" t="s">
        <v>78</v>
      </c>
      <c r="D339" s="1" t="s">
        <v>15</v>
      </c>
      <c r="E339" s="1">
        <v>57</v>
      </c>
      <c r="F339" s="1" t="s">
        <v>25</v>
      </c>
      <c r="G339" s="1" t="s">
        <v>40</v>
      </c>
      <c r="H339" s="1" t="s">
        <v>1038</v>
      </c>
      <c r="I339" s="1">
        <v>62199</v>
      </c>
      <c r="J339" s="1" t="s">
        <v>60</v>
      </c>
      <c r="K339" s="1" t="s">
        <v>1039</v>
      </c>
      <c r="L339" s="1" t="s">
        <v>21</v>
      </c>
      <c r="M339" s="1" t="str">
        <f>VLOOKUP(F339,Departments!$A$2:$C$6,2,0)</f>
        <v>IT</v>
      </c>
      <c r="N339" s="1" t="str">
        <f>INDEX(Departments!$B:$B,MATCH(Employees!F339,Departments!$A:$A,0))</f>
        <v>IT</v>
      </c>
    </row>
    <row r="340" spans="1:14" x14ac:dyDescent="0.3">
      <c r="A340" s="1" t="s">
        <v>1040</v>
      </c>
      <c r="B340" s="1" t="s">
        <v>54</v>
      </c>
      <c r="C340" s="1" t="s">
        <v>95</v>
      </c>
      <c r="D340" s="1" t="s">
        <v>24</v>
      </c>
      <c r="E340" s="1">
        <v>41</v>
      </c>
      <c r="F340" s="1" t="s">
        <v>50</v>
      </c>
      <c r="G340" s="1" t="s">
        <v>26</v>
      </c>
      <c r="H340" s="1" t="s">
        <v>1041</v>
      </c>
      <c r="I340" s="1">
        <v>53338</v>
      </c>
      <c r="J340" s="1" t="s">
        <v>34</v>
      </c>
      <c r="K340" s="1" t="s">
        <v>1042</v>
      </c>
      <c r="L340" s="1" t="s">
        <v>21</v>
      </c>
      <c r="M340" s="1" t="str">
        <f>VLOOKUP(F340,Departments!$A$2:$C$6,2,0)</f>
        <v>Finance</v>
      </c>
      <c r="N340" s="1" t="str">
        <f>INDEX(Departments!$B:$B,MATCH(Employees!F340,Departments!$A:$A,0))</f>
        <v>Finance</v>
      </c>
    </row>
    <row r="341" spans="1:14" x14ac:dyDescent="0.3">
      <c r="A341" s="1" t="s">
        <v>1043</v>
      </c>
      <c r="B341" s="1" t="s">
        <v>94</v>
      </c>
      <c r="C341" s="1" t="s">
        <v>45</v>
      </c>
      <c r="D341" s="1" t="s">
        <v>15</v>
      </c>
      <c r="E341" s="1">
        <v>38</v>
      </c>
      <c r="F341" s="1" t="s">
        <v>25</v>
      </c>
      <c r="G341" s="1" t="s">
        <v>108</v>
      </c>
      <c r="H341" s="1" t="s">
        <v>1044</v>
      </c>
      <c r="I341" s="1">
        <v>64542</v>
      </c>
      <c r="J341" s="1" t="s">
        <v>65</v>
      </c>
      <c r="K341" s="1" t="s">
        <v>1045</v>
      </c>
      <c r="L341" s="1" t="s">
        <v>21</v>
      </c>
      <c r="M341" s="1" t="str">
        <f>VLOOKUP(F341,Departments!$A$2:$C$6,2,0)</f>
        <v>IT</v>
      </c>
      <c r="N341" s="1" t="str">
        <f>INDEX(Departments!$B:$B,MATCH(Employees!F341,Departments!$A:$A,0))</f>
        <v>IT</v>
      </c>
    </row>
    <row r="342" spans="1:14" x14ac:dyDescent="0.3">
      <c r="A342" s="1" t="s">
        <v>1046</v>
      </c>
      <c r="B342" s="1" t="s">
        <v>58</v>
      </c>
      <c r="C342" s="1" t="s">
        <v>130</v>
      </c>
      <c r="D342" s="1" t="s">
        <v>15</v>
      </c>
      <c r="E342" s="1">
        <v>59</v>
      </c>
      <c r="F342" s="1" t="s">
        <v>31</v>
      </c>
      <c r="G342" s="1" t="s">
        <v>108</v>
      </c>
      <c r="H342" s="1" t="s">
        <v>1047</v>
      </c>
      <c r="I342" s="1">
        <v>38117</v>
      </c>
      <c r="J342" s="1" t="s">
        <v>34</v>
      </c>
      <c r="K342" s="1" t="s">
        <v>1048</v>
      </c>
      <c r="L342" s="1" t="s">
        <v>21</v>
      </c>
      <c r="M342" s="1" t="str">
        <f>VLOOKUP(F342,Departments!$A$2:$C$6,2,0)</f>
        <v>Sales</v>
      </c>
      <c r="N342" s="1" t="str">
        <f>INDEX(Departments!$B:$B,MATCH(Employees!F342,Departments!$A:$A,0))</f>
        <v>Sales</v>
      </c>
    </row>
    <row r="343" spans="1:14" x14ac:dyDescent="0.3">
      <c r="A343" s="1" t="s">
        <v>1049</v>
      </c>
      <c r="B343" s="1" t="s">
        <v>30</v>
      </c>
      <c r="C343" s="1" t="s">
        <v>83</v>
      </c>
      <c r="D343" s="1" t="s">
        <v>24</v>
      </c>
      <c r="E343" s="1">
        <v>25</v>
      </c>
      <c r="F343" s="1" t="s">
        <v>16</v>
      </c>
      <c r="G343" s="1" t="s">
        <v>108</v>
      </c>
      <c r="H343" s="1" t="s">
        <v>1050</v>
      </c>
      <c r="I343" s="1">
        <v>101879</v>
      </c>
      <c r="J343" s="1" t="s">
        <v>19</v>
      </c>
      <c r="K343" s="1" t="s">
        <v>1051</v>
      </c>
      <c r="L343" s="1" t="s">
        <v>21</v>
      </c>
      <c r="M343" s="1" t="str">
        <f>VLOOKUP(F343,Departments!$A$2:$C$6,2,0)</f>
        <v>HR</v>
      </c>
      <c r="N343" s="1" t="str">
        <f>INDEX(Departments!$B:$B,MATCH(Employees!F343,Departments!$A:$A,0))</f>
        <v>HR</v>
      </c>
    </row>
    <row r="344" spans="1:14" x14ac:dyDescent="0.3">
      <c r="A344" s="1" t="s">
        <v>1052</v>
      </c>
      <c r="B344" s="1" t="s">
        <v>71</v>
      </c>
      <c r="C344" s="1" t="s">
        <v>23</v>
      </c>
      <c r="D344" s="1" t="s">
        <v>24</v>
      </c>
      <c r="E344" s="1">
        <v>43</v>
      </c>
      <c r="F344" s="1" t="s">
        <v>25</v>
      </c>
      <c r="G344" s="1" t="s">
        <v>108</v>
      </c>
      <c r="H344" s="1" t="s">
        <v>1053</v>
      </c>
      <c r="I344" s="1">
        <v>78777</v>
      </c>
      <c r="J344" s="1" t="s">
        <v>65</v>
      </c>
      <c r="K344" s="1" t="s">
        <v>1054</v>
      </c>
      <c r="L344" s="1" t="s">
        <v>21</v>
      </c>
      <c r="M344" s="1" t="str">
        <f>VLOOKUP(F344,Departments!$A$2:$C$6,2,0)</f>
        <v>IT</v>
      </c>
      <c r="N344" s="1" t="str">
        <f>INDEX(Departments!$B:$B,MATCH(Employees!F344,Departments!$A:$A,0))</f>
        <v>IT</v>
      </c>
    </row>
    <row r="345" spans="1:14" x14ac:dyDescent="0.3">
      <c r="A345" s="1" t="s">
        <v>1055</v>
      </c>
      <c r="B345" s="1" t="s">
        <v>30</v>
      </c>
      <c r="C345" s="1" t="s">
        <v>95</v>
      </c>
      <c r="D345" s="1" t="s">
        <v>15</v>
      </c>
      <c r="E345" s="1">
        <v>33</v>
      </c>
      <c r="F345" s="1" t="s">
        <v>16</v>
      </c>
      <c r="G345" s="1" t="s">
        <v>108</v>
      </c>
      <c r="H345" s="1" t="s">
        <v>1056</v>
      </c>
      <c r="I345" s="1">
        <v>43206</v>
      </c>
      <c r="J345" s="1" t="s">
        <v>65</v>
      </c>
      <c r="K345" s="1" t="s">
        <v>1057</v>
      </c>
      <c r="L345" s="1" t="s">
        <v>36</v>
      </c>
      <c r="M345" s="1" t="str">
        <f>VLOOKUP(F345,Departments!$A$2:$C$6,2,0)</f>
        <v>HR</v>
      </c>
      <c r="N345" s="1" t="str">
        <f>INDEX(Departments!$B:$B,MATCH(Employees!F345,Departments!$A:$A,0))</f>
        <v>HR</v>
      </c>
    </row>
    <row r="346" spans="1:14" x14ac:dyDescent="0.3">
      <c r="A346" s="1" t="s">
        <v>1058</v>
      </c>
      <c r="B346" s="1" t="s">
        <v>71</v>
      </c>
      <c r="C346" s="1" t="s">
        <v>90</v>
      </c>
      <c r="D346" s="1" t="s">
        <v>15</v>
      </c>
      <c r="E346" s="1">
        <v>42</v>
      </c>
      <c r="F346" s="1" t="s">
        <v>50</v>
      </c>
      <c r="G346" s="1" t="s">
        <v>26</v>
      </c>
      <c r="H346" s="1" t="s">
        <v>1059</v>
      </c>
      <c r="I346" s="1">
        <v>80745</v>
      </c>
      <c r="J346" s="1" t="s">
        <v>80</v>
      </c>
      <c r="K346" s="1" t="s">
        <v>1060</v>
      </c>
      <c r="L346" s="1" t="s">
        <v>36</v>
      </c>
      <c r="M346" s="1" t="str">
        <f>VLOOKUP(F346,Departments!$A$2:$C$6,2,0)</f>
        <v>Finance</v>
      </c>
      <c r="N346" s="1" t="str">
        <f>INDEX(Departments!$B:$B,MATCH(Employees!F346,Departments!$A:$A,0))</f>
        <v>Finance</v>
      </c>
    </row>
    <row r="347" spans="1:14" x14ac:dyDescent="0.3">
      <c r="A347" s="1" t="s">
        <v>1061</v>
      </c>
      <c r="B347" s="1" t="s">
        <v>44</v>
      </c>
      <c r="C347" s="1" t="s">
        <v>83</v>
      </c>
      <c r="D347" s="1" t="s">
        <v>24</v>
      </c>
      <c r="E347" s="1">
        <v>24</v>
      </c>
      <c r="F347" s="1" t="s">
        <v>50</v>
      </c>
      <c r="G347" s="1" t="s">
        <v>108</v>
      </c>
      <c r="H347" s="1" t="s">
        <v>1062</v>
      </c>
      <c r="I347" s="1">
        <v>67559</v>
      </c>
      <c r="J347" s="1" t="s">
        <v>34</v>
      </c>
      <c r="K347" s="1" t="s">
        <v>1063</v>
      </c>
      <c r="L347" s="1" t="s">
        <v>21</v>
      </c>
      <c r="M347" s="1" t="str">
        <f>VLOOKUP(F347,Departments!$A$2:$C$6,2,0)</f>
        <v>Finance</v>
      </c>
      <c r="N347" s="1" t="str">
        <f>INDEX(Departments!$B:$B,MATCH(Employees!F347,Departments!$A:$A,0))</f>
        <v>Finance</v>
      </c>
    </row>
    <row r="348" spans="1:14" x14ac:dyDescent="0.3">
      <c r="A348" s="1" t="s">
        <v>1064</v>
      </c>
      <c r="B348" s="1" t="s">
        <v>58</v>
      </c>
      <c r="C348" s="1" t="s">
        <v>78</v>
      </c>
      <c r="D348" s="1" t="s">
        <v>24</v>
      </c>
      <c r="E348" s="1">
        <v>47</v>
      </c>
      <c r="F348" s="1" t="s">
        <v>39</v>
      </c>
      <c r="G348" s="1" t="s">
        <v>26</v>
      </c>
      <c r="H348" s="1" t="s">
        <v>1065</v>
      </c>
      <c r="I348" s="1">
        <v>106379</v>
      </c>
      <c r="J348" s="1" t="s">
        <v>34</v>
      </c>
      <c r="K348" s="1" t="s">
        <v>1066</v>
      </c>
      <c r="L348" s="1" t="s">
        <v>21</v>
      </c>
      <c r="M348" s="1" t="str">
        <f>VLOOKUP(F348,Departments!$A$2:$C$6,2,0)</f>
        <v>Marketing</v>
      </c>
      <c r="N348" s="1" t="str">
        <f>INDEX(Departments!$B:$B,MATCH(Employees!F348,Departments!$A:$A,0))</f>
        <v>Marketing</v>
      </c>
    </row>
    <row r="349" spans="1:14" x14ac:dyDescent="0.3">
      <c r="A349" s="1" t="s">
        <v>1067</v>
      </c>
      <c r="B349" s="1" t="s">
        <v>13</v>
      </c>
      <c r="C349" s="1" t="s">
        <v>63</v>
      </c>
      <c r="D349" s="1" t="s">
        <v>24</v>
      </c>
      <c r="E349" s="1">
        <v>30</v>
      </c>
      <c r="F349" s="1" t="s">
        <v>31</v>
      </c>
      <c r="G349" s="1" t="s">
        <v>26</v>
      </c>
      <c r="H349" s="1" t="s">
        <v>1068</v>
      </c>
      <c r="I349" s="1">
        <v>103395</v>
      </c>
      <c r="J349" s="1" t="s">
        <v>19</v>
      </c>
      <c r="K349" s="1" t="s">
        <v>1069</v>
      </c>
      <c r="L349" s="1" t="s">
        <v>36</v>
      </c>
      <c r="M349" s="1" t="str">
        <f>VLOOKUP(F349,Departments!$A$2:$C$6,2,0)</f>
        <v>Sales</v>
      </c>
      <c r="N349" s="1" t="str">
        <f>INDEX(Departments!$B:$B,MATCH(Employees!F349,Departments!$A:$A,0))</f>
        <v>Sales</v>
      </c>
    </row>
    <row r="350" spans="1:14" x14ac:dyDescent="0.3">
      <c r="A350" s="1" t="s">
        <v>1070</v>
      </c>
      <c r="B350" s="1" t="s">
        <v>94</v>
      </c>
      <c r="C350" s="1" t="s">
        <v>130</v>
      </c>
      <c r="D350" s="1" t="s">
        <v>15</v>
      </c>
      <c r="E350" s="1">
        <v>33</v>
      </c>
      <c r="F350" s="1" t="s">
        <v>39</v>
      </c>
      <c r="G350" s="1" t="s">
        <v>32</v>
      </c>
      <c r="H350" s="1" t="s">
        <v>1071</v>
      </c>
      <c r="I350" s="1">
        <v>76025</v>
      </c>
      <c r="J350" s="1" t="s">
        <v>34</v>
      </c>
      <c r="K350" s="1" t="s">
        <v>1072</v>
      </c>
      <c r="L350" s="1" t="s">
        <v>36</v>
      </c>
      <c r="M350" s="1" t="str">
        <f>VLOOKUP(F350,Departments!$A$2:$C$6,2,0)</f>
        <v>Marketing</v>
      </c>
      <c r="N350" s="1" t="str">
        <f>INDEX(Departments!$B:$B,MATCH(Employees!F350,Departments!$A:$A,0))</f>
        <v>Marketing</v>
      </c>
    </row>
    <row r="351" spans="1:14" x14ac:dyDescent="0.3">
      <c r="A351" s="1" t="s">
        <v>1073</v>
      </c>
      <c r="B351" s="1" t="s">
        <v>49</v>
      </c>
      <c r="C351" s="1" t="s">
        <v>14</v>
      </c>
      <c r="D351" s="1" t="s">
        <v>15</v>
      </c>
      <c r="E351" s="1">
        <v>33</v>
      </c>
      <c r="F351" s="1" t="s">
        <v>31</v>
      </c>
      <c r="G351" s="1" t="s">
        <v>17</v>
      </c>
      <c r="H351" s="1" t="s">
        <v>1074</v>
      </c>
      <c r="I351" s="1">
        <v>69952</v>
      </c>
      <c r="J351" s="1" t="s">
        <v>60</v>
      </c>
      <c r="K351" s="1" t="s">
        <v>1075</v>
      </c>
      <c r="L351" s="1" t="s">
        <v>36</v>
      </c>
      <c r="M351" s="1" t="str">
        <f>VLOOKUP(F351,Departments!$A$2:$C$6,2,0)</f>
        <v>Sales</v>
      </c>
      <c r="N351" s="1" t="str">
        <f>INDEX(Departments!$B:$B,MATCH(Employees!F351,Departments!$A:$A,0))</f>
        <v>Sales</v>
      </c>
    </row>
    <row r="352" spans="1:14" x14ac:dyDescent="0.3">
      <c r="A352" s="1" t="s">
        <v>1076</v>
      </c>
      <c r="B352" s="1" t="s">
        <v>49</v>
      </c>
      <c r="C352" s="1" t="s">
        <v>45</v>
      </c>
      <c r="D352" s="1" t="s">
        <v>15</v>
      </c>
      <c r="E352" s="1">
        <v>42</v>
      </c>
      <c r="F352" s="1" t="s">
        <v>16</v>
      </c>
      <c r="G352" s="1" t="s">
        <v>26</v>
      </c>
      <c r="H352" s="1" t="s">
        <v>1077</v>
      </c>
      <c r="I352" s="1">
        <v>108637</v>
      </c>
      <c r="J352" s="1" t="s">
        <v>34</v>
      </c>
      <c r="K352" s="1" t="s">
        <v>1078</v>
      </c>
      <c r="L352" s="1" t="s">
        <v>36</v>
      </c>
      <c r="M352" s="1" t="str">
        <f>VLOOKUP(F352,Departments!$A$2:$C$6,2,0)</f>
        <v>HR</v>
      </c>
      <c r="N352" s="1" t="str">
        <f>INDEX(Departments!$B:$B,MATCH(Employees!F352,Departments!$A:$A,0))</f>
        <v>HR</v>
      </c>
    </row>
    <row r="353" spans="1:14" x14ac:dyDescent="0.3">
      <c r="A353" s="1" t="s">
        <v>1079</v>
      </c>
      <c r="B353" s="1" t="s">
        <v>44</v>
      </c>
      <c r="C353" s="1" t="s">
        <v>90</v>
      </c>
      <c r="D353" s="1" t="s">
        <v>15</v>
      </c>
      <c r="E353" s="1">
        <v>27</v>
      </c>
      <c r="F353" s="1" t="s">
        <v>31</v>
      </c>
      <c r="G353" s="1" t="s">
        <v>32</v>
      </c>
      <c r="H353" s="1" t="s">
        <v>1080</v>
      </c>
      <c r="I353" s="1">
        <v>65699</v>
      </c>
      <c r="J353" s="1" t="s">
        <v>34</v>
      </c>
      <c r="K353" s="1" t="s">
        <v>1081</v>
      </c>
      <c r="L353" s="1" t="s">
        <v>21</v>
      </c>
      <c r="M353" s="1" t="str">
        <f>VLOOKUP(F353,Departments!$A$2:$C$6,2,0)</f>
        <v>Sales</v>
      </c>
      <c r="N353" s="1" t="str">
        <f>INDEX(Departments!$B:$B,MATCH(Employees!F353,Departments!$A:$A,0))</f>
        <v>Sales</v>
      </c>
    </row>
    <row r="354" spans="1:14" x14ac:dyDescent="0.3">
      <c r="A354" s="1" t="s">
        <v>1082</v>
      </c>
      <c r="B354" s="1" t="s">
        <v>143</v>
      </c>
      <c r="C354" s="1" t="s">
        <v>63</v>
      </c>
      <c r="D354" s="1" t="s">
        <v>24</v>
      </c>
      <c r="E354" s="1">
        <v>50</v>
      </c>
      <c r="F354" s="1" t="s">
        <v>16</v>
      </c>
      <c r="G354" s="1" t="s">
        <v>40</v>
      </c>
      <c r="H354" s="1" t="s">
        <v>1083</v>
      </c>
      <c r="I354" s="1">
        <v>90340</v>
      </c>
      <c r="J354" s="1" t="s">
        <v>19</v>
      </c>
      <c r="K354" s="1" t="s">
        <v>1084</v>
      </c>
      <c r="L354" s="1" t="s">
        <v>21</v>
      </c>
      <c r="M354" s="1" t="str">
        <f>VLOOKUP(F354,Departments!$A$2:$C$6,2,0)</f>
        <v>HR</v>
      </c>
      <c r="N354" s="1" t="str">
        <f>INDEX(Departments!$B:$B,MATCH(Employees!F354,Departments!$A:$A,0))</f>
        <v>HR</v>
      </c>
    </row>
    <row r="355" spans="1:14" x14ac:dyDescent="0.3">
      <c r="A355" s="1" t="s">
        <v>1085</v>
      </c>
      <c r="B355" s="1" t="s">
        <v>71</v>
      </c>
      <c r="C355" s="1" t="s">
        <v>95</v>
      </c>
      <c r="D355" s="1" t="s">
        <v>15</v>
      </c>
      <c r="E355" s="1">
        <v>31</v>
      </c>
      <c r="F355" s="1" t="s">
        <v>25</v>
      </c>
      <c r="G355" s="1" t="s">
        <v>40</v>
      </c>
      <c r="H355" s="1" t="s">
        <v>1086</v>
      </c>
      <c r="I355" s="1">
        <v>114818</v>
      </c>
      <c r="J355" s="1" t="s">
        <v>34</v>
      </c>
      <c r="K355" s="1" t="s">
        <v>1087</v>
      </c>
      <c r="L355" s="1" t="s">
        <v>36</v>
      </c>
      <c r="M355" s="1" t="str">
        <f>VLOOKUP(F355,Departments!$A$2:$C$6,2,0)</f>
        <v>IT</v>
      </c>
      <c r="N355" s="1" t="str">
        <f>INDEX(Departments!$B:$B,MATCH(Employees!F355,Departments!$A:$A,0))</f>
        <v>IT</v>
      </c>
    </row>
    <row r="356" spans="1:14" x14ac:dyDescent="0.3">
      <c r="A356" s="1" t="s">
        <v>1088</v>
      </c>
      <c r="B356" s="1" t="s">
        <v>54</v>
      </c>
      <c r="C356" s="1" t="s">
        <v>14</v>
      </c>
      <c r="D356" s="1" t="s">
        <v>15</v>
      </c>
      <c r="E356" s="1">
        <v>39</v>
      </c>
      <c r="F356" s="1" t="s">
        <v>31</v>
      </c>
      <c r="G356" s="1" t="s">
        <v>108</v>
      </c>
      <c r="H356" s="1" t="s">
        <v>1089</v>
      </c>
      <c r="I356" s="1">
        <v>82417</v>
      </c>
      <c r="J356" s="1" t="s">
        <v>34</v>
      </c>
      <c r="K356" s="1" t="s">
        <v>1090</v>
      </c>
      <c r="L356" s="1" t="s">
        <v>36</v>
      </c>
      <c r="M356" s="1" t="str">
        <f>VLOOKUP(F356,Departments!$A$2:$C$6,2,0)</f>
        <v>Sales</v>
      </c>
      <c r="N356" s="1" t="str">
        <f>INDEX(Departments!$B:$B,MATCH(Employees!F356,Departments!$A:$A,0))</f>
        <v>Sales</v>
      </c>
    </row>
    <row r="357" spans="1:14" x14ac:dyDescent="0.3">
      <c r="A357" s="1" t="s">
        <v>1091</v>
      </c>
      <c r="B357" s="1" t="s">
        <v>54</v>
      </c>
      <c r="C357" s="1" t="s">
        <v>90</v>
      </c>
      <c r="D357" s="1" t="s">
        <v>24</v>
      </c>
      <c r="E357" s="1">
        <v>38</v>
      </c>
      <c r="F357" s="1" t="s">
        <v>39</v>
      </c>
      <c r="G357" s="1" t="s">
        <v>17</v>
      </c>
      <c r="H357" s="1" t="s">
        <v>1092</v>
      </c>
      <c r="I357" s="1">
        <v>116569</v>
      </c>
      <c r="J357" s="1" t="s">
        <v>80</v>
      </c>
      <c r="K357" s="1" t="s">
        <v>1093</v>
      </c>
      <c r="L357" s="1" t="s">
        <v>21</v>
      </c>
      <c r="M357" s="1" t="str">
        <f>VLOOKUP(F357,Departments!$A$2:$C$6,2,0)</f>
        <v>Marketing</v>
      </c>
      <c r="N357" s="1" t="str">
        <f>INDEX(Departments!$B:$B,MATCH(Employees!F357,Departments!$A:$A,0))</f>
        <v>Marketing</v>
      </c>
    </row>
    <row r="358" spans="1:14" x14ac:dyDescent="0.3">
      <c r="A358" s="1" t="s">
        <v>1094</v>
      </c>
      <c r="B358" s="1" t="s">
        <v>58</v>
      </c>
      <c r="C358" s="1" t="s">
        <v>83</v>
      </c>
      <c r="D358" s="1" t="s">
        <v>24</v>
      </c>
      <c r="E358" s="1">
        <v>37</v>
      </c>
      <c r="F358" s="1" t="s">
        <v>50</v>
      </c>
      <c r="G358" s="1" t="s">
        <v>26</v>
      </c>
      <c r="H358" s="1" t="s">
        <v>1095</v>
      </c>
      <c r="I358" s="1">
        <v>98489</v>
      </c>
      <c r="J358" s="1" t="s">
        <v>60</v>
      </c>
      <c r="K358" s="1" t="s">
        <v>1096</v>
      </c>
      <c r="L358" s="1" t="s">
        <v>36</v>
      </c>
      <c r="M358" s="1" t="str">
        <f>VLOOKUP(F358,Departments!$A$2:$C$6,2,0)</f>
        <v>Finance</v>
      </c>
      <c r="N358" s="1" t="str">
        <f>INDEX(Departments!$B:$B,MATCH(Employees!F358,Departments!$A:$A,0))</f>
        <v>Finance</v>
      </c>
    </row>
    <row r="359" spans="1:14" x14ac:dyDescent="0.3">
      <c r="A359" s="1" t="s">
        <v>1097</v>
      </c>
      <c r="B359" s="1" t="s">
        <v>58</v>
      </c>
      <c r="C359" s="1" t="s">
        <v>95</v>
      </c>
      <c r="D359" s="1" t="s">
        <v>15</v>
      </c>
      <c r="E359" s="1">
        <v>58</v>
      </c>
      <c r="F359" s="1" t="s">
        <v>31</v>
      </c>
      <c r="G359" s="1" t="s">
        <v>26</v>
      </c>
      <c r="H359" s="1" t="s">
        <v>1098</v>
      </c>
      <c r="I359" s="1">
        <v>60665</v>
      </c>
      <c r="J359" s="1" t="s">
        <v>60</v>
      </c>
      <c r="K359" s="1" t="s">
        <v>1099</v>
      </c>
      <c r="L359" s="1" t="s">
        <v>36</v>
      </c>
      <c r="M359" s="1" t="str">
        <f>VLOOKUP(F359,Departments!$A$2:$C$6,2,0)</f>
        <v>Sales</v>
      </c>
      <c r="N359" s="1" t="str">
        <f>INDEX(Departments!$B:$B,MATCH(Employees!F359,Departments!$A:$A,0))</f>
        <v>Sales</v>
      </c>
    </row>
    <row r="360" spans="1:14" x14ac:dyDescent="0.3">
      <c r="A360" s="1" t="s">
        <v>1100</v>
      </c>
      <c r="B360" s="1" t="s">
        <v>30</v>
      </c>
      <c r="C360" s="1" t="s">
        <v>130</v>
      </c>
      <c r="D360" s="1" t="s">
        <v>24</v>
      </c>
      <c r="E360" s="1">
        <v>59</v>
      </c>
      <c r="F360" s="1" t="s">
        <v>25</v>
      </c>
      <c r="G360" s="1" t="s">
        <v>40</v>
      </c>
      <c r="H360" s="1" t="s">
        <v>1101</v>
      </c>
      <c r="I360" s="1">
        <v>91685</v>
      </c>
      <c r="J360" s="1" t="s">
        <v>19</v>
      </c>
      <c r="K360" s="1" t="s">
        <v>1102</v>
      </c>
      <c r="L360" s="1" t="s">
        <v>36</v>
      </c>
      <c r="M360" s="1" t="str">
        <f>VLOOKUP(F360,Departments!$A$2:$C$6,2,0)</f>
        <v>IT</v>
      </c>
      <c r="N360" s="1" t="str">
        <f>INDEX(Departments!$B:$B,MATCH(Employees!F360,Departments!$A:$A,0))</f>
        <v>IT</v>
      </c>
    </row>
    <row r="361" spans="1:14" x14ac:dyDescent="0.3">
      <c r="A361" s="1" t="s">
        <v>1103</v>
      </c>
      <c r="B361" s="1" t="s">
        <v>58</v>
      </c>
      <c r="C361" s="1" t="s">
        <v>130</v>
      </c>
      <c r="D361" s="1" t="s">
        <v>15</v>
      </c>
      <c r="E361" s="1">
        <v>55</v>
      </c>
      <c r="F361" s="1" t="s">
        <v>50</v>
      </c>
      <c r="G361" s="1" t="s">
        <v>108</v>
      </c>
      <c r="H361" s="1" t="s">
        <v>1104</v>
      </c>
      <c r="I361" s="1">
        <v>76843</v>
      </c>
      <c r="J361" s="1" t="s">
        <v>60</v>
      </c>
      <c r="K361" s="1" t="s">
        <v>1105</v>
      </c>
      <c r="L361" s="1" t="s">
        <v>21</v>
      </c>
      <c r="M361" s="1" t="str">
        <f>VLOOKUP(F361,Departments!$A$2:$C$6,2,0)</f>
        <v>Finance</v>
      </c>
      <c r="N361" s="1" t="str">
        <f>INDEX(Departments!$B:$B,MATCH(Employees!F361,Departments!$A:$A,0))</f>
        <v>Finance</v>
      </c>
    </row>
    <row r="362" spans="1:14" x14ac:dyDescent="0.3">
      <c r="A362" s="1" t="s">
        <v>1106</v>
      </c>
      <c r="B362" s="1" t="s">
        <v>58</v>
      </c>
      <c r="C362" s="1" t="s">
        <v>14</v>
      </c>
      <c r="D362" s="1" t="s">
        <v>24</v>
      </c>
      <c r="E362" s="1">
        <v>35</v>
      </c>
      <c r="F362" s="1" t="s">
        <v>39</v>
      </c>
      <c r="G362" s="1" t="s">
        <v>40</v>
      </c>
      <c r="H362" s="1" t="s">
        <v>1107</v>
      </c>
      <c r="I362" s="1">
        <v>91860</v>
      </c>
      <c r="J362" s="1" t="s">
        <v>60</v>
      </c>
      <c r="K362" s="1" t="s">
        <v>1108</v>
      </c>
      <c r="L362" s="1" t="s">
        <v>21</v>
      </c>
      <c r="M362" s="1" t="str">
        <f>VLOOKUP(F362,Departments!$A$2:$C$6,2,0)</f>
        <v>Marketing</v>
      </c>
      <c r="N362" s="1" t="str">
        <f>INDEX(Departments!$B:$B,MATCH(Employees!F362,Departments!$A:$A,0))</f>
        <v>Marketing</v>
      </c>
    </row>
    <row r="363" spans="1:14" x14ac:dyDescent="0.3">
      <c r="A363" s="1" t="s">
        <v>1109</v>
      </c>
      <c r="B363" s="1" t="s">
        <v>71</v>
      </c>
      <c r="C363" s="1" t="s">
        <v>14</v>
      </c>
      <c r="D363" s="1" t="s">
        <v>24</v>
      </c>
      <c r="E363" s="1">
        <v>60</v>
      </c>
      <c r="F363" s="1" t="s">
        <v>16</v>
      </c>
      <c r="G363" s="1" t="s">
        <v>17</v>
      </c>
      <c r="H363" s="1" t="s">
        <v>1110</v>
      </c>
      <c r="I363" s="1">
        <v>117041</v>
      </c>
      <c r="J363" s="1" t="s">
        <v>19</v>
      </c>
      <c r="K363" s="1" t="s">
        <v>1111</v>
      </c>
      <c r="L363" s="1" t="s">
        <v>36</v>
      </c>
      <c r="M363" s="1" t="str">
        <f>VLOOKUP(F363,Departments!$A$2:$C$6,2,0)</f>
        <v>HR</v>
      </c>
      <c r="N363" s="1" t="str">
        <f>INDEX(Departments!$B:$B,MATCH(Employees!F363,Departments!$A:$A,0))</f>
        <v>HR</v>
      </c>
    </row>
    <row r="364" spans="1:14" x14ac:dyDescent="0.3">
      <c r="A364" s="1" t="s">
        <v>1112</v>
      </c>
      <c r="B364" s="1" t="s">
        <v>13</v>
      </c>
      <c r="C364" s="1" t="s">
        <v>14</v>
      </c>
      <c r="D364" s="1" t="s">
        <v>24</v>
      </c>
      <c r="E364" s="1">
        <v>45</v>
      </c>
      <c r="F364" s="1" t="s">
        <v>31</v>
      </c>
      <c r="G364" s="1" t="s">
        <v>108</v>
      </c>
      <c r="H364" s="1" t="s">
        <v>1113</v>
      </c>
      <c r="I364" s="1">
        <v>93769</v>
      </c>
      <c r="J364" s="1" t="s">
        <v>80</v>
      </c>
      <c r="K364" s="1" t="s">
        <v>1114</v>
      </c>
      <c r="L364" s="1" t="s">
        <v>21</v>
      </c>
      <c r="M364" s="1" t="str">
        <f>VLOOKUP(F364,Departments!$A$2:$C$6,2,0)</f>
        <v>Sales</v>
      </c>
      <c r="N364" s="1" t="str">
        <f>INDEX(Departments!$B:$B,MATCH(Employees!F364,Departments!$A:$A,0))</f>
        <v>Sales</v>
      </c>
    </row>
    <row r="365" spans="1:14" x14ac:dyDescent="0.3">
      <c r="A365" s="1" t="s">
        <v>1115</v>
      </c>
      <c r="B365" s="1" t="s">
        <v>143</v>
      </c>
      <c r="C365" s="1" t="s">
        <v>165</v>
      </c>
      <c r="D365" s="1" t="s">
        <v>24</v>
      </c>
      <c r="E365" s="1">
        <v>37</v>
      </c>
      <c r="F365" s="1" t="s">
        <v>50</v>
      </c>
      <c r="G365" s="1" t="s">
        <v>108</v>
      </c>
      <c r="H365" s="1" t="s">
        <v>1116</v>
      </c>
      <c r="I365" s="1">
        <v>43224</v>
      </c>
      <c r="J365" s="1" t="s">
        <v>34</v>
      </c>
      <c r="K365" s="1" t="s">
        <v>1117</v>
      </c>
      <c r="L365" s="1" t="s">
        <v>21</v>
      </c>
      <c r="M365" s="1" t="str">
        <f>VLOOKUP(F365,Departments!$A$2:$C$6,2,0)</f>
        <v>Finance</v>
      </c>
      <c r="N365" s="1" t="str">
        <f>INDEX(Departments!$B:$B,MATCH(Employees!F365,Departments!$A:$A,0))</f>
        <v>Finance</v>
      </c>
    </row>
    <row r="366" spans="1:14" x14ac:dyDescent="0.3">
      <c r="A366" s="1" t="s">
        <v>1118</v>
      </c>
      <c r="B366" s="1" t="s">
        <v>143</v>
      </c>
      <c r="C366" s="1" t="s">
        <v>14</v>
      </c>
      <c r="D366" s="1" t="s">
        <v>24</v>
      </c>
      <c r="E366" s="1">
        <v>43</v>
      </c>
      <c r="F366" s="1" t="s">
        <v>50</v>
      </c>
      <c r="G366" s="1" t="s">
        <v>26</v>
      </c>
      <c r="H366" s="1" t="s">
        <v>1119</v>
      </c>
      <c r="I366" s="1">
        <v>101866</v>
      </c>
      <c r="J366" s="1" t="s">
        <v>80</v>
      </c>
      <c r="K366" s="1" t="s">
        <v>1120</v>
      </c>
      <c r="L366" s="1" t="s">
        <v>36</v>
      </c>
      <c r="M366" s="1" t="str">
        <f>VLOOKUP(F366,Departments!$A$2:$C$6,2,0)</f>
        <v>Finance</v>
      </c>
      <c r="N366" s="1" t="str">
        <f>INDEX(Departments!$B:$B,MATCH(Employees!F366,Departments!$A:$A,0))</f>
        <v>Finance</v>
      </c>
    </row>
    <row r="367" spans="1:14" x14ac:dyDescent="0.3">
      <c r="A367" s="1" t="s">
        <v>1121</v>
      </c>
      <c r="B367" s="1" t="s">
        <v>49</v>
      </c>
      <c r="C367" s="1" t="s">
        <v>95</v>
      </c>
      <c r="D367" s="1" t="s">
        <v>15</v>
      </c>
      <c r="E367" s="1">
        <v>56</v>
      </c>
      <c r="F367" s="1" t="s">
        <v>39</v>
      </c>
      <c r="G367" s="1" t="s">
        <v>40</v>
      </c>
      <c r="H367" s="1" t="s">
        <v>1122</v>
      </c>
      <c r="I367" s="1">
        <v>101636</v>
      </c>
      <c r="J367" s="1" t="s">
        <v>80</v>
      </c>
      <c r="K367" s="1" t="s">
        <v>1123</v>
      </c>
      <c r="L367" s="1" t="s">
        <v>36</v>
      </c>
      <c r="M367" s="1" t="str">
        <f>VLOOKUP(F367,Departments!$A$2:$C$6,2,0)</f>
        <v>Marketing</v>
      </c>
      <c r="N367" s="1" t="str">
        <f>INDEX(Departments!$B:$B,MATCH(Employees!F367,Departments!$A:$A,0))</f>
        <v>Marketing</v>
      </c>
    </row>
    <row r="368" spans="1:14" x14ac:dyDescent="0.3">
      <c r="A368" s="1" t="s">
        <v>1124</v>
      </c>
      <c r="B368" s="1" t="s">
        <v>54</v>
      </c>
      <c r="C368" s="1" t="s">
        <v>78</v>
      </c>
      <c r="D368" s="1" t="s">
        <v>24</v>
      </c>
      <c r="E368" s="1">
        <v>42</v>
      </c>
      <c r="F368" s="1" t="s">
        <v>25</v>
      </c>
      <c r="G368" s="1" t="s">
        <v>17</v>
      </c>
      <c r="H368" s="1" t="s">
        <v>1125</v>
      </c>
      <c r="I368" s="1">
        <v>106833</v>
      </c>
      <c r="J368" s="1" t="s">
        <v>19</v>
      </c>
      <c r="K368" s="1" t="s">
        <v>1126</v>
      </c>
      <c r="L368" s="1" t="s">
        <v>36</v>
      </c>
      <c r="M368" s="1" t="str">
        <f>VLOOKUP(F368,Departments!$A$2:$C$6,2,0)</f>
        <v>IT</v>
      </c>
      <c r="N368" s="1" t="str">
        <f>INDEX(Departments!$B:$B,MATCH(Employees!F368,Departments!$A:$A,0))</f>
        <v>IT</v>
      </c>
    </row>
    <row r="369" spans="1:14" x14ac:dyDescent="0.3">
      <c r="A369" s="1" t="s">
        <v>1127</v>
      </c>
      <c r="B369" s="1" t="s">
        <v>30</v>
      </c>
      <c r="C369" s="1" t="s">
        <v>45</v>
      </c>
      <c r="D369" s="1" t="s">
        <v>15</v>
      </c>
      <c r="E369" s="1">
        <v>42</v>
      </c>
      <c r="F369" s="1" t="s">
        <v>16</v>
      </c>
      <c r="G369" s="1" t="s">
        <v>32</v>
      </c>
      <c r="H369" s="1" t="s">
        <v>1128</v>
      </c>
      <c r="I369" s="1">
        <v>75163</v>
      </c>
      <c r="J369" s="1" t="s">
        <v>34</v>
      </c>
      <c r="K369" s="1" t="s">
        <v>1129</v>
      </c>
      <c r="L369" s="1" t="s">
        <v>21</v>
      </c>
      <c r="M369" s="1" t="str">
        <f>VLOOKUP(F369,Departments!$A$2:$C$6,2,0)</f>
        <v>HR</v>
      </c>
      <c r="N369" s="1" t="str">
        <f>INDEX(Departments!$B:$B,MATCH(Employees!F369,Departments!$A:$A,0))</f>
        <v>HR</v>
      </c>
    </row>
    <row r="370" spans="1:14" x14ac:dyDescent="0.3">
      <c r="A370" s="1" t="s">
        <v>1130</v>
      </c>
      <c r="B370" s="1" t="s">
        <v>58</v>
      </c>
      <c r="C370" s="1" t="s">
        <v>130</v>
      </c>
      <c r="D370" s="1" t="s">
        <v>24</v>
      </c>
      <c r="E370" s="1">
        <v>41</v>
      </c>
      <c r="F370" s="1" t="s">
        <v>50</v>
      </c>
      <c r="G370" s="1" t="s">
        <v>26</v>
      </c>
      <c r="H370" s="1" t="s">
        <v>1131</v>
      </c>
      <c r="I370" s="1">
        <v>86763</v>
      </c>
      <c r="J370" s="1" t="s">
        <v>60</v>
      </c>
      <c r="K370" s="1" t="s">
        <v>1132</v>
      </c>
      <c r="L370" s="1" t="s">
        <v>36</v>
      </c>
      <c r="M370" s="1" t="str">
        <f>VLOOKUP(F370,Departments!$A$2:$C$6,2,0)</f>
        <v>Finance</v>
      </c>
      <c r="N370" s="1" t="str">
        <f>INDEX(Departments!$B:$B,MATCH(Employees!F370,Departments!$A:$A,0))</f>
        <v>Finance</v>
      </c>
    </row>
    <row r="371" spans="1:14" x14ac:dyDescent="0.3">
      <c r="A371" s="1" t="s">
        <v>1133</v>
      </c>
      <c r="B371" s="1" t="s">
        <v>94</v>
      </c>
      <c r="C371" s="1" t="s">
        <v>130</v>
      </c>
      <c r="D371" s="1" t="s">
        <v>15</v>
      </c>
      <c r="E371" s="1">
        <v>49</v>
      </c>
      <c r="F371" s="1" t="s">
        <v>50</v>
      </c>
      <c r="G371" s="1" t="s">
        <v>40</v>
      </c>
      <c r="H371" s="1" t="s">
        <v>1134</v>
      </c>
      <c r="I371" s="1">
        <v>54974</v>
      </c>
      <c r="J371" s="1" t="s">
        <v>80</v>
      </c>
      <c r="K371" s="1" t="s">
        <v>1135</v>
      </c>
      <c r="L371" s="1" t="s">
        <v>36</v>
      </c>
      <c r="M371" s="1" t="str">
        <f>VLOOKUP(F371,Departments!$A$2:$C$6,2,0)</f>
        <v>Finance</v>
      </c>
      <c r="N371" s="1" t="str">
        <f>INDEX(Departments!$B:$B,MATCH(Employees!F371,Departments!$A:$A,0))</f>
        <v>Finance</v>
      </c>
    </row>
    <row r="372" spans="1:14" x14ac:dyDescent="0.3">
      <c r="A372" s="1" t="s">
        <v>1136</v>
      </c>
      <c r="B372" s="1" t="s">
        <v>143</v>
      </c>
      <c r="C372" s="1" t="s">
        <v>63</v>
      </c>
      <c r="D372" s="1" t="s">
        <v>15</v>
      </c>
      <c r="E372" s="1">
        <v>30</v>
      </c>
      <c r="F372" s="1" t="s">
        <v>31</v>
      </c>
      <c r="G372" s="1" t="s">
        <v>32</v>
      </c>
      <c r="H372" s="1" t="s">
        <v>1137</v>
      </c>
      <c r="I372" s="1">
        <v>74728</v>
      </c>
      <c r="J372" s="1" t="s">
        <v>19</v>
      </c>
      <c r="K372" s="1" t="s">
        <v>1138</v>
      </c>
      <c r="L372" s="1" t="s">
        <v>36</v>
      </c>
      <c r="M372" s="1" t="str">
        <f>VLOOKUP(F372,Departments!$A$2:$C$6,2,0)</f>
        <v>Sales</v>
      </c>
      <c r="N372" s="1" t="str">
        <f>INDEX(Departments!$B:$B,MATCH(Employees!F372,Departments!$A:$A,0))</f>
        <v>Sales</v>
      </c>
    </row>
    <row r="373" spans="1:14" x14ac:dyDescent="0.3">
      <c r="A373" s="1" t="s">
        <v>1139</v>
      </c>
      <c r="B373" s="1" t="s">
        <v>13</v>
      </c>
      <c r="C373" s="1" t="s">
        <v>130</v>
      </c>
      <c r="D373" s="1" t="s">
        <v>24</v>
      </c>
      <c r="E373" s="1">
        <v>58</v>
      </c>
      <c r="F373" s="1" t="s">
        <v>31</v>
      </c>
      <c r="G373" s="1" t="s">
        <v>40</v>
      </c>
      <c r="H373" s="1" t="s">
        <v>196</v>
      </c>
      <c r="I373" s="1">
        <v>88207</v>
      </c>
      <c r="J373" s="1" t="s">
        <v>80</v>
      </c>
      <c r="K373" s="1" t="s">
        <v>1140</v>
      </c>
      <c r="L373" s="1" t="s">
        <v>36</v>
      </c>
      <c r="M373" s="1" t="str">
        <f>VLOOKUP(F373,Departments!$A$2:$C$6,2,0)</f>
        <v>Sales</v>
      </c>
      <c r="N373" s="1" t="str">
        <f>INDEX(Departments!$B:$B,MATCH(Employees!F373,Departments!$A:$A,0))</f>
        <v>Sales</v>
      </c>
    </row>
    <row r="374" spans="1:14" x14ac:dyDescent="0.3">
      <c r="A374" s="1" t="s">
        <v>1141</v>
      </c>
      <c r="B374" s="1" t="s">
        <v>30</v>
      </c>
      <c r="C374" s="1" t="s">
        <v>78</v>
      </c>
      <c r="D374" s="1" t="s">
        <v>24</v>
      </c>
      <c r="E374" s="1">
        <v>56</v>
      </c>
      <c r="F374" s="1" t="s">
        <v>39</v>
      </c>
      <c r="G374" s="1" t="s">
        <v>40</v>
      </c>
      <c r="H374" s="1" t="s">
        <v>618</v>
      </c>
      <c r="I374" s="1">
        <v>96878</v>
      </c>
      <c r="J374" s="1" t="s">
        <v>60</v>
      </c>
      <c r="K374" s="1" t="s">
        <v>1142</v>
      </c>
      <c r="L374" s="1" t="s">
        <v>21</v>
      </c>
      <c r="M374" s="1" t="str">
        <f>VLOOKUP(F374,Departments!$A$2:$C$6,2,0)</f>
        <v>Marketing</v>
      </c>
      <c r="N374" s="1" t="str">
        <f>INDEX(Departments!$B:$B,MATCH(Employees!F374,Departments!$A:$A,0))</f>
        <v>Marketing</v>
      </c>
    </row>
    <row r="375" spans="1:14" x14ac:dyDescent="0.3">
      <c r="A375" s="1" t="s">
        <v>1143</v>
      </c>
      <c r="B375" s="1" t="s">
        <v>54</v>
      </c>
      <c r="C375" s="1" t="s">
        <v>90</v>
      </c>
      <c r="D375" s="1" t="s">
        <v>15</v>
      </c>
      <c r="E375" s="1">
        <v>27</v>
      </c>
      <c r="F375" s="1" t="s">
        <v>25</v>
      </c>
      <c r="G375" s="1" t="s">
        <v>40</v>
      </c>
      <c r="H375" s="1" t="s">
        <v>1144</v>
      </c>
      <c r="I375" s="1">
        <v>49341</v>
      </c>
      <c r="J375" s="1" t="s">
        <v>60</v>
      </c>
      <c r="K375" s="1" t="s">
        <v>1145</v>
      </c>
      <c r="L375" s="1" t="s">
        <v>36</v>
      </c>
      <c r="M375" s="1" t="str">
        <f>VLOOKUP(F375,Departments!$A$2:$C$6,2,0)</f>
        <v>IT</v>
      </c>
      <c r="N375" s="1" t="str">
        <f>INDEX(Departments!$B:$B,MATCH(Employees!F375,Departments!$A:$A,0))</f>
        <v>IT</v>
      </c>
    </row>
    <row r="376" spans="1:14" x14ac:dyDescent="0.3">
      <c r="A376" s="1" t="s">
        <v>1146</v>
      </c>
      <c r="B376" s="1" t="s">
        <v>13</v>
      </c>
      <c r="C376" s="1" t="s">
        <v>165</v>
      </c>
      <c r="D376" s="1" t="s">
        <v>15</v>
      </c>
      <c r="E376" s="1">
        <v>57</v>
      </c>
      <c r="F376" s="1" t="s">
        <v>39</v>
      </c>
      <c r="G376" s="1" t="s">
        <v>26</v>
      </c>
      <c r="H376" s="1" t="s">
        <v>1147</v>
      </c>
      <c r="I376" s="1">
        <v>87757</v>
      </c>
      <c r="J376" s="1" t="s">
        <v>19</v>
      </c>
      <c r="K376" s="1" t="s">
        <v>1148</v>
      </c>
      <c r="L376" s="1" t="s">
        <v>21</v>
      </c>
      <c r="M376" s="1" t="str">
        <f>VLOOKUP(F376,Departments!$A$2:$C$6,2,0)</f>
        <v>Marketing</v>
      </c>
      <c r="N376" s="1" t="str">
        <f>INDEX(Departments!$B:$B,MATCH(Employees!F376,Departments!$A:$A,0))</f>
        <v>Marketing</v>
      </c>
    </row>
    <row r="377" spans="1:14" x14ac:dyDescent="0.3">
      <c r="A377" s="1" t="s">
        <v>1149</v>
      </c>
      <c r="B377" s="1" t="s">
        <v>94</v>
      </c>
      <c r="C377" s="1" t="s">
        <v>14</v>
      </c>
      <c r="D377" s="1" t="s">
        <v>15</v>
      </c>
      <c r="E377" s="1">
        <v>28</v>
      </c>
      <c r="F377" s="1" t="s">
        <v>50</v>
      </c>
      <c r="G377" s="1" t="s">
        <v>17</v>
      </c>
      <c r="H377" s="1" t="s">
        <v>1150</v>
      </c>
      <c r="I377" s="1">
        <v>113590</v>
      </c>
      <c r="J377" s="1" t="s">
        <v>19</v>
      </c>
      <c r="K377" s="1" t="s">
        <v>1151</v>
      </c>
      <c r="L377" s="1" t="s">
        <v>36</v>
      </c>
      <c r="M377" s="1" t="str">
        <f>VLOOKUP(F377,Departments!$A$2:$C$6,2,0)</f>
        <v>Finance</v>
      </c>
      <c r="N377" s="1" t="str">
        <f>INDEX(Departments!$B:$B,MATCH(Employees!F377,Departments!$A:$A,0))</f>
        <v>Finance</v>
      </c>
    </row>
    <row r="378" spans="1:14" x14ac:dyDescent="0.3">
      <c r="A378" s="1" t="s">
        <v>1152</v>
      </c>
      <c r="B378" s="1" t="s">
        <v>54</v>
      </c>
      <c r="C378" s="1" t="s">
        <v>90</v>
      </c>
      <c r="D378" s="1" t="s">
        <v>15</v>
      </c>
      <c r="E378" s="1">
        <v>37</v>
      </c>
      <c r="F378" s="1" t="s">
        <v>16</v>
      </c>
      <c r="G378" s="1" t="s">
        <v>32</v>
      </c>
      <c r="H378" s="1" t="s">
        <v>1153</v>
      </c>
      <c r="I378" s="1">
        <v>82897</v>
      </c>
      <c r="J378" s="1" t="s">
        <v>34</v>
      </c>
      <c r="K378" s="1" t="s">
        <v>1154</v>
      </c>
      <c r="L378" s="1" t="s">
        <v>21</v>
      </c>
      <c r="M378" s="1" t="str">
        <f>VLOOKUP(F378,Departments!$A$2:$C$6,2,0)</f>
        <v>HR</v>
      </c>
      <c r="N378" s="1" t="str">
        <f>INDEX(Departments!$B:$B,MATCH(Employees!F378,Departments!$A:$A,0))</f>
        <v>HR</v>
      </c>
    </row>
    <row r="379" spans="1:14" x14ac:dyDescent="0.3">
      <c r="A379" s="1" t="s">
        <v>1155</v>
      </c>
      <c r="B379" s="1" t="s">
        <v>94</v>
      </c>
      <c r="C379" s="1" t="s">
        <v>90</v>
      </c>
      <c r="D379" s="1" t="s">
        <v>15</v>
      </c>
      <c r="E379" s="1">
        <v>37</v>
      </c>
      <c r="F379" s="1" t="s">
        <v>25</v>
      </c>
      <c r="G379" s="1" t="s">
        <v>32</v>
      </c>
      <c r="H379" s="1" t="s">
        <v>1156</v>
      </c>
      <c r="I379" s="1">
        <v>69652</v>
      </c>
      <c r="J379" s="1" t="s">
        <v>65</v>
      </c>
      <c r="K379" s="1" t="s">
        <v>1157</v>
      </c>
      <c r="L379" s="1" t="s">
        <v>36</v>
      </c>
      <c r="M379" s="1" t="str">
        <f>VLOOKUP(F379,Departments!$A$2:$C$6,2,0)</f>
        <v>IT</v>
      </c>
      <c r="N379" s="1" t="str">
        <f>INDEX(Departments!$B:$B,MATCH(Employees!F379,Departments!$A:$A,0))</f>
        <v>IT</v>
      </c>
    </row>
    <row r="380" spans="1:14" x14ac:dyDescent="0.3">
      <c r="A380" s="1" t="s">
        <v>1158</v>
      </c>
      <c r="B380" s="1" t="s">
        <v>58</v>
      </c>
      <c r="C380" s="1" t="s">
        <v>14</v>
      </c>
      <c r="D380" s="1" t="s">
        <v>15</v>
      </c>
      <c r="E380" s="1">
        <v>22</v>
      </c>
      <c r="F380" s="1" t="s">
        <v>25</v>
      </c>
      <c r="G380" s="1" t="s">
        <v>108</v>
      </c>
      <c r="H380" s="1" t="s">
        <v>1159</v>
      </c>
      <c r="I380" s="1">
        <v>92754</v>
      </c>
      <c r="J380" s="1" t="s">
        <v>19</v>
      </c>
      <c r="K380" s="1" t="s">
        <v>1160</v>
      </c>
      <c r="L380" s="1" t="s">
        <v>21</v>
      </c>
      <c r="M380" s="1" t="str">
        <f>VLOOKUP(F380,Departments!$A$2:$C$6,2,0)</f>
        <v>IT</v>
      </c>
      <c r="N380" s="1" t="str">
        <f>INDEX(Departments!$B:$B,MATCH(Employees!F380,Departments!$A:$A,0))</f>
        <v>IT</v>
      </c>
    </row>
    <row r="381" spans="1:14" x14ac:dyDescent="0.3">
      <c r="A381" s="1" t="s">
        <v>1161</v>
      </c>
      <c r="B381" s="1" t="s">
        <v>49</v>
      </c>
      <c r="C381" s="1" t="s">
        <v>14</v>
      </c>
      <c r="D381" s="1" t="s">
        <v>24</v>
      </c>
      <c r="E381" s="1">
        <v>24</v>
      </c>
      <c r="F381" s="1" t="s">
        <v>25</v>
      </c>
      <c r="G381" s="1" t="s">
        <v>17</v>
      </c>
      <c r="H381" s="1" t="s">
        <v>1162</v>
      </c>
      <c r="I381" s="1">
        <v>65180</v>
      </c>
      <c r="J381" s="1" t="s">
        <v>65</v>
      </c>
      <c r="K381" s="1" t="s">
        <v>1163</v>
      </c>
      <c r="L381" s="1" t="s">
        <v>21</v>
      </c>
      <c r="M381" s="1" t="str">
        <f>VLOOKUP(F381,Departments!$A$2:$C$6,2,0)</f>
        <v>IT</v>
      </c>
      <c r="N381" s="1" t="str">
        <f>INDEX(Departments!$B:$B,MATCH(Employees!F381,Departments!$A:$A,0))</f>
        <v>IT</v>
      </c>
    </row>
    <row r="382" spans="1:14" x14ac:dyDescent="0.3">
      <c r="A382" s="1" t="s">
        <v>1164</v>
      </c>
      <c r="B382" s="1" t="s">
        <v>38</v>
      </c>
      <c r="C382" s="1" t="s">
        <v>63</v>
      </c>
      <c r="D382" s="1" t="s">
        <v>15</v>
      </c>
      <c r="E382" s="1">
        <v>60</v>
      </c>
      <c r="F382" s="1" t="s">
        <v>31</v>
      </c>
      <c r="G382" s="1" t="s">
        <v>26</v>
      </c>
      <c r="H382" s="1" t="s">
        <v>258</v>
      </c>
      <c r="I382" s="1">
        <v>93081</v>
      </c>
      <c r="J382" s="1" t="s">
        <v>65</v>
      </c>
      <c r="K382" s="1" t="s">
        <v>1165</v>
      </c>
      <c r="L382" s="1" t="s">
        <v>21</v>
      </c>
      <c r="M382" s="1" t="str">
        <f>VLOOKUP(F382,Departments!$A$2:$C$6,2,0)</f>
        <v>Sales</v>
      </c>
      <c r="N382" s="1" t="str">
        <f>INDEX(Departments!$B:$B,MATCH(Employees!F382,Departments!$A:$A,0))</f>
        <v>Sales</v>
      </c>
    </row>
    <row r="383" spans="1:14" x14ac:dyDescent="0.3">
      <c r="A383" s="1" t="s">
        <v>1166</v>
      </c>
      <c r="B383" s="1" t="s">
        <v>38</v>
      </c>
      <c r="C383" s="1" t="s">
        <v>63</v>
      </c>
      <c r="D383" s="1" t="s">
        <v>15</v>
      </c>
      <c r="E383" s="1">
        <v>57</v>
      </c>
      <c r="F383" s="1" t="s">
        <v>25</v>
      </c>
      <c r="G383" s="1" t="s">
        <v>32</v>
      </c>
      <c r="H383" s="1" t="s">
        <v>1167</v>
      </c>
      <c r="I383" s="1">
        <v>91007</v>
      </c>
      <c r="J383" s="1" t="s">
        <v>60</v>
      </c>
      <c r="K383" s="1" t="s">
        <v>1168</v>
      </c>
      <c r="L383" s="1" t="s">
        <v>36</v>
      </c>
      <c r="M383" s="1" t="str">
        <f>VLOOKUP(F383,Departments!$A$2:$C$6,2,0)</f>
        <v>IT</v>
      </c>
      <c r="N383" s="1" t="str">
        <f>INDEX(Departments!$B:$B,MATCH(Employees!F383,Departments!$A:$A,0))</f>
        <v>IT</v>
      </c>
    </row>
    <row r="384" spans="1:14" x14ac:dyDescent="0.3">
      <c r="A384" s="1" t="s">
        <v>1169</v>
      </c>
      <c r="B384" s="1" t="s">
        <v>44</v>
      </c>
      <c r="C384" s="1" t="s">
        <v>130</v>
      </c>
      <c r="D384" s="1" t="s">
        <v>15</v>
      </c>
      <c r="E384" s="1">
        <v>32</v>
      </c>
      <c r="F384" s="1" t="s">
        <v>25</v>
      </c>
      <c r="G384" s="1" t="s">
        <v>40</v>
      </c>
      <c r="H384" s="1" t="s">
        <v>1170</v>
      </c>
      <c r="I384" s="1">
        <v>88127</v>
      </c>
      <c r="J384" s="1" t="s">
        <v>65</v>
      </c>
      <c r="K384" s="1" t="s">
        <v>1171</v>
      </c>
      <c r="L384" s="1" t="s">
        <v>21</v>
      </c>
      <c r="M384" s="1" t="str">
        <f>VLOOKUP(F384,Departments!$A$2:$C$6,2,0)</f>
        <v>IT</v>
      </c>
      <c r="N384" s="1" t="str">
        <f>INDEX(Departments!$B:$B,MATCH(Employees!F384,Departments!$A:$A,0))</f>
        <v>IT</v>
      </c>
    </row>
    <row r="385" spans="1:14" x14ac:dyDescent="0.3">
      <c r="A385" s="1" t="s">
        <v>1172</v>
      </c>
      <c r="B385" s="1" t="s">
        <v>30</v>
      </c>
      <c r="C385" s="1" t="s">
        <v>78</v>
      </c>
      <c r="D385" s="1" t="s">
        <v>24</v>
      </c>
      <c r="E385" s="1">
        <v>34</v>
      </c>
      <c r="F385" s="1" t="s">
        <v>16</v>
      </c>
      <c r="G385" s="1" t="s">
        <v>26</v>
      </c>
      <c r="H385" s="1" t="s">
        <v>1173</v>
      </c>
      <c r="I385" s="1">
        <v>70318</v>
      </c>
      <c r="J385" s="1" t="s">
        <v>19</v>
      </c>
      <c r="K385" s="1" t="s">
        <v>1174</v>
      </c>
      <c r="L385" s="1" t="s">
        <v>36</v>
      </c>
      <c r="M385" s="1" t="str">
        <f>VLOOKUP(F385,Departments!$A$2:$C$6,2,0)</f>
        <v>HR</v>
      </c>
      <c r="N385" s="1" t="str">
        <f>INDEX(Departments!$B:$B,MATCH(Employees!F385,Departments!$A:$A,0))</f>
        <v>HR</v>
      </c>
    </row>
    <row r="386" spans="1:14" x14ac:dyDescent="0.3">
      <c r="A386" s="1" t="s">
        <v>1175</v>
      </c>
      <c r="B386" s="1" t="s">
        <v>30</v>
      </c>
      <c r="C386" s="1" t="s">
        <v>95</v>
      </c>
      <c r="D386" s="1" t="s">
        <v>15</v>
      </c>
      <c r="E386" s="1">
        <v>31</v>
      </c>
      <c r="F386" s="1" t="s">
        <v>31</v>
      </c>
      <c r="G386" s="1" t="s">
        <v>108</v>
      </c>
      <c r="H386" s="1" t="s">
        <v>566</v>
      </c>
      <c r="I386" s="1">
        <v>47884</v>
      </c>
      <c r="J386" s="1" t="s">
        <v>34</v>
      </c>
      <c r="K386" s="1" t="s">
        <v>1176</v>
      </c>
      <c r="L386" s="1" t="s">
        <v>21</v>
      </c>
      <c r="M386" s="1" t="str">
        <f>VLOOKUP(F386,Departments!$A$2:$C$6,2,0)</f>
        <v>Sales</v>
      </c>
      <c r="N386" s="1" t="str">
        <f>INDEX(Departments!$B:$B,MATCH(Employees!F386,Departments!$A:$A,0))</f>
        <v>Sales</v>
      </c>
    </row>
    <row r="387" spans="1:14" x14ac:dyDescent="0.3">
      <c r="A387" s="1" t="s">
        <v>1177</v>
      </c>
      <c r="B387" s="1" t="s">
        <v>143</v>
      </c>
      <c r="C387" s="1" t="s">
        <v>14</v>
      </c>
      <c r="D387" s="1" t="s">
        <v>15</v>
      </c>
      <c r="E387" s="1">
        <v>48</v>
      </c>
      <c r="F387" s="1" t="s">
        <v>50</v>
      </c>
      <c r="G387" s="1" t="s">
        <v>108</v>
      </c>
      <c r="H387" s="1" t="s">
        <v>1178</v>
      </c>
      <c r="I387" s="1">
        <v>71987</v>
      </c>
      <c r="J387" s="1" t="s">
        <v>34</v>
      </c>
      <c r="K387" s="1" t="s">
        <v>1179</v>
      </c>
      <c r="L387" s="1" t="s">
        <v>36</v>
      </c>
      <c r="M387" s="1" t="str">
        <f>VLOOKUP(F387,Departments!$A$2:$C$6,2,0)</f>
        <v>Finance</v>
      </c>
      <c r="N387" s="1" t="str">
        <f>INDEX(Departments!$B:$B,MATCH(Employees!F387,Departments!$A:$A,0))</f>
        <v>Finance</v>
      </c>
    </row>
    <row r="388" spans="1:14" x14ac:dyDescent="0.3">
      <c r="A388" s="1" t="s">
        <v>1180</v>
      </c>
      <c r="B388" s="1" t="s">
        <v>58</v>
      </c>
      <c r="C388" s="1" t="s">
        <v>130</v>
      </c>
      <c r="D388" s="1" t="s">
        <v>24</v>
      </c>
      <c r="E388" s="1">
        <v>52</v>
      </c>
      <c r="F388" s="1" t="s">
        <v>39</v>
      </c>
      <c r="G388" s="1" t="s">
        <v>40</v>
      </c>
      <c r="H388" s="1" t="s">
        <v>1181</v>
      </c>
      <c r="I388" s="1">
        <v>108773</v>
      </c>
      <c r="J388" s="1" t="s">
        <v>60</v>
      </c>
      <c r="K388" s="1" t="s">
        <v>1182</v>
      </c>
      <c r="L388" s="1" t="s">
        <v>36</v>
      </c>
      <c r="M388" s="1" t="str">
        <f>VLOOKUP(F388,Departments!$A$2:$C$6,2,0)</f>
        <v>Marketing</v>
      </c>
      <c r="N388" s="1" t="str">
        <f>INDEX(Departments!$B:$B,MATCH(Employees!F388,Departments!$A:$A,0))</f>
        <v>Marketing</v>
      </c>
    </row>
    <row r="389" spans="1:14" x14ac:dyDescent="0.3">
      <c r="A389" s="1" t="s">
        <v>1183</v>
      </c>
      <c r="B389" s="1" t="s">
        <v>71</v>
      </c>
      <c r="C389" s="1" t="s">
        <v>130</v>
      </c>
      <c r="D389" s="1" t="s">
        <v>15</v>
      </c>
      <c r="E389" s="1">
        <v>58</v>
      </c>
      <c r="F389" s="1" t="s">
        <v>25</v>
      </c>
      <c r="G389" s="1" t="s">
        <v>40</v>
      </c>
      <c r="H389" s="1" t="s">
        <v>1184</v>
      </c>
      <c r="I389" s="1">
        <v>115133</v>
      </c>
      <c r="J389" s="1" t="s">
        <v>34</v>
      </c>
      <c r="K389" s="1" t="s">
        <v>1185</v>
      </c>
      <c r="L389" s="1" t="s">
        <v>21</v>
      </c>
      <c r="M389" s="1" t="str">
        <f>VLOOKUP(F389,Departments!$A$2:$C$6,2,0)</f>
        <v>IT</v>
      </c>
      <c r="N389" s="1" t="str">
        <f>INDEX(Departments!$B:$B,MATCH(Employees!F389,Departments!$A:$A,0))</f>
        <v>IT</v>
      </c>
    </row>
    <row r="390" spans="1:14" x14ac:dyDescent="0.3">
      <c r="A390" s="1" t="s">
        <v>1186</v>
      </c>
      <c r="B390" s="1" t="s">
        <v>94</v>
      </c>
      <c r="C390" s="1" t="s">
        <v>165</v>
      </c>
      <c r="D390" s="1" t="s">
        <v>24</v>
      </c>
      <c r="E390" s="1">
        <v>50</v>
      </c>
      <c r="F390" s="1" t="s">
        <v>16</v>
      </c>
      <c r="G390" s="1" t="s">
        <v>26</v>
      </c>
      <c r="H390" s="1" t="s">
        <v>1187</v>
      </c>
      <c r="I390" s="1">
        <v>44417</v>
      </c>
      <c r="J390" s="1" t="s">
        <v>80</v>
      </c>
      <c r="K390" s="1" t="s">
        <v>1188</v>
      </c>
      <c r="L390" s="1" t="s">
        <v>36</v>
      </c>
      <c r="M390" s="1" t="str">
        <f>VLOOKUP(F390,Departments!$A$2:$C$6,2,0)</f>
        <v>HR</v>
      </c>
      <c r="N390" s="1" t="str">
        <f>INDEX(Departments!$B:$B,MATCH(Employees!F390,Departments!$A:$A,0))</f>
        <v>HR</v>
      </c>
    </row>
    <row r="391" spans="1:14" x14ac:dyDescent="0.3">
      <c r="A391" s="1" t="s">
        <v>1189</v>
      </c>
      <c r="B391" s="1" t="s">
        <v>30</v>
      </c>
      <c r="C391" s="1" t="s">
        <v>78</v>
      </c>
      <c r="D391" s="1" t="s">
        <v>24</v>
      </c>
      <c r="E391" s="1">
        <v>46</v>
      </c>
      <c r="F391" s="1" t="s">
        <v>31</v>
      </c>
      <c r="G391" s="1" t="s">
        <v>17</v>
      </c>
      <c r="H391" s="1" t="s">
        <v>1190</v>
      </c>
      <c r="I391" s="1">
        <v>107012</v>
      </c>
      <c r="J391" s="1" t="s">
        <v>65</v>
      </c>
      <c r="K391" s="1" t="s">
        <v>1191</v>
      </c>
      <c r="L391" s="1" t="s">
        <v>21</v>
      </c>
      <c r="M391" s="1" t="str">
        <f>VLOOKUP(F391,Departments!$A$2:$C$6,2,0)</f>
        <v>Sales</v>
      </c>
      <c r="N391" s="1" t="str">
        <f>INDEX(Departments!$B:$B,MATCH(Employees!F391,Departments!$A:$A,0))</f>
        <v>Sales</v>
      </c>
    </row>
    <row r="392" spans="1:14" x14ac:dyDescent="0.3">
      <c r="A392" s="1" t="s">
        <v>1192</v>
      </c>
      <c r="B392" s="1" t="s">
        <v>49</v>
      </c>
      <c r="C392" s="1" t="s">
        <v>78</v>
      </c>
      <c r="D392" s="1" t="s">
        <v>15</v>
      </c>
      <c r="E392" s="1">
        <v>23</v>
      </c>
      <c r="F392" s="1" t="s">
        <v>50</v>
      </c>
      <c r="G392" s="1" t="s">
        <v>26</v>
      </c>
      <c r="H392" s="1" t="s">
        <v>1193</v>
      </c>
      <c r="I392" s="1">
        <v>78597</v>
      </c>
      <c r="J392" s="1" t="s">
        <v>34</v>
      </c>
      <c r="K392" s="1" t="s">
        <v>1194</v>
      </c>
      <c r="L392" s="1" t="s">
        <v>21</v>
      </c>
      <c r="M392" s="1" t="str">
        <f>VLOOKUP(F392,Departments!$A$2:$C$6,2,0)</f>
        <v>Finance</v>
      </c>
      <c r="N392" s="1" t="str">
        <f>INDEX(Departments!$B:$B,MATCH(Employees!F392,Departments!$A:$A,0))</f>
        <v>Finance</v>
      </c>
    </row>
    <row r="393" spans="1:14" x14ac:dyDescent="0.3">
      <c r="A393" s="1" t="s">
        <v>1195</v>
      </c>
      <c r="B393" s="1" t="s">
        <v>58</v>
      </c>
      <c r="C393" s="1" t="s">
        <v>90</v>
      </c>
      <c r="D393" s="1" t="s">
        <v>15</v>
      </c>
      <c r="E393" s="1">
        <v>44</v>
      </c>
      <c r="F393" s="1" t="s">
        <v>25</v>
      </c>
      <c r="G393" s="1" t="s">
        <v>108</v>
      </c>
      <c r="H393" s="1" t="s">
        <v>1196</v>
      </c>
      <c r="I393" s="1">
        <v>77085</v>
      </c>
      <c r="J393" s="1" t="s">
        <v>80</v>
      </c>
      <c r="K393" s="1" t="s">
        <v>1197</v>
      </c>
      <c r="L393" s="1" t="s">
        <v>36</v>
      </c>
      <c r="M393" s="1" t="str">
        <f>VLOOKUP(F393,Departments!$A$2:$C$6,2,0)</f>
        <v>IT</v>
      </c>
      <c r="N393" s="1" t="str">
        <f>INDEX(Departments!$B:$B,MATCH(Employees!F393,Departments!$A:$A,0))</f>
        <v>IT</v>
      </c>
    </row>
    <row r="394" spans="1:14" x14ac:dyDescent="0.3">
      <c r="A394" s="1" t="s">
        <v>1198</v>
      </c>
      <c r="B394" s="1" t="s">
        <v>44</v>
      </c>
      <c r="C394" s="1" t="s">
        <v>90</v>
      </c>
      <c r="D394" s="1" t="s">
        <v>24</v>
      </c>
      <c r="E394" s="1">
        <v>52</v>
      </c>
      <c r="F394" s="1" t="s">
        <v>50</v>
      </c>
      <c r="G394" s="1" t="s">
        <v>108</v>
      </c>
      <c r="H394" s="1" t="s">
        <v>1199</v>
      </c>
      <c r="I394" s="1">
        <v>98031</v>
      </c>
      <c r="J394" s="1" t="s">
        <v>60</v>
      </c>
      <c r="K394" s="1" t="s">
        <v>1200</v>
      </c>
      <c r="L394" s="1" t="s">
        <v>36</v>
      </c>
      <c r="M394" s="1" t="str">
        <f>VLOOKUP(F394,Departments!$A$2:$C$6,2,0)</f>
        <v>Finance</v>
      </c>
      <c r="N394" s="1" t="str">
        <f>INDEX(Departments!$B:$B,MATCH(Employees!F394,Departments!$A:$A,0))</f>
        <v>Finance</v>
      </c>
    </row>
    <row r="395" spans="1:14" x14ac:dyDescent="0.3">
      <c r="A395" s="1" t="s">
        <v>1201</v>
      </c>
      <c r="B395" s="1" t="s">
        <v>54</v>
      </c>
      <c r="C395" s="1" t="s">
        <v>83</v>
      </c>
      <c r="D395" s="1" t="s">
        <v>24</v>
      </c>
      <c r="E395" s="1">
        <v>47</v>
      </c>
      <c r="F395" s="1" t="s">
        <v>31</v>
      </c>
      <c r="G395" s="1" t="s">
        <v>26</v>
      </c>
      <c r="H395" s="1" t="s">
        <v>1202</v>
      </c>
      <c r="I395" s="1">
        <v>59479</v>
      </c>
      <c r="J395" s="1" t="s">
        <v>34</v>
      </c>
      <c r="K395" s="1" t="s">
        <v>1203</v>
      </c>
      <c r="L395" s="1" t="s">
        <v>36</v>
      </c>
      <c r="M395" s="1" t="str">
        <f>VLOOKUP(F395,Departments!$A$2:$C$6,2,0)</f>
        <v>Sales</v>
      </c>
      <c r="N395" s="1" t="str">
        <f>INDEX(Departments!$B:$B,MATCH(Employees!F395,Departments!$A:$A,0))</f>
        <v>Sales</v>
      </c>
    </row>
    <row r="396" spans="1:14" x14ac:dyDescent="0.3">
      <c r="A396" s="1" t="s">
        <v>1204</v>
      </c>
      <c r="B396" s="1" t="s">
        <v>49</v>
      </c>
      <c r="C396" s="1" t="s">
        <v>14</v>
      </c>
      <c r="D396" s="1" t="s">
        <v>24</v>
      </c>
      <c r="E396" s="1">
        <v>25</v>
      </c>
      <c r="F396" s="1" t="s">
        <v>50</v>
      </c>
      <c r="G396" s="1" t="s">
        <v>40</v>
      </c>
      <c r="H396" s="1" t="s">
        <v>1205</v>
      </c>
      <c r="I396" s="1">
        <v>82566</v>
      </c>
      <c r="J396" s="1" t="s">
        <v>19</v>
      </c>
      <c r="K396" s="1" t="s">
        <v>1206</v>
      </c>
      <c r="L396" s="1" t="s">
        <v>21</v>
      </c>
      <c r="M396" s="1" t="str">
        <f>VLOOKUP(F396,Departments!$A$2:$C$6,2,0)</f>
        <v>Finance</v>
      </c>
      <c r="N396" s="1" t="str">
        <f>INDEX(Departments!$B:$B,MATCH(Employees!F396,Departments!$A:$A,0))</f>
        <v>Finance</v>
      </c>
    </row>
    <row r="397" spans="1:14" x14ac:dyDescent="0.3">
      <c r="A397" s="1" t="s">
        <v>1207</v>
      </c>
      <c r="B397" s="1" t="s">
        <v>30</v>
      </c>
      <c r="C397" s="1" t="s">
        <v>165</v>
      </c>
      <c r="D397" s="1" t="s">
        <v>15</v>
      </c>
      <c r="E397" s="1">
        <v>37</v>
      </c>
      <c r="F397" s="1" t="s">
        <v>50</v>
      </c>
      <c r="G397" s="1" t="s">
        <v>40</v>
      </c>
      <c r="H397" s="1" t="s">
        <v>1208</v>
      </c>
      <c r="I397" s="1">
        <v>90050</v>
      </c>
      <c r="J397" s="1" t="s">
        <v>65</v>
      </c>
      <c r="K397" s="1" t="s">
        <v>1209</v>
      </c>
      <c r="L397" s="1" t="s">
        <v>21</v>
      </c>
      <c r="M397" s="1" t="str">
        <f>VLOOKUP(F397,Departments!$A$2:$C$6,2,0)</f>
        <v>Finance</v>
      </c>
      <c r="N397" s="1" t="str">
        <f>INDEX(Departments!$B:$B,MATCH(Employees!F397,Departments!$A:$A,0))</f>
        <v>Finance</v>
      </c>
    </row>
    <row r="398" spans="1:14" x14ac:dyDescent="0.3">
      <c r="A398" s="1" t="s">
        <v>1210</v>
      </c>
      <c r="B398" s="1" t="s">
        <v>38</v>
      </c>
      <c r="C398" s="1" t="s">
        <v>130</v>
      </c>
      <c r="D398" s="1" t="s">
        <v>24</v>
      </c>
      <c r="E398" s="1">
        <v>54</v>
      </c>
      <c r="F398" s="1" t="s">
        <v>16</v>
      </c>
      <c r="G398" s="1" t="s">
        <v>26</v>
      </c>
      <c r="H398" s="1" t="s">
        <v>1211</v>
      </c>
      <c r="I398" s="1">
        <v>56447</v>
      </c>
      <c r="J398" s="1" t="s">
        <v>19</v>
      </c>
      <c r="K398" s="1" t="s">
        <v>1212</v>
      </c>
      <c r="L398" s="1" t="s">
        <v>36</v>
      </c>
      <c r="M398" s="1" t="str">
        <f>VLOOKUP(F398,Departments!$A$2:$C$6,2,0)</f>
        <v>HR</v>
      </c>
      <c r="N398" s="1" t="str">
        <f>INDEX(Departments!$B:$B,MATCH(Employees!F398,Departments!$A:$A,0))</f>
        <v>HR</v>
      </c>
    </row>
    <row r="399" spans="1:14" x14ac:dyDescent="0.3">
      <c r="A399" s="1" t="s">
        <v>1213</v>
      </c>
      <c r="B399" s="1" t="s">
        <v>71</v>
      </c>
      <c r="C399" s="1" t="s">
        <v>165</v>
      </c>
      <c r="D399" s="1" t="s">
        <v>24</v>
      </c>
      <c r="E399" s="1">
        <v>47</v>
      </c>
      <c r="F399" s="1" t="s">
        <v>31</v>
      </c>
      <c r="G399" s="1" t="s">
        <v>17</v>
      </c>
      <c r="H399" s="1" t="s">
        <v>1214</v>
      </c>
      <c r="I399" s="1">
        <v>76082</v>
      </c>
      <c r="J399" s="1" t="s">
        <v>65</v>
      </c>
      <c r="K399" s="1" t="s">
        <v>1215</v>
      </c>
      <c r="L399" s="1" t="s">
        <v>36</v>
      </c>
      <c r="M399" s="1" t="str">
        <f>VLOOKUP(F399,Departments!$A$2:$C$6,2,0)</f>
        <v>Sales</v>
      </c>
      <c r="N399" s="1" t="str">
        <f>INDEX(Departments!$B:$B,MATCH(Employees!F399,Departments!$A:$A,0))</f>
        <v>Sales</v>
      </c>
    </row>
    <row r="400" spans="1:14" x14ac:dyDescent="0.3">
      <c r="A400" s="1" t="s">
        <v>1216</v>
      </c>
      <c r="B400" s="1" t="s">
        <v>44</v>
      </c>
      <c r="C400" s="1" t="s">
        <v>45</v>
      </c>
      <c r="D400" s="1" t="s">
        <v>24</v>
      </c>
      <c r="E400" s="1">
        <v>28</v>
      </c>
      <c r="F400" s="1" t="s">
        <v>50</v>
      </c>
      <c r="G400" s="1" t="s">
        <v>26</v>
      </c>
      <c r="H400" s="1" t="s">
        <v>621</v>
      </c>
      <c r="I400" s="1">
        <v>98535</v>
      </c>
      <c r="J400" s="1" t="s">
        <v>60</v>
      </c>
      <c r="K400" s="1" t="s">
        <v>1217</v>
      </c>
      <c r="L400" s="1" t="s">
        <v>21</v>
      </c>
      <c r="M400" s="1" t="str">
        <f>VLOOKUP(F400,Departments!$A$2:$C$6,2,0)</f>
        <v>Finance</v>
      </c>
      <c r="N400" s="1" t="str">
        <f>INDEX(Departments!$B:$B,MATCH(Employees!F400,Departments!$A:$A,0))</f>
        <v>Finance</v>
      </c>
    </row>
    <row r="401" spans="1:14" x14ac:dyDescent="0.3">
      <c r="A401" s="1" t="s">
        <v>1218</v>
      </c>
      <c r="B401" s="1" t="s">
        <v>94</v>
      </c>
      <c r="C401" s="1" t="s">
        <v>130</v>
      </c>
      <c r="D401" s="1" t="s">
        <v>15</v>
      </c>
      <c r="E401" s="1">
        <v>39</v>
      </c>
      <c r="F401" s="1" t="s">
        <v>16</v>
      </c>
      <c r="G401" s="1" t="s">
        <v>108</v>
      </c>
      <c r="H401" s="1" t="s">
        <v>1219</v>
      </c>
      <c r="I401" s="1">
        <v>44551</v>
      </c>
      <c r="J401" s="1" t="s">
        <v>34</v>
      </c>
      <c r="K401" s="1" t="s">
        <v>1220</v>
      </c>
      <c r="L401" s="1" t="s">
        <v>21</v>
      </c>
      <c r="M401" s="1" t="str">
        <f>VLOOKUP(F401,Departments!$A$2:$C$6,2,0)</f>
        <v>HR</v>
      </c>
      <c r="N401" s="1" t="str">
        <f>INDEX(Departments!$B:$B,MATCH(Employees!F401,Departments!$A:$A,0))</f>
        <v>HR</v>
      </c>
    </row>
    <row r="402" spans="1:14" x14ac:dyDescent="0.3">
      <c r="A402" s="1" t="s">
        <v>1221</v>
      </c>
      <c r="B402" s="1" t="s">
        <v>71</v>
      </c>
      <c r="C402" s="1" t="s">
        <v>23</v>
      </c>
      <c r="D402" s="1" t="s">
        <v>15</v>
      </c>
      <c r="E402" s="1">
        <v>40</v>
      </c>
      <c r="F402" s="1" t="s">
        <v>50</v>
      </c>
      <c r="G402" s="1" t="s">
        <v>32</v>
      </c>
      <c r="H402" s="1" t="s">
        <v>1222</v>
      </c>
      <c r="I402" s="1">
        <v>111797</v>
      </c>
      <c r="J402" s="1" t="s">
        <v>60</v>
      </c>
      <c r="K402" s="1" t="s">
        <v>1223</v>
      </c>
      <c r="L402" s="1" t="s">
        <v>36</v>
      </c>
      <c r="M402" s="1" t="str">
        <f>VLOOKUP(F402,Departments!$A$2:$C$6,2,0)</f>
        <v>Finance</v>
      </c>
      <c r="N402" s="1" t="str">
        <f>INDEX(Departments!$B:$B,MATCH(Employees!F402,Departments!$A:$A,0))</f>
        <v>Finance</v>
      </c>
    </row>
    <row r="403" spans="1:14" x14ac:dyDescent="0.3">
      <c r="A403" s="1" t="s">
        <v>1224</v>
      </c>
      <c r="B403" s="1" t="s">
        <v>71</v>
      </c>
      <c r="C403" s="1" t="s">
        <v>90</v>
      </c>
      <c r="D403" s="1" t="s">
        <v>24</v>
      </c>
      <c r="E403" s="1">
        <v>43</v>
      </c>
      <c r="F403" s="1" t="s">
        <v>16</v>
      </c>
      <c r="G403" s="1" t="s">
        <v>26</v>
      </c>
      <c r="H403" s="1" t="s">
        <v>1225</v>
      </c>
      <c r="I403" s="1">
        <v>40238</v>
      </c>
      <c r="J403" s="1" t="s">
        <v>19</v>
      </c>
      <c r="K403" s="1" t="s">
        <v>1226</v>
      </c>
      <c r="L403" s="1" t="s">
        <v>21</v>
      </c>
      <c r="M403" s="1" t="str">
        <f>VLOOKUP(F403,Departments!$A$2:$C$6,2,0)</f>
        <v>HR</v>
      </c>
      <c r="N403" s="1" t="str">
        <f>INDEX(Departments!$B:$B,MATCH(Employees!F403,Departments!$A:$A,0))</f>
        <v>HR</v>
      </c>
    </row>
    <row r="404" spans="1:14" x14ac:dyDescent="0.3">
      <c r="A404" s="1" t="s">
        <v>1227</v>
      </c>
      <c r="B404" s="1" t="s">
        <v>71</v>
      </c>
      <c r="C404" s="1" t="s">
        <v>165</v>
      </c>
      <c r="D404" s="1" t="s">
        <v>15</v>
      </c>
      <c r="E404" s="1">
        <v>55</v>
      </c>
      <c r="F404" s="1" t="s">
        <v>31</v>
      </c>
      <c r="G404" s="1" t="s">
        <v>17</v>
      </c>
      <c r="H404" s="1" t="s">
        <v>1228</v>
      </c>
      <c r="I404" s="1">
        <v>70077</v>
      </c>
      <c r="J404" s="1" t="s">
        <v>34</v>
      </c>
      <c r="K404" s="1" t="s">
        <v>1229</v>
      </c>
      <c r="L404" s="1" t="s">
        <v>21</v>
      </c>
      <c r="M404" s="1" t="str">
        <f>VLOOKUP(F404,Departments!$A$2:$C$6,2,0)</f>
        <v>Sales</v>
      </c>
      <c r="N404" s="1" t="str">
        <f>INDEX(Departments!$B:$B,MATCH(Employees!F404,Departments!$A:$A,0))</f>
        <v>Sales</v>
      </c>
    </row>
    <row r="405" spans="1:14" x14ac:dyDescent="0.3">
      <c r="A405" s="1" t="s">
        <v>1230</v>
      </c>
      <c r="B405" s="1" t="s">
        <v>44</v>
      </c>
      <c r="C405" s="1" t="s">
        <v>14</v>
      </c>
      <c r="D405" s="1" t="s">
        <v>24</v>
      </c>
      <c r="E405" s="1">
        <v>57</v>
      </c>
      <c r="F405" s="1" t="s">
        <v>16</v>
      </c>
      <c r="G405" s="1" t="s">
        <v>17</v>
      </c>
      <c r="H405" s="1" t="s">
        <v>1231</v>
      </c>
      <c r="I405" s="1">
        <v>107382</v>
      </c>
      <c r="J405" s="1" t="s">
        <v>19</v>
      </c>
      <c r="K405" s="1" t="s">
        <v>1232</v>
      </c>
      <c r="L405" s="1" t="s">
        <v>36</v>
      </c>
      <c r="M405" s="1" t="str">
        <f>VLOOKUP(F405,Departments!$A$2:$C$6,2,0)</f>
        <v>HR</v>
      </c>
      <c r="N405" s="1" t="str">
        <f>INDEX(Departments!$B:$B,MATCH(Employees!F405,Departments!$A:$A,0))</f>
        <v>HR</v>
      </c>
    </row>
    <row r="406" spans="1:14" x14ac:dyDescent="0.3">
      <c r="A406" s="1" t="s">
        <v>1233</v>
      </c>
      <c r="B406" s="1" t="s">
        <v>94</v>
      </c>
      <c r="C406" s="1" t="s">
        <v>95</v>
      </c>
      <c r="D406" s="1" t="s">
        <v>15</v>
      </c>
      <c r="E406" s="1">
        <v>24</v>
      </c>
      <c r="F406" s="1" t="s">
        <v>50</v>
      </c>
      <c r="G406" s="1" t="s">
        <v>26</v>
      </c>
      <c r="H406" s="1" t="s">
        <v>1234</v>
      </c>
      <c r="I406" s="1">
        <v>54413</v>
      </c>
      <c r="J406" s="1" t="s">
        <v>65</v>
      </c>
      <c r="K406" s="1" t="s">
        <v>1235</v>
      </c>
      <c r="L406" s="1" t="s">
        <v>21</v>
      </c>
      <c r="M406" s="1" t="str">
        <f>VLOOKUP(F406,Departments!$A$2:$C$6,2,0)</f>
        <v>Finance</v>
      </c>
      <c r="N406" s="1" t="str">
        <f>INDEX(Departments!$B:$B,MATCH(Employees!F406,Departments!$A:$A,0))</f>
        <v>Finance</v>
      </c>
    </row>
    <row r="407" spans="1:14" x14ac:dyDescent="0.3">
      <c r="A407" s="1" t="s">
        <v>1236</v>
      </c>
      <c r="B407" s="1" t="s">
        <v>143</v>
      </c>
      <c r="C407" s="1" t="s">
        <v>23</v>
      </c>
      <c r="D407" s="1" t="s">
        <v>24</v>
      </c>
      <c r="E407" s="1">
        <v>37</v>
      </c>
      <c r="F407" s="1" t="s">
        <v>31</v>
      </c>
      <c r="G407" s="1" t="s">
        <v>108</v>
      </c>
      <c r="H407" s="1" t="s">
        <v>1237</v>
      </c>
      <c r="I407" s="1">
        <v>40061</v>
      </c>
      <c r="J407" s="1" t="s">
        <v>65</v>
      </c>
      <c r="K407" s="1" t="s">
        <v>1238</v>
      </c>
      <c r="L407" s="1" t="s">
        <v>21</v>
      </c>
      <c r="M407" s="1" t="str">
        <f>VLOOKUP(F407,Departments!$A$2:$C$6,2,0)</f>
        <v>Sales</v>
      </c>
      <c r="N407" s="1" t="str">
        <f>INDEX(Departments!$B:$B,MATCH(Employees!F407,Departments!$A:$A,0))</f>
        <v>Sales</v>
      </c>
    </row>
    <row r="408" spans="1:14" x14ac:dyDescent="0.3">
      <c r="A408" s="1" t="s">
        <v>1239</v>
      </c>
      <c r="B408" s="1" t="s">
        <v>30</v>
      </c>
      <c r="C408" s="1" t="s">
        <v>95</v>
      </c>
      <c r="D408" s="1" t="s">
        <v>24</v>
      </c>
      <c r="E408" s="1">
        <v>45</v>
      </c>
      <c r="F408" s="1" t="s">
        <v>39</v>
      </c>
      <c r="G408" s="1" t="s">
        <v>108</v>
      </c>
      <c r="H408" s="1" t="s">
        <v>1240</v>
      </c>
      <c r="I408" s="1">
        <v>89039</v>
      </c>
      <c r="J408" s="1" t="s">
        <v>34</v>
      </c>
      <c r="K408" s="1" t="s">
        <v>1241</v>
      </c>
      <c r="L408" s="1" t="s">
        <v>21</v>
      </c>
      <c r="M408" s="1" t="str">
        <f>VLOOKUP(F408,Departments!$A$2:$C$6,2,0)</f>
        <v>Marketing</v>
      </c>
      <c r="N408" s="1" t="str">
        <f>INDEX(Departments!$B:$B,MATCH(Employees!F408,Departments!$A:$A,0))</f>
        <v>Marketing</v>
      </c>
    </row>
    <row r="409" spans="1:14" x14ac:dyDescent="0.3">
      <c r="A409" s="1" t="s">
        <v>1242</v>
      </c>
      <c r="B409" s="1" t="s">
        <v>71</v>
      </c>
      <c r="C409" s="1" t="s">
        <v>63</v>
      </c>
      <c r="D409" s="1" t="s">
        <v>15</v>
      </c>
      <c r="E409" s="1">
        <v>30</v>
      </c>
      <c r="F409" s="1" t="s">
        <v>39</v>
      </c>
      <c r="G409" s="1" t="s">
        <v>40</v>
      </c>
      <c r="H409" s="1" t="s">
        <v>1243</v>
      </c>
      <c r="I409" s="1">
        <v>41334</v>
      </c>
      <c r="J409" s="1" t="s">
        <v>34</v>
      </c>
      <c r="K409" s="1" t="s">
        <v>1244</v>
      </c>
      <c r="L409" s="1" t="s">
        <v>21</v>
      </c>
      <c r="M409" s="1" t="str">
        <f>VLOOKUP(F409,Departments!$A$2:$C$6,2,0)</f>
        <v>Marketing</v>
      </c>
      <c r="N409" s="1" t="str">
        <f>INDEX(Departments!$B:$B,MATCH(Employees!F409,Departments!$A:$A,0))</f>
        <v>Marketing</v>
      </c>
    </row>
    <row r="410" spans="1:14" x14ac:dyDescent="0.3">
      <c r="A410" s="1" t="s">
        <v>1245</v>
      </c>
      <c r="B410" s="1" t="s">
        <v>49</v>
      </c>
      <c r="C410" s="1" t="s">
        <v>165</v>
      </c>
      <c r="D410" s="1" t="s">
        <v>15</v>
      </c>
      <c r="E410" s="1">
        <v>55</v>
      </c>
      <c r="F410" s="1" t="s">
        <v>25</v>
      </c>
      <c r="G410" s="1" t="s">
        <v>17</v>
      </c>
      <c r="H410" s="1" t="s">
        <v>1246</v>
      </c>
      <c r="I410" s="1">
        <v>108930</v>
      </c>
      <c r="J410" s="1" t="s">
        <v>60</v>
      </c>
      <c r="K410" s="1" t="s">
        <v>1247</v>
      </c>
      <c r="L410" s="1" t="s">
        <v>36</v>
      </c>
      <c r="M410" s="1" t="str">
        <f>VLOOKUP(F410,Departments!$A$2:$C$6,2,0)</f>
        <v>IT</v>
      </c>
      <c r="N410" s="1" t="str">
        <f>INDEX(Departments!$B:$B,MATCH(Employees!F410,Departments!$A:$A,0))</f>
        <v>IT</v>
      </c>
    </row>
    <row r="411" spans="1:14" x14ac:dyDescent="0.3">
      <c r="A411" s="1" t="s">
        <v>1248</v>
      </c>
      <c r="B411" s="1" t="s">
        <v>71</v>
      </c>
      <c r="C411" s="1" t="s">
        <v>90</v>
      </c>
      <c r="D411" s="1" t="s">
        <v>15</v>
      </c>
      <c r="E411" s="1">
        <v>31</v>
      </c>
      <c r="F411" s="1" t="s">
        <v>50</v>
      </c>
      <c r="G411" s="1" t="s">
        <v>26</v>
      </c>
      <c r="H411" s="1" t="s">
        <v>1249</v>
      </c>
      <c r="I411" s="1">
        <v>78935</v>
      </c>
      <c r="J411" s="1" t="s">
        <v>19</v>
      </c>
      <c r="K411" s="1" t="s">
        <v>1250</v>
      </c>
      <c r="L411" s="1" t="s">
        <v>36</v>
      </c>
      <c r="M411" s="1" t="str">
        <f>VLOOKUP(F411,Departments!$A$2:$C$6,2,0)</f>
        <v>Finance</v>
      </c>
      <c r="N411" s="1" t="str">
        <f>INDEX(Departments!$B:$B,MATCH(Employees!F411,Departments!$A:$A,0))</f>
        <v>Finance</v>
      </c>
    </row>
    <row r="412" spans="1:14" x14ac:dyDescent="0.3">
      <c r="A412" s="1" t="s">
        <v>1251</v>
      </c>
      <c r="B412" s="1" t="s">
        <v>38</v>
      </c>
      <c r="C412" s="1" t="s">
        <v>78</v>
      </c>
      <c r="D412" s="1" t="s">
        <v>24</v>
      </c>
      <c r="E412" s="1">
        <v>34</v>
      </c>
      <c r="F412" s="1" t="s">
        <v>50</v>
      </c>
      <c r="G412" s="1" t="s">
        <v>40</v>
      </c>
      <c r="H412" s="1" t="s">
        <v>1252</v>
      </c>
      <c r="I412" s="1">
        <v>68187</v>
      </c>
      <c r="J412" s="1" t="s">
        <v>19</v>
      </c>
      <c r="K412" s="1" t="s">
        <v>1253</v>
      </c>
      <c r="L412" s="1" t="s">
        <v>21</v>
      </c>
      <c r="M412" s="1" t="str">
        <f>VLOOKUP(F412,Departments!$A$2:$C$6,2,0)</f>
        <v>Finance</v>
      </c>
      <c r="N412" s="1" t="str">
        <f>INDEX(Departments!$B:$B,MATCH(Employees!F412,Departments!$A:$A,0))</f>
        <v>Finance</v>
      </c>
    </row>
    <row r="413" spans="1:14" x14ac:dyDescent="0.3">
      <c r="A413" s="1" t="s">
        <v>1254</v>
      </c>
      <c r="B413" s="1" t="s">
        <v>13</v>
      </c>
      <c r="C413" s="1" t="s">
        <v>45</v>
      </c>
      <c r="D413" s="1" t="s">
        <v>15</v>
      </c>
      <c r="E413" s="1">
        <v>51</v>
      </c>
      <c r="F413" s="1" t="s">
        <v>25</v>
      </c>
      <c r="G413" s="1" t="s">
        <v>26</v>
      </c>
      <c r="H413" s="1" t="s">
        <v>1255</v>
      </c>
      <c r="I413" s="1">
        <v>56816</v>
      </c>
      <c r="J413" s="1" t="s">
        <v>65</v>
      </c>
      <c r="K413" s="1" t="s">
        <v>1256</v>
      </c>
      <c r="L413" s="1" t="s">
        <v>21</v>
      </c>
      <c r="M413" s="1" t="str">
        <f>VLOOKUP(F413,Departments!$A$2:$C$6,2,0)</f>
        <v>IT</v>
      </c>
      <c r="N413" s="1" t="str">
        <f>INDEX(Departments!$B:$B,MATCH(Employees!F413,Departments!$A:$A,0))</f>
        <v>IT</v>
      </c>
    </row>
    <row r="414" spans="1:14" x14ac:dyDescent="0.3">
      <c r="A414" s="1" t="s">
        <v>1257</v>
      </c>
      <c r="B414" s="1" t="s">
        <v>58</v>
      </c>
      <c r="C414" s="1" t="s">
        <v>14</v>
      </c>
      <c r="D414" s="1" t="s">
        <v>15</v>
      </c>
      <c r="E414" s="1">
        <v>29</v>
      </c>
      <c r="F414" s="1" t="s">
        <v>25</v>
      </c>
      <c r="G414" s="1" t="s">
        <v>17</v>
      </c>
      <c r="H414" s="1" t="s">
        <v>1258</v>
      </c>
      <c r="I414" s="1">
        <v>102232</v>
      </c>
      <c r="J414" s="1" t="s">
        <v>19</v>
      </c>
      <c r="K414" s="1" t="s">
        <v>1259</v>
      </c>
      <c r="L414" s="1" t="s">
        <v>21</v>
      </c>
      <c r="M414" s="1" t="str">
        <f>VLOOKUP(F414,Departments!$A$2:$C$6,2,0)</f>
        <v>IT</v>
      </c>
      <c r="N414" s="1" t="str">
        <f>INDEX(Departments!$B:$B,MATCH(Employees!F414,Departments!$A:$A,0))</f>
        <v>IT</v>
      </c>
    </row>
    <row r="415" spans="1:14" x14ac:dyDescent="0.3">
      <c r="A415" s="1" t="s">
        <v>1260</v>
      </c>
      <c r="B415" s="1" t="s">
        <v>58</v>
      </c>
      <c r="C415" s="1" t="s">
        <v>45</v>
      </c>
      <c r="D415" s="1" t="s">
        <v>24</v>
      </c>
      <c r="E415" s="1">
        <v>38</v>
      </c>
      <c r="F415" s="1" t="s">
        <v>50</v>
      </c>
      <c r="G415" s="1" t="s">
        <v>108</v>
      </c>
      <c r="H415" s="1" t="s">
        <v>1261</v>
      </c>
      <c r="I415" s="1">
        <v>99123</v>
      </c>
      <c r="J415" s="1" t="s">
        <v>19</v>
      </c>
      <c r="K415" s="1" t="s">
        <v>1262</v>
      </c>
      <c r="L415" s="1" t="s">
        <v>36</v>
      </c>
      <c r="M415" s="1" t="str">
        <f>VLOOKUP(F415,Departments!$A$2:$C$6,2,0)</f>
        <v>Finance</v>
      </c>
      <c r="N415" s="1" t="str">
        <f>INDEX(Departments!$B:$B,MATCH(Employees!F415,Departments!$A:$A,0))</f>
        <v>Finance</v>
      </c>
    </row>
    <row r="416" spans="1:14" x14ac:dyDescent="0.3">
      <c r="A416" s="1" t="s">
        <v>1263</v>
      </c>
      <c r="B416" s="1" t="s">
        <v>54</v>
      </c>
      <c r="C416" s="1" t="s">
        <v>14</v>
      </c>
      <c r="D416" s="1" t="s">
        <v>15</v>
      </c>
      <c r="E416" s="1">
        <v>23</v>
      </c>
      <c r="F416" s="1" t="s">
        <v>39</v>
      </c>
      <c r="G416" s="1" t="s">
        <v>32</v>
      </c>
      <c r="H416" s="1" t="s">
        <v>1264</v>
      </c>
      <c r="I416" s="1">
        <v>44686</v>
      </c>
      <c r="J416" s="1" t="s">
        <v>60</v>
      </c>
      <c r="K416" s="1" t="s">
        <v>1265</v>
      </c>
      <c r="L416" s="1" t="s">
        <v>21</v>
      </c>
      <c r="M416" s="1" t="str">
        <f>VLOOKUP(F416,Departments!$A$2:$C$6,2,0)</f>
        <v>Marketing</v>
      </c>
      <c r="N416" s="1" t="str">
        <f>INDEX(Departments!$B:$B,MATCH(Employees!F416,Departments!$A:$A,0))</f>
        <v>Marketing</v>
      </c>
    </row>
    <row r="417" spans="1:14" x14ac:dyDescent="0.3">
      <c r="A417" s="1" t="s">
        <v>1266</v>
      </c>
      <c r="B417" s="1" t="s">
        <v>54</v>
      </c>
      <c r="C417" s="1" t="s">
        <v>165</v>
      </c>
      <c r="D417" s="1" t="s">
        <v>24</v>
      </c>
      <c r="E417" s="1">
        <v>57</v>
      </c>
      <c r="F417" s="1" t="s">
        <v>31</v>
      </c>
      <c r="G417" s="1" t="s">
        <v>26</v>
      </c>
      <c r="H417" s="1" t="s">
        <v>1267</v>
      </c>
      <c r="I417" s="1">
        <v>104342</v>
      </c>
      <c r="J417" s="1" t="s">
        <v>80</v>
      </c>
      <c r="K417" s="1" t="s">
        <v>1268</v>
      </c>
      <c r="L417" s="1" t="s">
        <v>36</v>
      </c>
      <c r="M417" s="1" t="str">
        <f>VLOOKUP(F417,Departments!$A$2:$C$6,2,0)</f>
        <v>Sales</v>
      </c>
      <c r="N417" s="1" t="str">
        <f>INDEX(Departments!$B:$B,MATCH(Employees!F417,Departments!$A:$A,0))</f>
        <v>Sales</v>
      </c>
    </row>
    <row r="418" spans="1:14" x14ac:dyDescent="0.3">
      <c r="A418" s="1" t="s">
        <v>1269</v>
      </c>
      <c r="B418" s="1" t="s">
        <v>30</v>
      </c>
      <c r="C418" s="1" t="s">
        <v>83</v>
      </c>
      <c r="D418" s="1" t="s">
        <v>24</v>
      </c>
      <c r="E418" s="1">
        <v>40</v>
      </c>
      <c r="F418" s="1" t="s">
        <v>16</v>
      </c>
      <c r="G418" s="1" t="s">
        <v>26</v>
      </c>
      <c r="H418" s="1" t="s">
        <v>1270</v>
      </c>
      <c r="I418" s="1">
        <v>116236</v>
      </c>
      <c r="J418" s="1" t="s">
        <v>65</v>
      </c>
      <c r="K418" s="1" t="s">
        <v>1271</v>
      </c>
      <c r="L418" s="1" t="s">
        <v>36</v>
      </c>
      <c r="M418" s="1" t="str">
        <f>VLOOKUP(F418,Departments!$A$2:$C$6,2,0)</f>
        <v>HR</v>
      </c>
      <c r="N418" s="1" t="str">
        <f>INDEX(Departments!$B:$B,MATCH(Employees!F418,Departments!$A:$A,0))</f>
        <v>HR</v>
      </c>
    </row>
    <row r="419" spans="1:14" x14ac:dyDescent="0.3">
      <c r="A419" s="1" t="s">
        <v>1272</v>
      </c>
      <c r="B419" s="1" t="s">
        <v>44</v>
      </c>
      <c r="C419" s="1" t="s">
        <v>83</v>
      </c>
      <c r="D419" s="1" t="s">
        <v>24</v>
      </c>
      <c r="E419" s="1">
        <v>33</v>
      </c>
      <c r="F419" s="1" t="s">
        <v>39</v>
      </c>
      <c r="G419" s="1" t="s">
        <v>32</v>
      </c>
      <c r="H419" s="1" t="s">
        <v>1273</v>
      </c>
      <c r="I419" s="1">
        <v>63416</v>
      </c>
      <c r="J419" s="1" t="s">
        <v>19</v>
      </c>
      <c r="K419" s="1" t="s">
        <v>1274</v>
      </c>
      <c r="L419" s="1" t="s">
        <v>36</v>
      </c>
      <c r="M419" s="1" t="str">
        <f>VLOOKUP(F419,Departments!$A$2:$C$6,2,0)</f>
        <v>Marketing</v>
      </c>
      <c r="N419" s="1" t="str">
        <f>INDEX(Departments!$B:$B,MATCH(Employees!F419,Departments!$A:$A,0))</f>
        <v>Marketing</v>
      </c>
    </row>
    <row r="420" spans="1:14" x14ac:dyDescent="0.3">
      <c r="A420" s="1" t="s">
        <v>1275</v>
      </c>
      <c r="B420" s="1" t="s">
        <v>94</v>
      </c>
      <c r="C420" s="1" t="s">
        <v>78</v>
      </c>
      <c r="D420" s="1" t="s">
        <v>15</v>
      </c>
      <c r="E420" s="1">
        <v>46</v>
      </c>
      <c r="F420" s="1" t="s">
        <v>25</v>
      </c>
      <c r="G420" s="1" t="s">
        <v>40</v>
      </c>
      <c r="H420" s="1" t="s">
        <v>1276</v>
      </c>
      <c r="I420" s="1">
        <v>48319</v>
      </c>
      <c r="J420" s="1" t="s">
        <v>80</v>
      </c>
      <c r="K420" s="1" t="s">
        <v>1277</v>
      </c>
      <c r="L420" s="1" t="s">
        <v>21</v>
      </c>
      <c r="M420" s="1" t="str">
        <f>VLOOKUP(F420,Departments!$A$2:$C$6,2,0)</f>
        <v>IT</v>
      </c>
      <c r="N420" s="1" t="str">
        <f>INDEX(Departments!$B:$B,MATCH(Employees!F420,Departments!$A:$A,0))</f>
        <v>IT</v>
      </c>
    </row>
    <row r="421" spans="1:14" x14ac:dyDescent="0.3">
      <c r="A421" s="1" t="s">
        <v>1278</v>
      </c>
      <c r="B421" s="1" t="s">
        <v>13</v>
      </c>
      <c r="C421" s="1" t="s">
        <v>130</v>
      </c>
      <c r="D421" s="1" t="s">
        <v>15</v>
      </c>
      <c r="E421" s="1">
        <v>36</v>
      </c>
      <c r="F421" s="1" t="s">
        <v>39</v>
      </c>
      <c r="G421" s="1" t="s">
        <v>17</v>
      </c>
      <c r="H421" s="1" t="s">
        <v>1279</v>
      </c>
      <c r="I421" s="1">
        <v>82168</v>
      </c>
      <c r="J421" s="1" t="s">
        <v>19</v>
      </c>
      <c r="K421" s="1" t="s">
        <v>1280</v>
      </c>
      <c r="L421" s="1" t="s">
        <v>21</v>
      </c>
      <c r="M421" s="1" t="str">
        <f>VLOOKUP(F421,Departments!$A$2:$C$6,2,0)</f>
        <v>Marketing</v>
      </c>
      <c r="N421" s="1" t="str">
        <f>INDEX(Departments!$B:$B,MATCH(Employees!F421,Departments!$A:$A,0))</f>
        <v>Marketing</v>
      </c>
    </row>
    <row r="422" spans="1:14" x14ac:dyDescent="0.3">
      <c r="A422" s="1" t="s">
        <v>1281</v>
      </c>
      <c r="B422" s="1" t="s">
        <v>71</v>
      </c>
      <c r="C422" s="1" t="s">
        <v>63</v>
      </c>
      <c r="D422" s="1" t="s">
        <v>24</v>
      </c>
      <c r="E422" s="1">
        <v>32</v>
      </c>
      <c r="F422" s="1" t="s">
        <v>25</v>
      </c>
      <c r="G422" s="1" t="s">
        <v>40</v>
      </c>
      <c r="H422" s="1" t="s">
        <v>1282</v>
      </c>
      <c r="I422" s="1">
        <v>83994</v>
      </c>
      <c r="J422" s="1" t="s">
        <v>19</v>
      </c>
      <c r="K422" s="1" t="s">
        <v>1283</v>
      </c>
      <c r="L422" s="1" t="s">
        <v>36</v>
      </c>
      <c r="M422" s="1" t="str">
        <f>VLOOKUP(F422,Departments!$A$2:$C$6,2,0)</f>
        <v>IT</v>
      </c>
      <c r="N422" s="1" t="str">
        <f>INDEX(Departments!$B:$B,MATCH(Employees!F422,Departments!$A:$A,0))</f>
        <v>IT</v>
      </c>
    </row>
    <row r="423" spans="1:14" x14ac:dyDescent="0.3">
      <c r="A423" s="1" t="s">
        <v>1284</v>
      </c>
      <c r="B423" s="1" t="s">
        <v>30</v>
      </c>
      <c r="C423" s="1" t="s">
        <v>90</v>
      </c>
      <c r="D423" s="1" t="s">
        <v>15</v>
      </c>
      <c r="E423" s="1">
        <v>43</v>
      </c>
      <c r="F423" s="1" t="s">
        <v>25</v>
      </c>
      <c r="G423" s="1" t="s">
        <v>32</v>
      </c>
      <c r="H423" s="1" t="s">
        <v>1285</v>
      </c>
      <c r="I423" s="1">
        <v>45200</v>
      </c>
      <c r="J423" s="1" t="s">
        <v>19</v>
      </c>
      <c r="K423" s="1" t="s">
        <v>1286</v>
      </c>
      <c r="L423" s="1" t="s">
        <v>36</v>
      </c>
      <c r="M423" s="1" t="str">
        <f>VLOOKUP(F423,Departments!$A$2:$C$6,2,0)</f>
        <v>IT</v>
      </c>
      <c r="N423" s="1" t="str">
        <f>INDEX(Departments!$B:$B,MATCH(Employees!F423,Departments!$A:$A,0))</f>
        <v>IT</v>
      </c>
    </row>
    <row r="424" spans="1:14" x14ac:dyDescent="0.3">
      <c r="A424" s="1" t="s">
        <v>1287</v>
      </c>
      <c r="B424" s="1" t="s">
        <v>38</v>
      </c>
      <c r="C424" s="1" t="s">
        <v>63</v>
      </c>
      <c r="D424" s="1" t="s">
        <v>24</v>
      </c>
      <c r="E424" s="1">
        <v>25</v>
      </c>
      <c r="F424" s="1" t="s">
        <v>31</v>
      </c>
      <c r="G424" s="1" t="s">
        <v>17</v>
      </c>
      <c r="H424" s="1" t="s">
        <v>1288</v>
      </c>
      <c r="I424" s="1">
        <v>84722</v>
      </c>
      <c r="J424" s="1" t="s">
        <v>65</v>
      </c>
      <c r="K424" s="1" t="s">
        <v>1289</v>
      </c>
      <c r="L424" s="1" t="s">
        <v>36</v>
      </c>
      <c r="M424" s="1" t="str">
        <f>VLOOKUP(F424,Departments!$A$2:$C$6,2,0)</f>
        <v>Sales</v>
      </c>
      <c r="N424" s="1" t="str">
        <f>INDEX(Departments!$B:$B,MATCH(Employees!F424,Departments!$A:$A,0))</f>
        <v>Sales</v>
      </c>
    </row>
    <row r="425" spans="1:14" x14ac:dyDescent="0.3">
      <c r="A425" s="1" t="s">
        <v>1290</v>
      </c>
      <c r="B425" s="1" t="s">
        <v>13</v>
      </c>
      <c r="C425" s="1" t="s">
        <v>63</v>
      </c>
      <c r="D425" s="1" t="s">
        <v>15</v>
      </c>
      <c r="E425" s="1">
        <v>24</v>
      </c>
      <c r="F425" s="1" t="s">
        <v>31</v>
      </c>
      <c r="G425" s="1" t="s">
        <v>17</v>
      </c>
      <c r="H425" s="1" t="s">
        <v>1291</v>
      </c>
      <c r="I425" s="1">
        <v>57088</v>
      </c>
      <c r="J425" s="1" t="s">
        <v>19</v>
      </c>
      <c r="K425" s="1" t="s">
        <v>1292</v>
      </c>
      <c r="L425" s="1" t="s">
        <v>21</v>
      </c>
      <c r="M425" s="1" t="str">
        <f>VLOOKUP(F425,Departments!$A$2:$C$6,2,0)</f>
        <v>Sales</v>
      </c>
      <c r="N425" s="1" t="str">
        <f>INDEX(Departments!$B:$B,MATCH(Employees!F425,Departments!$A:$A,0))</f>
        <v>Sales</v>
      </c>
    </row>
    <row r="426" spans="1:14" x14ac:dyDescent="0.3">
      <c r="A426" s="1" t="s">
        <v>1293</v>
      </c>
      <c r="B426" s="1" t="s">
        <v>58</v>
      </c>
      <c r="C426" s="1" t="s">
        <v>63</v>
      </c>
      <c r="D426" s="1" t="s">
        <v>24</v>
      </c>
      <c r="E426" s="1">
        <v>52</v>
      </c>
      <c r="F426" s="1" t="s">
        <v>50</v>
      </c>
      <c r="G426" s="1" t="s">
        <v>108</v>
      </c>
      <c r="H426" s="1" t="s">
        <v>1294</v>
      </c>
      <c r="I426" s="1">
        <v>106181</v>
      </c>
      <c r="J426" s="1" t="s">
        <v>34</v>
      </c>
      <c r="K426" s="1" t="s">
        <v>1295</v>
      </c>
      <c r="L426" s="1" t="s">
        <v>21</v>
      </c>
      <c r="M426" s="1" t="str">
        <f>VLOOKUP(F426,Departments!$A$2:$C$6,2,0)</f>
        <v>Finance</v>
      </c>
      <c r="N426" s="1" t="str">
        <f>INDEX(Departments!$B:$B,MATCH(Employees!F426,Departments!$A:$A,0))</f>
        <v>Finance</v>
      </c>
    </row>
    <row r="427" spans="1:14" x14ac:dyDescent="0.3">
      <c r="A427" s="1" t="s">
        <v>1296</v>
      </c>
      <c r="B427" s="1" t="s">
        <v>71</v>
      </c>
      <c r="C427" s="1" t="s">
        <v>90</v>
      </c>
      <c r="D427" s="1" t="s">
        <v>15</v>
      </c>
      <c r="E427" s="1">
        <v>48</v>
      </c>
      <c r="F427" s="1" t="s">
        <v>25</v>
      </c>
      <c r="G427" s="1" t="s">
        <v>17</v>
      </c>
      <c r="H427" s="1" t="s">
        <v>1297</v>
      </c>
      <c r="I427" s="1">
        <v>117192</v>
      </c>
      <c r="J427" s="1" t="s">
        <v>60</v>
      </c>
      <c r="K427" s="1" t="s">
        <v>1298</v>
      </c>
      <c r="L427" s="1" t="s">
        <v>21</v>
      </c>
      <c r="M427" s="1" t="str">
        <f>VLOOKUP(F427,Departments!$A$2:$C$6,2,0)</f>
        <v>IT</v>
      </c>
      <c r="N427" s="1" t="str">
        <f>INDEX(Departments!$B:$B,MATCH(Employees!F427,Departments!$A:$A,0))</f>
        <v>IT</v>
      </c>
    </row>
    <row r="428" spans="1:14" x14ac:dyDescent="0.3">
      <c r="A428" s="1" t="s">
        <v>1299</v>
      </c>
      <c r="B428" s="1" t="s">
        <v>94</v>
      </c>
      <c r="C428" s="1" t="s">
        <v>14</v>
      </c>
      <c r="D428" s="1" t="s">
        <v>15</v>
      </c>
      <c r="E428" s="1">
        <v>43</v>
      </c>
      <c r="F428" s="1" t="s">
        <v>25</v>
      </c>
      <c r="G428" s="1" t="s">
        <v>108</v>
      </c>
      <c r="H428" s="1" t="s">
        <v>1300</v>
      </c>
      <c r="I428" s="1">
        <v>114670</v>
      </c>
      <c r="J428" s="1" t="s">
        <v>60</v>
      </c>
      <c r="K428" s="1" t="s">
        <v>1301</v>
      </c>
      <c r="L428" s="1" t="s">
        <v>36</v>
      </c>
      <c r="M428" s="1" t="str">
        <f>VLOOKUP(F428,Departments!$A$2:$C$6,2,0)</f>
        <v>IT</v>
      </c>
      <c r="N428" s="1" t="str">
        <f>INDEX(Departments!$B:$B,MATCH(Employees!F428,Departments!$A:$A,0))</f>
        <v>IT</v>
      </c>
    </row>
    <row r="429" spans="1:14" x14ac:dyDescent="0.3">
      <c r="A429" s="1" t="s">
        <v>1302</v>
      </c>
      <c r="B429" s="1" t="s">
        <v>30</v>
      </c>
      <c r="C429" s="1" t="s">
        <v>63</v>
      </c>
      <c r="D429" s="1" t="s">
        <v>15</v>
      </c>
      <c r="E429" s="1">
        <v>36</v>
      </c>
      <c r="F429" s="1" t="s">
        <v>16</v>
      </c>
      <c r="G429" s="1" t="s">
        <v>40</v>
      </c>
      <c r="H429" s="1" t="s">
        <v>687</v>
      </c>
      <c r="I429" s="1">
        <v>116951</v>
      </c>
      <c r="J429" s="1" t="s">
        <v>80</v>
      </c>
      <c r="K429" s="1" t="s">
        <v>1303</v>
      </c>
      <c r="L429" s="1" t="s">
        <v>21</v>
      </c>
      <c r="M429" s="1" t="str">
        <f>VLOOKUP(F429,Departments!$A$2:$C$6,2,0)</f>
        <v>HR</v>
      </c>
      <c r="N429" s="1" t="str">
        <f>INDEX(Departments!$B:$B,MATCH(Employees!F429,Departments!$A:$A,0))</f>
        <v>HR</v>
      </c>
    </row>
    <row r="430" spans="1:14" x14ac:dyDescent="0.3">
      <c r="A430" s="1" t="s">
        <v>1304</v>
      </c>
      <c r="B430" s="1" t="s">
        <v>71</v>
      </c>
      <c r="C430" s="1" t="s">
        <v>83</v>
      </c>
      <c r="D430" s="1" t="s">
        <v>15</v>
      </c>
      <c r="E430" s="1">
        <v>43</v>
      </c>
      <c r="F430" s="1" t="s">
        <v>16</v>
      </c>
      <c r="G430" s="1" t="s">
        <v>26</v>
      </c>
      <c r="H430" s="1" t="s">
        <v>650</v>
      </c>
      <c r="I430" s="1">
        <v>86123</v>
      </c>
      <c r="J430" s="1" t="s">
        <v>34</v>
      </c>
      <c r="K430" s="1" t="s">
        <v>1305</v>
      </c>
      <c r="L430" s="1" t="s">
        <v>36</v>
      </c>
      <c r="M430" s="1" t="str">
        <f>VLOOKUP(F430,Departments!$A$2:$C$6,2,0)</f>
        <v>HR</v>
      </c>
      <c r="N430" s="1" t="str">
        <f>INDEX(Departments!$B:$B,MATCH(Employees!F430,Departments!$A:$A,0))</f>
        <v>HR</v>
      </c>
    </row>
    <row r="431" spans="1:14" x14ac:dyDescent="0.3">
      <c r="A431" s="1" t="s">
        <v>1306</v>
      </c>
      <c r="B431" s="1" t="s">
        <v>13</v>
      </c>
      <c r="C431" s="1" t="s">
        <v>90</v>
      </c>
      <c r="D431" s="1" t="s">
        <v>15</v>
      </c>
      <c r="E431" s="1">
        <v>45</v>
      </c>
      <c r="F431" s="1" t="s">
        <v>50</v>
      </c>
      <c r="G431" s="1" t="s">
        <v>17</v>
      </c>
      <c r="H431" s="1" t="s">
        <v>1307</v>
      </c>
      <c r="I431" s="1">
        <v>68220</v>
      </c>
      <c r="J431" s="1" t="s">
        <v>80</v>
      </c>
      <c r="K431" s="1" t="s">
        <v>1308</v>
      </c>
      <c r="L431" s="1" t="s">
        <v>21</v>
      </c>
      <c r="M431" s="1" t="str">
        <f>VLOOKUP(F431,Departments!$A$2:$C$6,2,0)</f>
        <v>Finance</v>
      </c>
      <c r="N431" s="1" t="str">
        <f>INDEX(Departments!$B:$B,MATCH(Employees!F431,Departments!$A:$A,0))</f>
        <v>Finance</v>
      </c>
    </row>
    <row r="432" spans="1:14" x14ac:dyDescent="0.3">
      <c r="A432" s="1" t="s">
        <v>1309</v>
      </c>
      <c r="B432" s="1" t="s">
        <v>49</v>
      </c>
      <c r="C432" s="1" t="s">
        <v>130</v>
      </c>
      <c r="D432" s="1" t="s">
        <v>15</v>
      </c>
      <c r="E432" s="1">
        <v>60</v>
      </c>
      <c r="F432" s="1" t="s">
        <v>39</v>
      </c>
      <c r="G432" s="1" t="s">
        <v>32</v>
      </c>
      <c r="H432" s="1" t="s">
        <v>1310</v>
      </c>
      <c r="I432" s="1">
        <v>115147</v>
      </c>
      <c r="J432" s="1" t="s">
        <v>34</v>
      </c>
      <c r="K432" s="1" t="s">
        <v>1311</v>
      </c>
      <c r="L432" s="1" t="s">
        <v>36</v>
      </c>
      <c r="M432" s="1" t="str">
        <f>VLOOKUP(F432,Departments!$A$2:$C$6,2,0)</f>
        <v>Marketing</v>
      </c>
      <c r="N432" s="1" t="str">
        <f>INDEX(Departments!$B:$B,MATCH(Employees!F432,Departments!$A:$A,0))</f>
        <v>Marketing</v>
      </c>
    </row>
    <row r="433" spans="1:14" x14ac:dyDescent="0.3">
      <c r="A433" s="1" t="s">
        <v>1312</v>
      </c>
      <c r="B433" s="1" t="s">
        <v>94</v>
      </c>
      <c r="C433" s="1" t="s">
        <v>45</v>
      </c>
      <c r="D433" s="1" t="s">
        <v>15</v>
      </c>
      <c r="E433" s="1">
        <v>54</v>
      </c>
      <c r="F433" s="1" t="s">
        <v>50</v>
      </c>
      <c r="G433" s="1" t="s">
        <v>26</v>
      </c>
      <c r="H433" s="1" t="s">
        <v>1313</v>
      </c>
      <c r="I433" s="1">
        <v>68028</v>
      </c>
      <c r="J433" s="1" t="s">
        <v>19</v>
      </c>
      <c r="K433" s="1" t="s">
        <v>1314</v>
      </c>
      <c r="L433" s="1" t="s">
        <v>36</v>
      </c>
      <c r="M433" s="1" t="str">
        <f>VLOOKUP(F433,Departments!$A$2:$C$6,2,0)</f>
        <v>Finance</v>
      </c>
      <c r="N433" s="1" t="str">
        <f>INDEX(Departments!$B:$B,MATCH(Employees!F433,Departments!$A:$A,0))</f>
        <v>Finance</v>
      </c>
    </row>
    <row r="434" spans="1:14" x14ac:dyDescent="0.3">
      <c r="A434" s="1" t="s">
        <v>1315</v>
      </c>
      <c r="B434" s="1" t="s">
        <v>38</v>
      </c>
      <c r="C434" s="1" t="s">
        <v>45</v>
      </c>
      <c r="D434" s="1" t="s">
        <v>24</v>
      </c>
      <c r="E434" s="1">
        <v>52</v>
      </c>
      <c r="F434" s="1" t="s">
        <v>39</v>
      </c>
      <c r="G434" s="1" t="s">
        <v>108</v>
      </c>
      <c r="H434" s="1" t="s">
        <v>1316</v>
      </c>
      <c r="I434" s="1">
        <v>46732</v>
      </c>
      <c r="J434" s="1" t="s">
        <v>65</v>
      </c>
      <c r="K434" s="1" t="s">
        <v>1317</v>
      </c>
      <c r="L434" s="1" t="s">
        <v>36</v>
      </c>
      <c r="M434" s="1" t="str">
        <f>VLOOKUP(F434,Departments!$A$2:$C$6,2,0)</f>
        <v>Marketing</v>
      </c>
      <c r="N434" s="1" t="str">
        <f>INDEX(Departments!$B:$B,MATCH(Employees!F434,Departments!$A:$A,0))</f>
        <v>Marketing</v>
      </c>
    </row>
    <row r="435" spans="1:14" x14ac:dyDescent="0.3">
      <c r="A435" s="1" t="s">
        <v>1318</v>
      </c>
      <c r="B435" s="1" t="s">
        <v>44</v>
      </c>
      <c r="C435" s="1" t="s">
        <v>130</v>
      </c>
      <c r="D435" s="1" t="s">
        <v>24</v>
      </c>
      <c r="E435" s="1">
        <v>53</v>
      </c>
      <c r="F435" s="1" t="s">
        <v>16</v>
      </c>
      <c r="G435" s="1" t="s">
        <v>108</v>
      </c>
      <c r="H435" s="1" t="s">
        <v>1319</v>
      </c>
      <c r="I435" s="1">
        <v>37701</v>
      </c>
      <c r="J435" s="1" t="s">
        <v>34</v>
      </c>
      <c r="K435" s="1" t="s">
        <v>1320</v>
      </c>
      <c r="L435" s="1" t="s">
        <v>36</v>
      </c>
      <c r="M435" s="1" t="str">
        <f>VLOOKUP(F435,Departments!$A$2:$C$6,2,0)</f>
        <v>HR</v>
      </c>
      <c r="N435" s="1" t="str">
        <f>INDEX(Departments!$B:$B,MATCH(Employees!F435,Departments!$A:$A,0))</f>
        <v>HR</v>
      </c>
    </row>
    <row r="436" spans="1:14" x14ac:dyDescent="0.3">
      <c r="A436" s="1" t="s">
        <v>1321</v>
      </c>
      <c r="B436" s="1" t="s">
        <v>49</v>
      </c>
      <c r="C436" s="1" t="s">
        <v>45</v>
      </c>
      <c r="D436" s="1" t="s">
        <v>15</v>
      </c>
      <c r="E436" s="1">
        <v>51</v>
      </c>
      <c r="F436" s="1" t="s">
        <v>16</v>
      </c>
      <c r="G436" s="1" t="s">
        <v>26</v>
      </c>
      <c r="H436" s="1" t="s">
        <v>822</v>
      </c>
      <c r="I436" s="1">
        <v>103930</v>
      </c>
      <c r="J436" s="1" t="s">
        <v>60</v>
      </c>
      <c r="K436" s="1" t="s">
        <v>1322</v>
      </c>
      <c r="L436" s="1" t="s">
        <v>36</v>
      </c>
      <c r="M436" s="1" t="str">
        <f>VLOOKUP(F436,Departments!$A$2:$C$6,2,0)</f>
        <v>HR</v>
      </c>
      <c r="N436" s="1" t="str">
        <f>INDEX(Departments!$B:$B,MATCH(Employees!F436,Departments!$A:$A,0))</f>
        <v>HR</v>
      </c>
    </row>
    <row r="437" spans="1:14" x14ac:dyDescent="0.3">
      <c r="A437" s="1" t="s">
        <v>1323</v>
      </c>
      <c r="B437" s="1" t="s">
        <v>143</v>
      </c>
      <c r="C437" s="1" t="s">
        <v>90</v>
      </c>
      <c r="D437" s="1" t="s">
        <v>15</v>
      </c>
      <c r="E437" s="1">
        <v>41</v>
      </c>
      <c r="F437" s="1" t="s">
        <v>25</v>
      </c>
      <c r="G437" s="1" t="s">
        <v>17</v>
      </c>
      <c r="H437" s="1" t="s">
        <v>1041</v>
      </c>
      <c r="I437" s="1">
        <v>83188</v>
      </c>
      <c r="J437" s="1" t="s">
        <v>80</v>
      </c>
      <c r="K437" s="1" t="s">
        <v>1324</v>
      </c>
      <c r="L437" s="1" t="s">
        <v>21</v>
      </c>
      <c r="M437" s="1" t="str">
        <f>VLOOKUP(F437,Departments!$A$2:$C$6,2,0)</f>
        <v>IT</v>
      </c>
      <c r="N437" s="1" t="str">
        <f>INDEX(Departments!$B:$B,MATCH(Employees!F437,Departments!$A:$A,0))</f>
        <v>IT</v>
      </c>
    </row>
    <row r="438" spans="1:14" x14ac:dyDescent="0.3">
      <c r="A438" s="1" t="s">
        <v>1325</v>
      </c>
      <c r="B438" s="1" t="s">
        <v>13</v>
      </c>
      <c r="C438" s="1" t="s">
        <v>95</v>
      </c>
      <c r="D438" s="1" t="s">
        <v>24</v>
      </c>
      <c r="E438" s="1">
        <v>23</v>
      </c>
      <c r="F438" s="1" t="s">
        <v>39</v>
      </c>
      <c r="G438" s="1" t="s">
        <v>26</v>
      </c>
      <c r="H438" s="1" t="s">
        <v>1326</v>
      </c>
      <c r="I438" s="1">
        <v>50616</v>
      </c>
      <c r="J438" s="1" t="s">
        <v>60</v>
      </c>
      <c r="K438" s="1" t="s">
        <v>1327</v>
      </c>
      <c r="L438" s="1" t="s">
        <v>36</v>
      </c>
      <c r="M438" s="1" t="str">
        <f>VLOOKUP(F438,Departments!$A$2:$C$6,2,0)</f>
        <v>Marketing</v>
      </c>
      <c r="N438" s="1" t="str">
        <f>INDEX(Departments!$B:$B,MATCH(Employees!F438,Departments!$A:$A,0))</f>
        <v>Marketing</v>
      </c>
    </row>
    <row r="439" spans="1:14" x14ac:dyDescent="0.3">
      <c r="A439" s="1" t="s">
        <v>1328</v>
      </c>
      <c r="B439" s="1" t="s">
        <v>94</v>
      </c>
      <c r="C439" s="1" t="s">
        <v>130</v>
      </c>
      <c r="D439" s="1" t="s">
        <v>24</v>
      </c>
      <c r="E439" s="1">
        <v>52</v>
      </c>
      <c r="F439" s="1" t="s">
        <v>39</v>
      </c>
      <c r="G439" s="1" t="s">
        <v>17</v>
      </c>
      <c r="H439" s="1" t="s">
        <v>1329</v>
      </c>
      <c r="I439" s="1">
        <v>80964</v>
      </c>
      <c r="J439" s="1" t="s">
        <v>60</v>
      </c>
      <c r="K439" s="1" t="s">
        <v>1330</v>
      </c>
      <c r="L439" s="1" t="s">
        <v>21</v>
      </c>
      <c r="M439" s="1" t="str">
        <f>VLOOKUP(F439,Departments!$A$2:$C$6,2,0)</f>
        <v>Marketing</v>
      </c>
      <c r="N439" s="1" t="str">
        <f>INDEX(Departments!$B:$B,MATCH(Employees!F439,Departments!$A:$A,0))</f>
        <v>Marketing</v>
      </c>
    </row>
    <row r="440" spans="1:14" x14ac:dyDescent="0.3">
      <c r="A440" s="1" t="s">
        <v>1331</v>
      </c>
      <c r="B440" s="1" t="s">
        <v>38</v>
      </c>
      <c r="C440" s="1" t="s">
        <v>83</v>
      </c>
      <c r="D440" s="1" t="s">
        <v>24</v>
      </c>
      <c r="E440" s="1">
        <v>28</v>
      </c>
      <c r="F440" s="1" t="s">
        <v>39</v>
      </c>
      <c r="G440" s="1" t="s">
        <v>26</v>
      </c>
      <c r="H440" s="1" t="s">
        <v>1332</v>
      </c>
      <c r="I440" s="1">
        <v>38806</v>
      </c>
      <c r="J440" s="1" t="s">
        <v>60</v>
      </c>
      <c r="K440" s="1" t="s">
        <v>1333</v>
      </c>
      <c r="L440" s="1" t="s">
        <v>36</v>
      </c>
      <c r="M440" s="1" t="str">
        <f>VLOOKUP(F440,Departments!$A$2:$C$6,2,0)</f>
        <v>Marketing</v>
      </c>
      <c r="N440" s="1" t="str">
        <f>INDEX(Departments!$B:$B,MATCH(Employees!F440,Departments!$A:$A,0))</f>
        <v>Marketing</v>
      </c>
    </row>
    <row r="441" spans="1:14" x14ac:dyDescent="0.3">
      <c r="A441" s="1" t="s">
        <v>1334</v>
      </c>
      <c r="B441" s="1" t="s">
        <v>94</v>
      </c>
      <c r="C441" s="1" t="s">
        <v>83</v>
      </c>
      <c r="D441" s="1" t="s">
        <v>15</v>
      </c>
      <c r="E441" s="1">
        <v>29</v>
      </c>
      <c r="F441" s="1" t="s">
        <v>16</v>
      </c>
      <c r="G441" s="1" t="s">
        <v>32</v>
      </c>
      <c r="H441" s="1" t="s">
        <v>819</v>
      </c>
      <c r="I441" s="1">
        <v>71247</v>
      </c>
      <c r="J441" s="1" t="s">
        <v>60</v>
      </c>
      <c r="K441" s="1" t="s">
        <v>1335</v>
      </c>
      <c r="L441" s="1" t="s">
        <v>36</v>
      </c>
      <c r="M441" s="1" t="str">
        <f>VLOOKUP(F441,Departments!$A$2:$C$6,2,0)</f>
        <v>HR</v>
      </c>
      <c r="N441" s="1" t="str">
        <f>INDEX(Departments!$B:$B,MATCH(Employees!F441,Departments!$A:$A,0))</f>
        <v>HR</v>
      </c>
    </row>
    <row r="442" spans="1:14" x14ac:dyDescent="0.3">
      <c r="A442" s="1" t="s">
        <v>1336</v>
      </c>
      <c r="B442" s="1" t="s">
        <v>58</v>
      </c>
      <c r="C442" s="1" t="s">
        <v>165</v>
      </c>
      <c r="D442" s="1" t="s">
        <v>15</v>
      </c>
      <c r="E442" s="1">
        <v>29</v>
      </c>
      <c r="F442" s="1" t="s">
        <v>39</v>
      </c>
      <c r="G442" s="1" t="s">
        <v>40</v>
      </c>
      <c r="H442" s="1" t="s">
        <v>1337</v>
      </c>
      <c r="I442" s="1">
        <v>109197</v>
      </c>
      <c r="J442" s="1" t="s">
        <v>80</v>
      </c>
      <c r="K442" s="1" t="s">
        <v>1338</v>
      </c>
      <c r="L442" s="1" t="s">
        <v>36</v>
      </c>
      <c r="M442" s="1" t="str">
        <f>VLOOKUP(F442,Departments!$A$2:$C$6,2,0)</f>
        <v>Marketing</v>
      </c>
      <c r="N442" s="1" t="str">
        <f>INDEX(Departments!$B:$B,MATCH(Employees!F442,Departments!$A:$A,0))</f>
        <v>Marketing</v>
      </c>
    </row>
    <row r="443" spans="1:14" x14ac:dyDescent="0.3">
      <c r="A443" s="1" t="s">
        <v>1339</v>
      </c>
      <c r="B443" s="1" t="s">
        <v>44</v>
      </c>
      <c r="C443" s="1" t="s">
        <v>63</v>
      </c>
      <c r="D443" s="1" t="s">
        <v>24</v>
      </c>
      <c r="E443" s="1">
        <v>47</v>
      </c>
      <c r="F443" s="1" t="s">
        <v>31</v>
      </c>
      <c r="G443" s="1" t="s">
        <v>40</v>
      </c>
      <c r="H443" s="1" t="s">
        <v>1340</v>
      </c>
      <c r="I443" s="1">
        <v>77368</v>
      </c>
      <c r="J443" s="1" t="s">
        <v>19</v>
      </c>
      <c r="K443" s="1" t="s">
        <v>1341</v>
      </c>
      <c r="L443" s="1" t="s">
        <v>21</v>
      </c>
      <c r="M443" s="1" t="str">
        <f>VLOOKUP(F443,Departments!$A$2:$C$6,2,0)</f>
        <v>Sales</v>
      </c>
      <c r="N443" s="1" t="str">
        <f>INDEX(Departments!$B:$B,MATCH(Employees!F443,Departments!$A:$A,0))</f>
        <v>Sales</v>
      </c>
    </row>
    <row r="444" spans="1:14" x14ac:dyDescent="0.3">
      <c r="A444" s="1" t="s">
        <v>1342</v>
      </c>
      <c r="B444" s="1" t="s">
        <v>71</v>
      </c>
      <c r="C444" s="1" t="s">
        <v>165</v>
      </c>
      <c r="D444" s="1" t="s">
        <v>24</v>
      </c>
      <c r="E444" s="1">
        <v>41</v>
      </c>
      <c r="F444" s="1" t="s">
        <v>16</v>
      </c>
      <c r="G444" s="1" t="s">
        <v>32</v>
      </c>
      <c r="H444" s="1" t="s">
        <v>1343</v>
      </c>
      <c r="I444" s="1">
        <v>62102</v>
      </c>
      <c r="J444" s="1" t="s">
        <v>80</v>
      </c>
      <c r="K444" s="1" t="s">
        <v>1344</v>
      </c>
      <c r="L444" s="1" t="s">
        <v>36</v>
      </c>
      <c r="M444" s="1" t="str">
        <f>VLOOKUP(F444,Departments!$A$2:$C$6,2,0)</f>
        <v>HR</v>
      </c>
      <c r="N444" s="1" t="str">
        <f>INDEX(Departments!$B:$B,MATCH(Employees!F444,Departments!$A:$A,0))</f>
        <v>HR</v>
      </c>
    </row>
    <row r="445" spans="1:14" x14ac:dyDescent="0.3">
      <c r="A445" s="1" t="s">
        <v>1345</v>
      </c>
      <c r="B445" s="1" t="s">
        <v>44</v>
      </c>
      <c r="C445" s="1" t="s">
        <v>14</v>
      </c>
      <c r="D445" s="1" t="s">
        <v>24</v>
      </c>
      <c r="E445" s="1">
        <v>40</v>
      </c>
      <c r="F445" s="1" t="s">
        <v>16</v>
      </c>
      <c r="G445" s="1" t="s">
        <v>40</v>
      </c>
      <c r="H445" s="1" t="s">
        <v>1346</v>
      </c>
      <c r="I445" s="1">
        <v>66499</v>
      </c>
      <c r="J445" s="1" t="s">
        <v>80</v>
      </c>
      <c r="K445" s="1" t="s">
        <v>1347</v>
      </c>
      <c r="L445" s="1" t="s">
        <v>21</v>
      </c>
      <c r="M445" s="1" t="str">
        <f>VLOOKUP(F445,Departments!$A$2:$C$6,2,0)</f>
        <v>HR</v>
      </c>
      <c r="N445" s="1" t="str">
        <f>INDEX(Departments!$B:$B,MATCH(Employees!F445,Departments!$A:$A,0))</f>
        <v>HR</v>
      </c>
    </row>
    <row r="446" spans="1:14" x14ac:dyDescent="0.3">
      <c r="A446" s="1" t="s">
        <v>1348</v>
      </c>
      <c r="B446" s="1" t="s">
        <v>13</v>
      </c>
      <c r="C446" s="1" t="s">
        <v>23</v>
      </c>
      <c r="D446" s="1" t="s">
        <v>24</v>
      </c>
      <c r="E446" s="1">
        <v>47</v>
      </c>
      <c r="F446" s="1" t="s">
        <v>31</v>
      </c>
      <c r="G446" s="1" t="s">
        <v>108</v>
      </c>
      <c r="H446" s="1" t="s">
        <v>1349</v>
      </c>
      <c r="I446" s="1">
        <v>114326</v>
      </c>
      <c r="J446" s="1" t="s">
        <v>34</v>
      </c>
      <c r="K446" s="1" t="s">
        <v>1350</v>
      </c>
      <c r="L446" s="1" t="s">
        <v>36</v>
      </c>
      <c r="M446" s="1" t="str">
        <f>VLOOKUP(F446,Departments!$A$2:$C$6,2,0)</f>
        <v>Sales</v>
      </c>
      <c r="N446" s="1" t="str">
        <f>INDEX(Departments!$B:$B,MATCH(Employees!F446,Departments!$A:$A,0))</f>
        <v>Sales</v>
      </c>
    </row>
    <row r="447" spans="1:14" x14ac:dyDescent="0.3">
      <c r="A447" s="1" t="s">
        <v>1351</v>
      </c>
      <c r="B447" s="1" t="s">
        <v>54</v>
      </c>
      <c r="C447" s="1" t="s">
        <v>78</v>
      </c>
      <c r="D447" s="1" t="s">
        <v>15</v>
      </c>
      <c r="E447" s="1">
        <v>49</v>
      </c>
      <c r="F447" s="1" t="s">
        <v>25</v>
      </c>
      <c r="G447" s="1" t="s">
        <v>32</v>
      </c>
      <c r="H447" s="1" t="s">
        <v>1352</v>
      </c>
      <c r="I447" s="1">
        <v>98144</v>
      </c>
      <c r="J447" s="1" t="s">
        <v>65</v>
      </c>
      <c r="K447" s="1" t="s">
        <v>1353</v>
      </c>
      <c r="L447" s="1" t="s">
        <v>36</v>
      </c>
      <c r="M447" s="1" t="str">
        <f>VLOOKUP(F447,Departments!$A$2:$C$6,2,0)</f>
        <v>IT</v>
      </c>
      <c r="N447" s="1" t="str">
        <f>INDEX(Departments!$B:$B,MATCH(Employees!F447,Departments!$A:$A,0))</f>
        <v>IT</v>
      </c>
    </row>
    <row r="448" spans="1:14" x14ac:dyDescent="0.3">
      <c r="A448" s="1" t="s">
        <v>1354</v>
      </c>
      <c r="B448" s="1" t="s">
        <v>143</v>
      </c>
      <c r="C448" s="1" t="s">
        <v>95</v>
      </c>
      <c r="D448" s="1" t="s">
        <v>15</v>
      </c>
      <c r="E448" s="1">
        <v>50</v>
      </c>
      <c r="F448" s="1" t="s">
        <v>50</v>
      </c>
      <c r="G448" s="1" t="s">
        <v>40</v>
      </c>
      <c r="H448" s="1" t="s">
        <v>1355</v>
      </c>
      <c r="I448" s="1">
        <v>61804</v>
      </c>
      <c r="J448" s="1" t="s">
        <v>60</v>
      </c>
      <c r="K448" s="1" t="s">
        <v>1356</v>
      </c>
      <c r="L448" s="1" t="s">
        <v>21</v>
      </c>
      <c r="M448" s="1" t="str">
        <f>VLOOKUP(F448,Departments!$A$2:$C$6,2,0)</f>
        <v>Finance</v>
      </c>
      <c r="N448" s="1" t="str">
        <f>INDEX(Departments!$B:$B,MATCH(Employees!F448,Departments!$A:$A,0))</f>
        <v>Finance</v>
      </c>
    </row>
    <row r="449" spans="1:14" x14ac:dyDescent="0.3">
      <c r="A449" s="1" t="s">
        <v>1357</v>
      </c>
      <c r="B449" s="1" t="s">
        <v>94</v>
      </c>
      <c r="C449" s="1" t="s">
        <v>130</v>
      </c>
      <c r="D449" s="1" t="s">
        <v>15</v>
      </c>
      <c r="E449" s="1">
        <v>24</v>
      </c>
      <c r="F449" s="1" t="s">
        <v>16</v>
      </c>
      <c r="G449" s="1" t="s">
        <v>32</v>
      </c>
      <c r="H449" s="1" t="s">
        <v>1358</v>
      </c>
      <c r="I449" s="1">
        <v>42829</v>
      </c>
      <c r="J449" s="1" t="s">
        <v>80</v>
      </c>
      <c r="K449" s="1" t="s">
        <v>1359</v>
      </c>
      <c r="L449" s="1" t="s">
        <v>21</v>
      </c>
      <c r="M449" s="1" t="str">
        <f>VLOOKUP(F449,Departments!$A$2:$C$6,2,0)</f>
        <v>HR</v>
      </c>
      <c r="N449" s="1" t="str">
        <f>INDEX(Departments!$B:$B,MATCH(Employees!F449,Departments!$A:$A,0))</f>
        <v>HR</v>
      </c>
    </row>
    <row r="450" spans="1:14" x14ac:dyDescent="0.3">
      <c r="A450" s="1" t="s">
        <v>1360</v>
      </c>
      <c r="B450" s="1" t="s">
        <v>13</v>
      </c>
      <c r="C450" s="1" t="s">
        <v>45</v>
      </c>
      <c r="D450" s="1" t="s">
        <v>24</v>
      </c>
      <c r="E450" s="1">
        <v>39</v>
      </c>
      <c r="F450" s="1" t="s">
        <v>50</v>
      </c>
      <c r="G450" s="1" t="s">
        <v>108</v>
      </c>
      <c r="H450" s="1" t="s">
        <v>1361</v>
      </c>
      <c r="I450" s="1">
        <v>55874</v>
      </c>
      <c r="J450" s="1" t="s">
        <v>60</v>
      </c>
      <c r="K450" s="1" t="s">
        <v>1362</v>
      </c>
      <c r="L450" s="1" t="s">
        <v>36</v>
      </c>
      <c r="M450" s="1" t="str">
        <f>VLOOKUP(F450,Departments!$A$2:$C$6,2,0)</f>
        <v>Finance</v>
      </c>
      <c r="N450" s="1" t="str">
        <f>INDEX(Departments!$B:$B,MATCH(Employees!F450,Departments!$A:$A,0))</f>
        <v>Finance</v>
      </c>
    </row>
    <row r="451" spans="1:14" x14ac:dyDescent="0.3">
      <c r="A451" s="1" t="s">
        <v>1363</v>
      </c>
      <c r="B451" s="1" t="s">
        <v>49</v>
      </c>
      <c r="C451" s="1" t="s">
        <v>78</v>
      </c>
      <c r="D451" s="1" t="s">
        <v>15</v>
      </c>
      <c r="E451" s="1">
        <v>48</v>
      </c>
      <c r="F451" s="1" t="s">
        <v>31</v>
      </c>
      <c r="G451" s="1" t="s">
        <v>108</v>
      </c>
      <c r="H451" s="1" t="s">
        <v>1364</v>
      </c>
      <c r="I451" s="1">
        <v>110269</v>
      </c>
      <c r="J451" s="1" t="s">
        <v>65</v>
      </c>
      <c r="K451" s="1" t="s">
        <v>1365</v>
      </c>
      <c r="L451" s="1" t="s">
        <v>36</v>
      </c>
      <c r="M451" s="1" t="str">
        <f>VLOOKUP(F451,Departments!$A$2:$C$6,2,0)</f>
        <v>Sales</v>
      </c>
      <c r="N451" s="1" t="str">
        <f>INDEX(Departments!$B:$B,MATCH(Employees!F451,Departments!$A:$A,0))</f>
        <v>Sales</v>
      </c>
    </row>
    <row r="452" spans="1:14" x14ac:dyDescent="0.3">
      <c r="A452" s="1" t="s">
        <v>1366</v>
      </c>
      <c r="B452" s="1" t="s">
        <v>71</v>
      </c>
      <c r="C452" s="1" t="s">
        <v>165</v>
      </c>
      <c r="D452" s="1" t="s">
        <v>15</v>
      </c>
      <c r="E452" s="1">
        <v>49</v>
      </c>
      <c r="F452" s="1" t="s">
        <v>50</v>
      </c>
      <c r="G452" s="1" t="s">
        <v>17</v>
      </c>
      <c r="H452" s="1" t="s">
        <v>1367</v>
      </c>
      <c r="I452" s="1">
        <v>97118</v>
      </c>
      <c r="J452" s="1" t="s">
        <v>65</v>
      </c>
      <c r="K452" s="1" t="s">
        <v>1368</v>
      </c>
      <c r="L452" s="1" t="s">
        <v>36</v>
      </c>
      <c r="M452" s="1" t="str">
        <f>VLOOKUP(F452,Departments!$A$2:$C$6,2,0)</f>
        <v>Finance</v>
      </c>
      <c r="N452" s="1" t="str">
        <f>INDEX(Departments!$B:$B,MATCH(Employees!F452,Departments!$A:$A,0))</f>
        <v>Finance</v>
      </c>
    </row>
    <row r="453" spans="1:14" x14ac:dyDescent="0.3">
      <c r="A453" s="1" t="s">
        <v>1369</v>
      </c>
      <c r="B453" s="1" t="s">
        <v>49</v>
      </c>
      <c r="C453" s="1" t="s">
        <v>23</v>
      </c>
      <c r="D453" s="1" t="s">
        <v>15</v>
      </c>
      <c r="E453" s="1">
        <v>25</v>
      </c>
      <c r="F453" s="1" t="s">
        <v>50</v>
      </c>
      <c r="G453" s="1" t="s">
        <v>108</v>
      </c>
      <c r="H453" s="1" t="s">
        <v>1370</v>
      </c>
      <c r="I453" s="1">
        <v>73245</v>
      </c>
      <c r="J453" s="1" t="s">
        <v>34</v>
      </c>
      <c r="K453" s="1" t="s">
        <v>1371</v>
      </c>
      <c r="L453" s="1" t="s">
        <v>36</v>
      </c>
      <c r="M453" s="1" t="str">
        <f>VLOOKUP(F453,Departments!$A$2:$C$6,2,0)</f>
        <v>Finance</v>
      </c>
      <c r="N453" s="1" t="str">
        <f>INDEX(Departments!$B:$B,MATCH(Employees!F453,Departments!$A:$A,0))</f>
        <v>Finance</v>
      </c>
    </row>
    <row r="454" spans="1:14" x14ac:dyDescent="0.3">
      <c r="A454" s="1" t="s">
        <v>1372</v>
      </c>
      <c r="B454" s="1" t="s">
        <v>38</v>
      </c>
      <c r="C454" s="1" t="s">
        <v>130</v>
      </c>
      <c r="D454" s="1" t="s">
        <v>15</v>
      </c>
      <c r="E454" s="1">
        <v>53</v>
      </c>
      <c r="F454" s="1" t="s">
        <v>50</v>
      </c>
      <c r="G454" s="1" t="s">
        <v>108</v>
      </c>
      <c r="H454" s="1" t="s">
        <v>1373</v>
      </c>
      <c r="I454" s="1">
        <v>35589</v>
      </c>
      <c r="J454" s="1" t="s">
        <v>60</v>
      </c>
      <c r="K454" s="1" t="s">
        <v>1374</v>
      </c>
      <c r="L454" s="1" t="s">
        <v>36</v>
      </c>
      <c r="M454" s="1" t="str">
        <f>VLOOKUP(F454,Departments!$A$2:$C$6,2,0)</f>
        <v>Finance</v>
      </c>
      <c r="N454" s="1" t="str">
        <f>INDEX(Departments!$B:$B,MATCH(Employees!F454,Departments!$A:$A,0))</f>
        <v>Finance</v>
      </c>
    </row>
    <row r="455" spans="1:14" x14ac:dyDescent="0.3">
      <c r="A455" s="1" t="s">
        <v>1375</v>
      </c>
      <c r="B455" s="1" t="s">
        <v>30</v>
      </c>
      <c r="C455" s="1" t="s">
        <v>90</v>
      </c>
      <c r="D455" s="1" t="s">
        <v>24</v>
      </c>
      <c r="E455" s="1">
        <v>35</v>
      </c>
      <c r="F455" s="1" t="s">
        <v>39</v>
      </c>
      <c r="G455" s="1" t="s">
        <v>40</v>
      </c>
      <c r="H455" s="1" t="s">
        <v>1376</v>
      </c>
      <c r="I455" s="1">
        <v>79751</v>
      </c>
      <c r="J455" s="1" t="s">
        <v>19</v>
      </c>
      <c r="K455" s="1" t="s">
        <v>1377</v>
      </c>
      <c r="L455" s="1" t="s">
        <v>21</v>
      </c>
      <c r="M455" s="1" t="str">
        <f>VLOOKUP(F455,Departments!$A$2:$C$6,2,0)</f>
        <v>Marketing</v>
      </c>
      <c r="N455" s="1" t="str">
        <f>INDEX(Departments!$B:$B,MATCH(Employees!F455,Departments!$A:$A,0))</f>
        <v>Marketing</v>
      </c>
    </row>
    <row r="456" spans="1:14" x14ac:dyDescent="0.3">
      <c r="A456" s="1" t="s">
        <v>1378</v>
      </c>
      <c r="B456" s="1" t="s">
        <v>143</v>
      </c>
      <c r="C456" s="1" t="s">
        <v>14</v>
      </c>
      <c r="D456" s="1" t="s">
        <v>24</v>
      </c>
      <c r="E456" s="1">
        <v>53</v>
      </c>
      <c r="F456" s="1" t="s">
        <v>25</v>
      </c>
      <c r="G456" s="1" t="s">
        <v>108</v>
      </c>
      <c r="H456" s="1" t="s">
        <v>1379</v>
      </c>
      <c r="I456" s="1">
        <v>67994</v>
      </c>
      <c r="J456" s="1" t="s">
        <v>34</v>
      </c>
      <c r="K456" s="1" t="s">
        <v>1380</v>
      </c>
      <c r="L456" s="1" t="s">
        <v>21</v>
      </c>
      <c r="M456" s="1" t="str">
        <f>VLOOKUP(F456,Departments!$A$2:$C$6,2,0)</f>
        <v>IT</v>
      </c>
      <c r="N456" s="1" t="str">
        <f>INDEX(Departments!$B:$B,MATCH(Employees!F456,Departments!$A:$A,0))</f>
        <v>IT</v>
      </c>
    </row>
    <row r="457" spans="1:14" x14ac:dyDescent="0.3">
      <c r="A457" s="1" t="s">
        <v>1381</v>
      </c>
      <c r="B457" s="1" t="s">
        <v>143</v>
      </c>
      <c r="C457" s="1" t="s">
        <v>78</v>
      </c>
      <c r="D457" s="1" t="s">
        <v>24</v>
      </c>
      <c r="E457" s="1">
        <v>28</v>
      </c>
      <c r="F457" s="1" t="s">
        <v>39</v>
      </c>
      <c r="G457" s="1" t="s">
        <v>26</v>
      </c>
      <c r="H457" s="1" t="s">
        <v>1382</v>
      </c>
      <c r="I457" s="1">
        <v>51178</v>
      </c>
      <c r="J457" s="1" t="s">
        <v>19</v>
      </c>
      <c r="K457" s="1" t="s">
        <v>1383</v>
      </c>
      <c r="L457" s="1" t="s">
        <v>21</v>
      </c>
      <c r="M457" s="1" t="str">
        <f>VLOOKUP(F457,Departments!$A$2:$C$6,2,0)</f>
        <v>Marketing</v>
      </c>
      <c r="N457" s="1" t="str">
        <f>INDEX(Departments!$B:$B,MATCH(Employees!F457,Departments!$A:$A,0))</f>
        <v>Marketing</v>
      </c>
    </row>
    <row r="458" spans="1:14" x14ac:dyDescent="0.3">
      <c r="A458" s="1" t="s">
        <v>1384</v>
      </c>
      <c r="B458" s="1" t="s">
        <v>44</v>
      </c>
      <c r="C458" s="1" t="s">
        <v>165</v>
      </c>
      <c r="D458" s="1" t="s">
        <v>15</v>
      </c>
      <c r="E458" s="1">
        <v>29</v>
      </c>
      <c r="F458" s="1" t="s">
        <v>16</v>
      </c>
      <c r="G458" s="1" t="s">
        <v>108</v>
      </c>
      <c r="H458" s="1" t="s">
        <v>1385</v>
      </c>
      <c r="I458" s="1">
        <v>40759</v>
      </c>
      <c r="J458" s="1" t="s">
        <v>65</v>
      </c>
      <c r="K458" s="1" t="s">
        <v>1386</v>
      </c>
      <c r="L458" s="1" t="s">
        <v>21</v>
      </c>
      <c r="M458" s="1" t="str">
        <f>VLOOKUP(F458,Departments!$A$2:$C$6,2,0)</f>
        <v>HR</v>
      </c>
      <c r="N458" s="1" t="str">
        <f>INDEX(Departments!$B:$B,MATCH(Employees!F458,Departments!$A:$A,0))</f>
        <v>HR</v>
      </c>
    </row>
    <row r="459" spans="1:14" x14ac:dyDescent="0.3">
      <c r="A459" s="1" t="s">
        <v>1387</v>
      </c>
      <c r="B459" s="1" t="s">
        <v>38</v>
      </c>
      <c r="C459" s="1" t="s">
        <v>78</v>
      </c>
      <c r="D459" s="1" t="s">
        <v>15</v>
      </c>
      <c r="E459" s="1">
        <v>32</v>
      </c>
      <c r="F459" s="1" t="s">
        <v>16</v>
      </c>
      <c r="G459" s="1" t="s">
        <v>26</v>
      </c>
      <c r="H459" s="1" t="s">
        <v>1388</v>
      </c>
      <c r="I459" s="1">
        <v>98394</v>
      </c>
      <c r="J459" s="1" t="s">
        <v>19</v>
      </c>
      <c r="K459" s="1" t="s">
        <v>1389</v>
      </c>
      <c r="L459" s="1" t="s">
        <v>36</v>
      </c>
      <c r="M459" s="1" t="str">
        <f>VLOOKUP(F459,Departments!$A$2:$C$6,2,0)</f>
        <v>HR</v>
      </c>
      <c r="N459" s="1" t="str">
        <f>INDEX(Departments!$B:$B,MATCH(Employees!F459,Departments!$A:$A,0))</f>
        <v>HR</v>
      </c>
    </row>
    <row r="460" spans="1:14" x14ac:dyDescent="0.3">
      <c r="A460" s="1" t="s">
        <v>1390</v>
      </c>
      <c r="B460" s="1" t="s">
        <v>54</v>
      </c>
      <c r="C460" s="1" t="s">
        <v>14</v>
      </c>
      <c r="D460" s="1" t="s">
        <v>15</v>
      </c>
      <c r="E460" s="1">
        <v>37</v>
      </c>
      <c r="F460" s="1" t="s">
        <v>50</v>
      </c>
      <c r="G460" s="1" t="s">
        <v>32</v>
      </c>
      <c r="H460" s="1" t="s">
        <v>1391</v>
      </c>
      <c r="I460" s="1">
        <v>90148</v>
      </c>
      <c r="J460" s="1" t="s">
        <v>65</v>
      </c>
      <c r="K460" s="1" t="s">
        <v>1392</v>
      </c>
      <c r="L460" s="1" t="s">
        <v>21</v>
      </c>
      <c r="M460" s="1" t="str">
        <f>VLOOKUP(F460,Departments!$A$2:$C$6,2,0)</f>
        <v>Finance</v>
      </c>
      <c r="N460" s="1" t="str">
        <f>INDEX(Departments!$B:$B,MATCH(Employees!F460,Departments!$A:$A,0))</f>
        <v>Finance</v>
      </c>
    </row>
    <row r="461" spans="1:14" x14ac:dyDescent="0.3">
      <c r="A461" s="1" t="s">
        <v>1393</v>
      </c>
      <c r="B461" s="1" t="s">
        <v>30</v>
      </c>
      <c r="C461" s="1" t="s">
        <v>45</v>
      </c>
      <c r="D461" s="1" t="s">
        <v>24</v>
      </c>
      <c r="E461" s="1">
        <v>32</v>
      </c>
      <c r="F461" s="1" t="s">
        <v>31</v>
      </c>
      <c r="G461" s="1" t="s">
        <v>17</v>
      </c>
      <c r="H461" s="1" t="s">
        <v>460</v>
      </c>
      <c r="I461" s="1">
        <v>63176</v>
      </c>
      <c r="J461" s="1" t="s">
        <v>34</v>
      </c>
      <c r="K461" s="1" t="s">
        <v>1394</v>
      </c>
      <c r="L461" s="1" t="s">
        <v>21</v>
      </c>
      <c r="M461" s="1" t="str">
        <f>VLOOKUP(F461,Departments!$A$2:$C$6,2,0)</f>
        <v>Sales</v>
      </c>
      <c r="N461" s="1" t="str">
        <f>INDEX(Departments!$B:$B,MATCH(Employees!F461,Departments!$A:$A,0))</f>
        <v>Sales</v>
      </c>
    </row>
    <row r="462" spans="1:14" x14ac:dyDescent="0.3">
      <c r="A462" s="1" t="s">
        <v>1395</v>
      </c>
      <c r="B462" s="1" t="s">
        <v>94</v>
      </c>
      <c r="C462" s="1" t="s">
        <v>90</v>
      </c>
      <c r="D462" s="1" t="s">
        <v>24</v>
      </c>
      <c r="E462" s="1">
        <v>55</v>
      </c>
      <c r="F462" s="1" t="s">
        <v>25</v>
      </c>
      <c r="G462" s="1" t="s">
        <v>26</v>
      </c>
      <c r="H462" s="1" t="s">
        <v>1396</v>
      </c>
      <c r="I462" s="1">
        <v>86434</v>
      </c>
      <c r="J462" s="1" t="s">
        <v>65</v>
      </c>
      <c r="K462" s="1" t="s">
        <v>1397</v>
      </c>
      <c r="L462" s="1" t="s">
        <v>36</v>
      </c>
      <c r="M462" s="1" t="str">
        <f>VLOOKUP(F462,Departments!$A$2:$C$6,2,0)</f>
        <v>IT</v>
      </c>
      <c r="N462" s="1" t="str">
        <f>INDEX(Departments!$B:$B,MATCH(Employees!F462,Departments!$A:$A,0))</f>
        <v>IT</v>
      </c>
    </row>
    <row r="463" spans="1:14" x14ac:dyDescent="0.3">
      <c r="A463" s="1" t="s">
        <v>1398</v>
      </c>
      <c r="B463" s="1" t="s">
        <v>143</v>
      </c>
      <c r="C463" s="1" t="s">
        <v>90</v>
      </c>
      <c r="D463" s="1" t="s">
        <v>15</v>
      </c>
      <c r="E463" s="1">
        <v>42</v>
      </c>
      <c r="F463" s="1" t="s">
        <v>39</v>
      </c>
      <c r="G463" s="1" t="s">
        <v>17</v>
      </c>
      <c r="H463" s="1" t="s">
        <v>1399</v>
      </c>
      <c r="I463" s="1">
        <v>70836</v>
      </c>
      <c r="J463" s="1" t="s">
        <v>65</v>
      </c>
      <c r="K463" s="1" t="s">
        <v>1400</v>
      </c>
      <c r="L463" s="1" t="s">
        <v>36</v>
      </c>
      <c r="M463" s="1" t="str">
        <f>VLOOKUP(F463,Departments!$A$2:$C$6,2,0)</f>
        <v>Marketing</v>
      </c>
      <c r="N463" s="1" t="str">
        <f>INDEX(Departments!$B:$B,MATCH(Employees!F463,Departments!$A:$A,0))</f>
        <v>Marketing</v>
      </c>
    </row>
    <row r="464" spans="1:14" x14ac:dyDescent="0.3">
      <c r="A464" s="1" t="s">
        <v>1401</v>
      </c>
      <c r="B464" s="1" t="s">
        <v>38</v>
      </c>
      <c r="C464" s="1" t="s">
        <v>95</v>
      </c>
      <c r="D464" s="1" t="s">
        <v>24</v>
      </c>
      <c r="E464" s="1">
        <v>49</v>
      </c>
      <c r="F464" s="1" t="s">
        <v>31</v>
      </c>
      <c r="G464" s="1" t="s">
        <v>32</v>
      </c>
      <c r="H464" s="1" t="s">
        <v>1402</v>
      </c>
      <c r="I464" s="1">
        <v>40805</v>
      </c>
      <c r="J464" s="1" t="s">
        <v>19</v>
      </c>
      <c r="K464" s="1" t="s">
        <v>1403</v>
      </c>
      <c r="L464" s="1" t="s">
        <v>21</v>
      </c>
      <c r="M464" s="1" t="str">
        <f>VLOOKUP(F464,Departments!$A$2:$C$6,2,0)</f>
        <v>Sales</v>
      </c>
      <c r="N464" s="1" t="str">
        <f>INDEX(Departments!$B:$B,MATCH(Employees!F464,Departments!$A:$A,0))</f>
        <v>Sales</v>
      </c>
    </row>
    <row r="465" spans="1:14" x14ac:dyDescent="0.3">
      <c r="A465" s="1" t="s">
        <v>1404</v>
      </c>
      <c r="B465" s="1" t="s">
        <v>44</v>
      </c>
      <c r="C465" s="1" t="s">
        <v>165</v>
      </c>
      <c r="D465" s="1" t="s">
        <v>24</v>
      </c>
      <c r="E465" s="1">
        <v>23</v>
      </c>
      <c r="F465" s="1" t="s">
        <v>16</v>
      </c>
      <c r="G465" s="1" t="s">
        <v>40</v>
      </c>
      <c r="H465" s="1" t="s">
        <v>1405</v>
      </c>
      <c r="I465" s="1">
        <v>117635</v>
      </c>
      <c r="J465" s="1" t="s">
        <v>34</v>
      </c>
      <c r="K465" s="1" t="s">
        <v>1406</v>
      </c>
      <c r="L465" s="1" t="s">
        <v>21</v>
      </c>
      <c r="M465" s="1" t="str">
        <f>VLOOKUP(F465,Departments!$A$2:$C$6,2,0)</f>
        <v>HR</v>
      </c>
      <c r="N465" s="1" t="str">
        <f>INDEX(Departments!$B:$B,MATCH(Employees!F465,Departments!$A:$A,0))</f>
        <v>HR</v>
      </c>
    </row>
    <row r="466" spans="1:14" x14ac:dyDescent="0.3">
      <c r="A466" s="1" t="s">
        <v>1407</v>
      </c>
      <c r="B466" s="1" t="s">
        <v>13</v>
      </c>
      <c r="C466" s="1" t="s">
        <v>83</v>
      </c>
      <c r="D466" s="1" t="s">
        <v>24</v>
      </c>
      <c r="E466" s="1">
        <v>45</v>
      </c>
      <c r="F466" s="1" t="s">
        <v>50</v>
      </c>
      <c r="G466" s="1" t="s">
        <v>40</v>
      </c>
      <c r="H466" s="1" t="s">
        <v>1408</v>
      </c>
      <c r="I466" s="1">
        <v>100678</v>
      </c>
      <c r="J466" s="1" t="s">
        <v>19</v>
      </c>
      <c r="K466" s="1" t="s">
        <v>1409</v>
      </c>
      <c r="L466" s="1" t="s">
        <v>36</v>
      </c>
      <c r="M466" s="1" t="str">
        <f>VLOOKUP(F466,Departments!$A$2:$C$6,2,0)</f>
        <v>Finance</v>
      </c>
      <c r="N466" s="1" t="str">
        <f>INDEX(Departments!$B:$B,MATCH(Employees!F466,Departments!$A:$A,0))</f>
        <v>Finance</v>
      </c>
    </row>
    <row r="467" spans="1:14" x14ac:dyDescent="0.3">
      <c r="A467" s="1" t="s">
        <v>1410</v>
      </c>
      <c r="B467" s="1" t="s">
        <v>30</v>
      </c>
      <c r="C467" s="1" t="s">
        <v>95</v>
      </c>
      <c r="D467" s="1" t="s">
        <v>24</v>
      </c>
      <c r="E467" s="1">
        <v>39</v>
      </c>
      <c r="F467" s="1" t="s">
        <v>16</v>
      </c>
      <c r="G467" s="1" t="s">
        <v>108</v>
      </c>
      <c r="H467" s="1" t="s">
        <v>1411</v>
      </c>
      <c r="I467" s="1">
        <v>76443</v>
      </c>
      <c r="J467" s="1" t="s">
        <v>65</v>
      </c>
      <c r="K467" s="1" t="s">
        <v>1412</v>
      </c>
      <c r="L467" s="1" t="s">
        <v>36</v>
      </c>
      <c r="M467" s="1" t="str">
        <f>VLOOKUP(F467,Departments!$A$2:$C$6,2,0)</f>
        <v>HR</v>
      </c>
      <c r="N467" s="1" t="str">
        <f>INDEX(Departments!$B:$B,MATCH(Employees!F467,Departments!$A:$A,0))</f>
        <v>HR</v>
      </c>
    </row>
    <row r="468" spans="1:14" x14ac:dyDescent="0.3">
      <c r="A468" s="1" t="s">
        <v>1413</v>
      </c>
      <c r="B468" s="1" t="s">
        <v>30</v>
      </c>
      <c r="C468" s="1" t="s">
        <v>90</v>
      </c>
      <c r="D468" s="1" t="s">
        <v>24</v>
      </c>
      <c r="E468" s="1">
        <v>44</v>
      </c>
      <c r="F468" s="1" t="s">
        <v>50</v>
      </c>
      <c r="G468" s="1" t="s">
        <v>26</v>
      </c>
      <c r="H468" s="1" t="s">
        <v>1414</v>
      </c>
      <c r="I468" s="1">
        <v>98210</v>
      </c>
      <c r="J468" s="1" t="s">
        <v>34</v>
      </c>
      <c r="K468" s="1" t="s">
        <v>1415</v>
      </c>
      <c r="L468" s="1" t="s">
        <v>21</v>
      </c>
      <c r="M468" s="1" t="str">
        <f>VLOOKUP(F468,Departments!$A$2:$C$6,2,0)</f>
        <v>Finance</v>
      </c>
      <c r="N468" s="1" t="str">
        <f>INDEX(Departments!$B:$B,MATCH(Employees!F468,Departments!$A:$A,0))</f>
        <v>Finance</v>
      </c>
    </row>
    <row r="469" spans="1:14" x14ac:dyDescent="0.3">
      <c r="A469" s="1" t="s">
        <v>1416</v>
      </c>
      <c r="B469" s="1" t="s">
        <v>30</v>
      </c>
      <c r="C469" s="1" t="s">
        <v>83</v>
      </c>
      <c r="D469" s="1" t="s">
        <v>24</v>
      </c>
      <c r="E469" s="1">
        <v>60</v>
      </c>
      <c r="F469" s="1" t="s">
        <v>16</v>
      </c>
      <c r="G469" s="1" t="s">
        <v>40</v>
      </c>
      <c r="H469" s="1" t="s">
        <v>1417</v>
      </c>
      <c r="I469" s="1">
        <v>83719</v>
      </c>
      <c r="J469" s="1" t="s">
        <v>34</v>
      </c>
      <c r="K469" s="1" t="s">
        <v>1418</v>
      </c>
      <c r="L469" s="1" t="s">
        <v>36</v>
      </c>
      <c r="M469" s="1" t="str">
        <f>VLOOKUP(F469,Departments!$A$2:$C$6,2,0)</f>
        <v>HR</v>
      </c>
      <c r="N469" s="1" t="str">
        <f>INDEX(Departments!$B:$B,MATCH(Employees!F469,Departments!$A:$A,0))</f>
        <v>HR</v>
      </c>
    </row>
    <row r="470" spans="1:14" x14ac:dyDescent="0.3">
      <c r="A470" s="1" t="s">
        <v>1419</v>
      </c>
      <c r="B470" s="1" t="s">
        <v>49</v>
      </c>
      <c r="C470" s="1" t="s">
        <v>14</v>
      </c>
      <c r="D470" s="1" t="s">
        <v>24</v>
      </c>
      <c r="E470" s="1">
        <v>53</v>
      </c>
      <c r="F470" s="1" t="s">
        <v>25</v>
      </c>
      <c r="G470" s="1" t="s">
        <v>26</v>
      </c>
      <c r="H470" s="1" t="s">
        <v>1420</v>
      </c>
      <c r="I470" s="1">
        <v>50965</v>
      </c>
      <c r="J470" s="1" t="s">
        <v>60</v>
      </c>
      <c r="K470" s="1" t="s">
        <v>1421</v>
      </c>
      <c r="L470" s="1" t="s">
        <v>21</v>
      </c>
      <c r="M470" s="1" t="str">
        <f>VLOOKUP(F470,Departments!$A$2:$C$6,2,0)</f>
        <v>IT</v>
      </c>
      <c r="N470" s="1" t="str">
        <f>INDEX(Departments!$B:$B,MATCH(Employees!F470,Departments!$A:$A,0))</f>
        <v>IT</v>
      </c>
    </row>
    <row r="471" spans="1:14" x14ac:dyDescent="0.3">
      <c r="A471" s="1" t="s">
        <v>1422</v>
      </c>
      <c r="B471" s="1" t="s">
        <v>94</v>
      </c>
      <c r="C471" s="1" t="s">
        <v>63</v>
      </c>
      <c r="D471" s="1" t="s">
        <v>24</v>
      </c>
      <c r="E471" s="1">
        <v>60</v>
      </c>
      <c r="F471" s="1" t="s">
        <v>50</v>
      </c>
      <c r="G471" s="1" t="s">
        <v>26</v>
      </c>
      <c r="H471" s="1" t="s">
        <v>1423</v>
      </c>
      <c r="I471" s="1">
        <v>113605</v>
      </c>
      <c r="J471" s="1" t="s">
        <v>60</v>
      </c>
      <c r="K471" s="1" t="s">
        <v>1424</v>
      </c>
      <c r="L471" s="1" t="s">
        <v>21</v>
      </c>
      <c r="M471" s="1" t="str">
        <f>VLOOKUP(F471,Departments!$A$2:$C$6,2,0)</f>
        <v>Finance</v>
      </c>
      <c r="N471" s="1" t="str">
        <f>INDEX(Departments!$B:$B,MATCH(Employees!F471,Departments!$A:$A,0))</f>
        <v>Finance</v>
      </c>
    </row>
    <row r="472" spans="1:14" x14ac:dyDescent="0.3">
      <c r="A472" s="1" t="s">
        <v>1425</v>
      </c>
      <c r="B472" s="1" t="s">
        <v>58</v>
      </c>
      <c r="C472" s="1" t="s">
        <v>78</v>
      </c>
      <c r="D472" s="1" t="s">
        <v>15</v>
      </c>
      <c r="E472" s="1">
        <v>57</v>
      </c>
      <c r="F472" s="1" t="s">
        <v>39</v>
      </c>
      <c r="G472" s="1" t="s">
        <v>40</v>
      </c>
      <c r="H472" s="1" t="s">
        <v>323</v>
      </c>
      <c r="I472" s="1">
        <v>80135</v>
      </c>
      <c r="J472" s="1" t="s">
        <v>34</v>
      </c>
      <c r="K472" s="1" t="s">
        <v>1426</v>
      </c>
      <c r="L472" s="1" t="s">
        <v>21</v>
      </c>
      <c r="M472" s="1" t="str">
        <f>VLOOKUP(F472,Departments!$A$2:$C$6,2,0)</f>
        <v>Marketing</v>
      </c>
      <c r="N472" s="1" t="str">
        <f>INDEX(Departments!$B:$B,MATCH(Employees!F472,Departments!$A:$A,0))</f>
        <v>Marketing</v>
      </c>
    </row>
    <row r="473" spans="1:14" x14ac:dyDescent="0.3">
      <c r="A473" s="1" t="s">
        <v>1427</v>
      </c>
      <c r="B473" s="1" t="s">
        <v>71</v>
      </c>
      <c r="C473" s="1" t="s">
        <v>23</v>
      </c>
      <c r="D473" s="1" t="s">
        <v>24</v>
      </c>
      <c r="E473" s="1">
        <v>53</v>
      </c>
      <c r="F473" s="1" t="s">
        <v>50</v>
      </c>
      <c r="G473" s="1" t="s">
        <v>108</v>
      </c>
      <c r="H473" s="1" t="s">
        <v>1428</v>
      </c>
      <c r="I473" s="1">
        <v>56690</v>
      </c>
      <c r="J473" s="1" t="s">
        <v>60</v>
      </c>
      <c r="K473" s="1" t="s">
        <v>1429</v>
      </c>
      <c r="L473" s="1" t="s">
        <v>21</v>
      </c>
      <c r="M473" s="1" t="str">
        <f>VLOOKUP(F473,Departments!$A$2:$C$6,2,0)</f>
        <v>Finance</v>
      </c>
      <c r="N473" s="1" t="str">
        <f>INDEX(Departments!$B:$B,MATCH(Employees!F473,Departments!$A:$A,0))</f>
        <v>Finance</v>
      </c>
    </row>
    <row r="474" spans="1:14" x14ac:dyDescent="0.3">
      <c r="A474" s="1" t="s">
        <v>1430</v>
      </c>
      <c r="B474" s="1" t="s">
        <v>49</v>
      </c>
      <c r="C474" s="1" t="s">
        <v>45</v>
      </c>
      <c r="D474" s="1" t="s">
        <v>24</v>
      </c>
      <c r="E474" s="1">
        <v>30</v>
      </c>
      <c r="F474" s="1" t="s">
        <v>50</v>
      </c>
      <c r="G474" s="1" t="s">
        <v>32</v>
      </c>
      <c r="H474" s="1" t="s">
        <v>243</v>
      </c>
      <c r="I474" s="1">
        <v>40070</v>
      </c>
      <c r="J474" s="1" t="s">
        <v>80</v>
      </c>
      <c r="K474" s="1" t="s">
        <v>1431</v>
      </c>
      <c r="L474" s="1" t="s">
        <v>21</v>
      </c>
      <c r="M474" s="1" t="str">
        <f>VLOOKUP(F474,Departments!$A$2:$C$6,2,0)</f>
        <v>Finance</v>
      </c>
      <c r="N474" s="1" t="str">
        <f>INDEX(Departments!$B:$B,MATCH(Employees!F474,Departments!$A:$A,0))</f>
        <v>Finance</v>
      </c>
    </row>
    <row r="475" spans="1:14" x14ac:dyDescent="0.3">
      <c r="A475" s="1" t="s">
        <v>1432</v>
      </c>
      <c r="B475" s="1" t="s">
        <v>30</v>
      </c>
      <c r="C475" s="1" t="s">
        <v>165</v>
      </c>
      <c r="D475" s="1" t="s">
        <v>24</v>
      </c>
      <c r="E475" s="1">
        <v>57</v>
      </c>
      <c r="F475" s="1" t="s">
        <v>16</v>
      </c>
      <c r="G475" s="1" t="s">
        <v>40</v>
      </c>
      <c r="H475" s="1" t="s">
        <v>1433</v>
      </c>
      <c r="I475" s="1">
        <v>83252</v>
      </c>
      <c r="J475" s="1" t="s">
        <v>60</v>
      </c>
      <c r="K475" s="1" t="s">
        <v>1434</v>
      </c>
      <c r="L475" s="1" t="s">
        <v>21</v>
      </c>
      <c r="M475" s="1" t="str">
        <f>VLOOKUP(F475,Departments!$A$2:$C$6,2,0)</f>
        <v>HR</v>
      </c>
      <c r="N475" s="1" t="str">
        <f>INDEX(Departments!$B:$B,MATCH(Employees!F475,Departments!$A:$A,0))</f>
        <v>HR</v>
      </c>
    </row>
    <row r="476" spans="1:14" x14ac:dyDescent="0.3">
      <c r="A476" s="1" t="s">
        <v>1435</v>
      </c>
      <c r="B476" s="1" t="s">
        <v>71</v>
      </c>
      <c r="C476" s="1" t="s">
        <v>90</v>
      </c>
      <c r="D476" s="1" t="s">
        <v>24</v>
      </c>
      <c r="E476" s="1">
        <v>48</v>
      </c>
      <c r="F476" s="1" t="s">
        <v>31</v>
      </c>
      <c r="G476" s="1" t="s">
        <v>40</v>
      </c>
      <c r="H476" s="1" t="s">
        <v>1196</v>
      </c>
      <c r="I476" s="1">
        <v>66939</v>
      </c>
      <c r="J476" s="1" t="s">
        <v>19</v>
      </c>
      <c r="K476" s="1" t="s">
        <v>1436</v>
      </c>
      <c r="L476" s="1" t="s">
        <v>36</v>
      </c>
      <c r="M476" s="1" t="str">
        <f>VLOOKUP(F476,Departments!$A$2:$C$6,2,0)</f>
        <v>Sales</v>
      </c>
      <c r="N476" s="1" t="str">
        <f>INDEX(Departments!$B:$B,MATCH(Employees!F476,Departments!$A:$A,0))</f>
        <v>Sales</v>
      </c>
    </row>
    <row r="477" spans="1:14" x14ac:dyDescent="0.3">
      <c r="A477" s="1" t="s">
        <v>1437</v>
      </c>
      <c r="B477" s="1" t="s">
        <v>13</v>
      </c>
      <c r="C477" s="1" t="s">
        <v>90</v>
      </c>
      <c r="D477" s="1" t="s">
        <v>24</v>
      </c>
      <c r="E477" s="1">
        <v>58</v>
      </c>
      <c r="F477" s="1" t="s">
        <v>31</v>
      </c>
      <c r="G477" s="1" t="s">
        <v>17</v>
      </c>
      <c r="H477" s="1" t="s">
        <v>1438</v>
      </c>
      <c r="I477" s="1">
        <v>51367</v>
      </c>
      <c r="J477" s="1" t="s">
        <v>65</v>
      </c>
      <c r="K477" s="1" t="s">
        <v>1439</v>
      </c>
      <c r="L477" s="1" t="s">
        <v>21</v>
      </c>
      <c r="M477" s="1" t="str">
        <f>VLOOKUP(F477,Departments!$A$2:$C$6,2,0)</f>
        <v>Sales</v>
      </c>
      <c r="N477" s="1" t="str">
        <f>INDEX(Departments!$B:$B,MATCH(Employees!F477,Departments!$A:$A,0))</f>
        <v>Sales</v>
      </c>
    </row>
    <row r="478" spans="1:14" x14ac:dyDescent="0.3">
      <c r="A478" s="1" t="s">
        <v>1440</v>
      </c>
      <c r="B478" s="1" t="s">
        <v>143</v>
      </c>
      <c r="C478" s="1" t="s">
        <v>95</v>
      </c>
      <c r="D478" s="1" t="s">
        <v>15</v>
      </c>
      <c r="E478" s="1">
        <v>60</v>
      </c>
      <c r="F478" s="1" t="s">
        <v>31</v>
      </c>
      <c r="G478" s="1" t="s">
        <v>17</v>
      </c>
      <c r="H478" s="1" t="s">
        <v>1441</v>
      </c>
      <c r="I478" s="1">
        <v>94212</v>
      </c>
      <c r="J478" s="1" t="s">
        <v>34</v>
      </c>
      <c r="K478" s="1" t="s">
        <v>1442</v>
      </c>
      <c r="L478" s="1" t="s">
        <v>21</v>
      </c>
      <c r="M478" s="1" t="str">
        <f>VLOOKUP(F478,Departments!$A$2:$C$6,2,0)</f>
        <v>Sales</v>
      </c>
      <c r="N478" s="1" t="str">
        <f>INDEX(Departments!$B:$B,MATCH(Employees!F478,Departments!$A:$A,0))</f>
        <v>Sales</v>
      </c>
    </row>
    <row r="479" spans="1:14" x14ac:dyDescent="0.3">
      <c r="A479" s="1" t="s">
        <v>1443</v>
      </c>
      <c r="B479" s="1" t="s">
        <v>44</v>
      </c>
      <c r="C479" s="1" t="s">
        <v>130</v>
      </c>
      <c r="D479" s="1" t="s">
        <v>24</v>
      </c>
      <c r="E479" s="1">
        <v>44</v>
      </c>
      <c r="F479" s="1" t="s">
        <v>50</v>
      </c>
      <c r="G479" s="1" t="s">
        <v>40</v>
      </c>
      <c r="H479" s="1" t="s">
        <v>1000</v>
      </c>
      <c r="I479" s="1">
        <v>47411</v>
      </c>
      <c r="J479" s="1" t="s">
        <v>60</v>
      </c>
      <c r="K479" s="1" t="s">
        <v>1444</v>
      </c>
      <c r="L479" s="1" t="s">
        <v>36</v>
      </c>
      <c r="M479" s="1" t="str">
        <f>VLOOKUP(F479,Departments!$A$2:$C$6,2,0)</f>
        <v>Finance</v>
      </c>
      <c r="N479" s="1" t="str">
        <f>INDEX(Departments!$B:$B,MATCH(Employees!F479,Departments!$A:$A,0))</f>
        <v>Finance</v>
      </c>
    </row>
    <row r="480" spans="1:14" x14ac:dyDescent="0.3">
      <c r="A480" s="1" t="s">
        <v>1445</v>
      </c>
      <c r="B480" s="1" t="s">
        <v>54</v>
      </c>
      <c r="C480" s="1" t="s">
        <v>23</v>
      </c>
      <c r="D480" s="1" t="s">
        <v>15</v>
      </c>
      <c r="E480" s="1">
        <v>49</v>
      </c>
      <c r="F480" s="1" t="s">
        <v>31</v>
      </c>
      <c r="G480" s="1" t="s">
        <v>26</v>
      </c>
      <c r="H480" s="1" t="s">
        <v>1446</v>
      </c>
      <c r="I480" s="1">
        <v>67896</v>
      </c>
      <c r="J480" s="1" t="s">
        <v>34</v>
      </c>
      <c r="K480" s="1" t="s">
        <v>1447</v>
      </c>
      <c r="L480" s="1" t="s">
        <v>36</v>
      </c>
      <c r="M480" s="1" t="str">
        <f>VLOOKUP(F480,Departments!$A$2:$C$6,2,0)</f>
        <v>Sales</v>
      </c>
      <c r="N480" s="1" t="str">
        <f>INDEX(Departments!$B:$B,MATCH(Employees!F480,Departments!$A:$A,0))</f>
        <v>Sales</v>
      </c>
    </row>
    <row r="481" spans="1:14" x14ac:dyDescent="0.3">
      <c r="A481" s="1" t="s">
        <v>1448</v>
      </c>
      <c r="B481" s="1" t="s">
        <v>49</v>
      </c>
      <c r="C481" s="1" t="s">
        <v>165</v>
      </c>
      <c r="D481" s="1" t="s">
        <v>24</v>
      </c>
      <c r="E481" s="1">
        <v>58</v>
      </c>
      <c r="F481" s="1" t="s">
        <v>39</v>
      </c>
      <c r="G481" s="1" t="s">
        <v>40</v>
      </c>
      <c r="H481" s="1" t="s">
        <v>1449</v>
      </c>
      <c r="I481" s="1">
        <v>81285</v>
      </c>
      <c r="J481" s="1" t="s">
        <v>34</v>
      </c>
      <c r="K481" s="1" t="s">
        <v>1450</v>
      </c>
      <c r="L481" s="1" t="s">
        <v>21</v>
      </c>
      <c r="M481" s="1" t="str">
        <f>VLOOKUP(F481,Departments!$A$2:$C$6,2,0)</f>
        <v>Marketing</v>
      </c>
      <c r="N481" s="1" t="str">
        <f>INDEX(Departments!$B:$B,MATCH(Employees!F481,Departments!$A:$A,0))</f>
        <v>Marketing</v>
      </c>
    </row>
    <row r="482" spans="1:14" x14ac:dyDescent="0.3">
      <c r="A482" s="1" t="s">
        <v>1451</v>
      </c>
      <c r="B482" s="1" t="s">
        <v>49</v>
      </c>
      <c r="C482" s="1" t="s">
        <v>63</v>
      </c>
      <c r="D482" s="1" t="s">
        <v>15</v>
      </c>
      <c r="E482" s="1">
        <v>53</v>
      </c>
      <c r="F482" s="1" t="s">
        <v>39</v>
      </c>
      <c r="G482" s="1" t="s">
        <v>108</v>
      </c>
      <c r="H482" s="1" t="s">
        <v>1452</v>
      </c>
      <c r="I482" s="1">
        <v>100041</v>
      </c>
      <c r="J482" s="1" t="s">
        <v>19</v>
      </c>
      <c r="K482" s="1" t="s">
        <v>1453</v>
      </c>
      <c r="L482" s="1" t="s">
        <v>21</v>
      </c>
      <c r="M482" s="1" t="str">
        <f>VLOOKUP(F482,Departments!$A$2:$C$6,2,0)</f>
        <v>Marketing</v>
      </c>
      <c r="N482" s="1" t="str">
        <f>INDEX(Departments!$B:$B,MATCH(Employees!F482,Departments!$A:$A,0))</f>
        <v>Marketing</v>
      </c>
    </row>
    <row r="483" spans="1:14" x14ac:dyDescent="0.3">
      <c r="A483" s="1" t="s">
        <v>1454</v>
      </c>
      <c r="B483" s="1" t="s">
        <v>13</v>
      </c>
      <c r="C483" s="1" t="s">
        <v>83</v>
      </c>
      <c r="D483" s="1" t="s">
        <v>24</v>
      </c>
      <c r="E483" s="1">
        <v>48</v>
      </c>
      <c r="F483" s="1" t="s">
        <v>39</v>
      </c>
      <c r="G483" s="1" t="s">
        <v>108</v>
      </c>
      <c r="H483" s="1" t="s">
        <v>1455</v>
      </c>
      <c r="I483" s="1">
        <v>88033</v>
      </c>
      <c r="J483" s="1" t="s">
        <v>80</v>
      </c>
      <c r="K483" s="1" t="s">
        <v>1456</v>
      </c>
      <c r="L483" s="1" t="s">
        <v>21</v>
      </c>
      <c r="M483" s="1" t="str">
        <f>VLOOKUP(F483,Departments!$A$2:$C$6,2,0)</f>
        <v>Marketing</v>
      </c>
      <c r="N483" s="1" t="str">
        <f>INDEX(Departments!$B:$B,MATCH(Employees!F483,Departments!$A:$A,0))</f>
        <v>Marketing</v>
      </c>
    </row>
    <row r="484" spans="1:14" x14ac:dyDescent="0.3">
      <c r="A484" s="1" t="s">
        <v>1457</v>
      </c>
      <c r="B484" s="1" t="s">
        <v>38</v>
      </c>
      <c r="C484" s="1" t="s">
        <v>45</v>
      </c>
      <c r="D484" s="1" t="s">
        <v>15</v>
      </c>
      <c r="E484" s="1">
        <v>40</v>
      </c>
      <c r="F484" s="1" t="s">
        <v>31</v>
      </c>
      <c r="G484" s="1" t="s">
        <v>108</v>
      </c>
      <c r="H484" s="1" t="s">
        <v>1458</v>
      </c>
      <c r="I484" s="1">
        <v>71291</v>
      </c>
      <c r="J484" s="1" t="s">
        <v>34</v>
      </c>
      <c r="K484" s="1" t="s">
        <v>1459</v>
      </c>
      <c r="L484" s="1" t="s">
        <v>36</v>
      </c>
      <c r="M484" s="1" t="str">
        <f>VLOOKUP(F484,Departments!$A$2:$C$6,2,0)</f>
        <v>Sales</v>
      </c>
      <c r="N484" s="1" t="str">
        <f>INDEX(Departments!$B:$B,MATCH(Employees!F484,Departments!$A:$A,0))</f>
        <v>Sales</v>
      </c>
    </row>
    <row r="485" spans="1:14" x14ac:dyDescent="0.3">
      <c r="A485" s="1" t="s">
        <v>1460</v>
      </c>
      <c r="B485" s="1" t="s">
        <v>143</v>
      </c>
      <c r="C485" s="1" t="s">
        <v>45</v>
      </c>
      <c r="D485" s="1" t="s">
        <v>15</v>
      </c>
      <c r="E485" s="1">
        <v>27</v>
      </c>
      <c r="F485" s="1" t="s">
        <v>25</v>
      </c>
      <c r="G485" s="1" t="s">
        <v>40</v>
      </c>
      <c r="H485" s="1" t="s">
        <v>1461</v>
      </c>
      <c r="I485" s="1">
        <v>48563</v>
      </c>
      <c r="J485" s="1" t="s">
        <v>34</v>
      </c>
      <c r="K485" s="1" t="s">
        <v>1462</v>
      </c>
      <c r="L485" s="1" t="s">
        <v>36</v>
      </c>
      <c r="M485" s="1" t="str">
        <f>VLOOKUP(F485,Departments!$A$2:$C$6,2,0)</f>
        <v>IT</v>
      </c>
      <c r="N485" s="1" t="str">
        <f>INDEX(Departments!$B:$B,MATCH(Employees!F485,Departments!$A:$A,0))</f>
        <v>IT</v>
      </c>
    </row>
    <row r="486" spans="1:14" x14ac:dyDescent="0.3">
      <c r="A486" s="1" t="s">
        <v>1463</v>
      </c>
      <c r="B486" s="1" t="s">
        <v>58</v>
      </c>
      <c r="C486" s="1" t="s">
        <v>45</v>
      </c>
      <c r="D486" s="1" t="s">
        <v>24</v>
      </c>
      <c r="E486" s="1">
        <v>37</v>
      </c>
      <c r="F486" s="1" t="s">
        <v>25</v>
      </c>
      <c r="G486" s="1" t="s">
        <v>32</v>
      </c>
      <c r="H486" s="1" t="s">
        <v>1464</v>
      </c>
      <c r="I486" s="1">
        <v>71454</v>
      </c>
      <c r="J486" s="1" t="s">
        <v>19</v>
      </c>
      <c r="K486" s="1" t="s">
        <v>1465</v>
      </c>
      <c r="L486" s="1" t="s">
        <v>21</v>
      </c>
      <c r="M486" s="1" t="str">
        <f>VLOOKUP(F486,Departments!$A$2:$C$6,2,0)</f>
        <v>IT</v>
      </c>
      <c r="N486" s="1" t="str">
        <f>INDEX(Departments!$B:$B,MATCH(Employees!F486,Departments!$A:$A,0))</f>
        <v>IT</v>
      </c>
    </row>
    <row r="487" spans="1:14" x14ac:dyDescent="0.3">
      <c r="A487" s="1" t="s">
        <v>1466</v>
      </c>
      <c r="B487" s="1" t="s">
        <v>94</v>
      </c>
      <c r="C487" s="1" t="s">
        <v>63</v>
      </c>
      <c r="D487" s="1" t="s">
        <v>24</v>
      </c>
      <c r="E487" s="1">
        <v>39</v>
      </c>
      <c r="F487" s="1" t="s">
        <v>25</v>
      </c>
      <c r="G487" s="1" t="s">
        <v>32</v>
      </c>
      <c r="H487" s="1" t="s">
        <v>1467</v>
      </c>
      <c r="I487" s="1">
        <v>44271</v>
      </c>
      <c r="J487" s="1" t="s">
        <v>34</v>
      </c>
      <c r="K487" s="1" t="s">
        <v>1468</v>
      </c>
      <c r="L487" s="1" t="s">
        <v>36</v>
      </c>
      <c r="M487" s="1" t="str">
        <f>VLOOKUP(F487,Departments!$A$2:$C$6,2,0)</f>
        <v>IT</v>
      </c>
      <c r="N487" s="1" t="str">
        <f>INDEX(Departments!$B:$B,MATCH(Employees!F487,Departments!$A:$A,0))</f>
        <v>IT</v>
      </c>
    </row>
    <row r="488" spans="1:14" x14ac:dyDescent="0.3">
      <c r="A488" s="1" t="s">
        <v>1469</v>
      </c>
      <c r="B488" s="1" t="s">
        <v>38</v>
      </c>
      <c r="C488" s="1" t="s">
        <v>14</v>
      </c>
      <c r="D488" s="1" t="s">
        <v>15</v>
      </c>
      <c r="E488" s="1">
        <v>56</v>
      </c>
      <c r="F488" s="1" t="s">
        <v>16</v>
      </c>
      <c r="G488" s="1" t="s">
        <v>17</v>
      </c>
      <c r="H488" s="1" t="s">
        <v>1470</v>
      </c>
      <c r="I488" s="1">
        <v>93401</v>
      </c>
      <c r="J488" s="1" t="s">
        <v>65</v>
      </c>
      <c r="K488" s="1" t="s">
        <v>1471</v>
      </c>
      <c r="L488" s="1" t="s">
        <v>21</v>
      </c>
      <c r="M488" s="1" t="str">
        <f>VLOOKUP(F488,Departments!$A$2:$C$6,2,0)</f>
        <v>HR</v>
      </c>
      <c r="N488" s="1" t="str">
        <f>INDEX(Departments!$B:$B,MATCH(Employees!F488,Departments!$A:$A,0))</f>
        <v>HR</v>
      </c>
    </row>
    <row r="489" spans="1:14" x14ac:dyDescent="0.3">
      <c r="A489" s="1" t="s">
        <v>1472</v>
      </c>
      <c r="B489" s="1" t="s">
        <v>71</v>
      </c>
      <c r="C489" s="1" t="s">
        <v>63</v>
      </c>
      <c r="D489" s="1" t="s">
        <v>24</v>
      </c>
      <c r="E489" s="1">
        <v>22</v>
      </c>
      <c r="F489" s="1" t="s">
        <v>25</v>
      </c>
      <c r="G489" s="1" t="s">
        <v>32</v>
      </c>
      <c r="H489" s="1" t="s">
        <v>1473</v>
      </c>
      <c r="I489" s="1">
        <v>56106</v>
      </c>
      <c r="J489" s="1" t="s">
        <v>19</v>
      </c>
      <c r="K489" s="1" t="s">
        <v>1474</v>
      </c>
      <c r="L489" s="1" t="s">
        <v>36</v>
      </c>
      <c r="M489" s="1" t="str">
        <f>VLOOKUP(F489,Departments!$A$2:$C$6,2,0)</f>
        <v>IT</v>
      </c>
      <c r="N489" s="1" t="str">
        <f>INDEX(Departments!$B:$B,MATCH(Employees!F489,Departments!$A:$A,0))</f>
        <v>IT</v>
      </c>
    </row>
    <row r="490" spans="1:14" x14ac:dyDescent="0.3">
      <c r="A490" s="1" t="s">
        <v>1475</v>
      </c>
      <c r="B490" s="1" t="s">
        <v>94</v>
      </c>
      <c r="C490" s="1" t="s">
        <v>95</v>
      </c>
      <c r="D490" s="1" t="s">
        <v>15</v>
      </c>
      <c r="E490" s="1">
        <v>38</v>
      </c>
      <c r="F490" s="1" t="s">
        <v>39</v>
      </c>
      <c r="G490" s="1" t="s">
        <v>32</v>
      </c>
      <c r="H490" s="1" t="s">
        <v>300</v>
      </c>
      <c r="I490" s="1">
        <v>106273</v>
      </c>
      <c r="J490" s="1" t="s">
        <v>19</v>
      </c>
      <c r="K490" s="1" t="s">
        <v>1476</v>
      </c>
      <c r="L490" s="1" t="s">
        <v>36</v>
      </c>
      <c r="M490" s="1" t="str">
        <f>VLOOKUP(F490,Departments!$A$2:$C$6,2,0)</f>
        <v>Marketing</v>
      </c>
      <c r="N490" s="1" t="str">
        <f>INDEX(Departments!$B:$B,MATCH(Employees!F490,Departments!$A:$A,0))</f>
        <v>Marketing</v>
      </c>
    </row>
    <row r="491" spans="1:14" x14ac:dyDescent="0.3">
      <c r="A491" s="1" t="s">
        <v>1477</v>
      </c>
      <c r="B491" s="1" t="s">
        <v>71</v>
      </c>
      <c r="C491" s="1" t="s">
        <v>130</v>
      </c>
      <c r="D491" s="1" t="s">
        <v>24</v>
      </c>
      <c r="E491" s="1">
        <v>45</v>
      </c>
      <c r="F491" s="1" t="s">
        <v>50</v>
      </c>
      <c r="G491" s="1" t="s">
        <v>40</v>
      </c>
      <c r="H491" s="1" t="s">
        <v>1478</v>
      </c>
      <c r="I491" s="1">
        <v>105710</v>
      </c>
      <c r="J491" s="1" t="s">
        <v>80</v>
      </c>
      <c r="K491" s="1" t="s">
        <v>1479</v>
      </c>
      <c r="L491" s="1" t="s">
        <v>21</v>
      </c>
      <c r="M491" s="1" t="str">
        <f>VLOOKUP(F491,Departments!$A$2:$C$6,2,0)</f>
        <v>Finance</v>
      </c>
      <c r="N491" s="1" t="str">
        <f>INDEX(Departments!$B:$B,MATCH(Employees!F491,Departments!$A:$A,0))</f>
        <v>Finance</v>
      </c>
    </row>
    <row r="492" spans="1:14" x14ac:dyDescent="0.3">
      <c r="A492" s="1" t="s">
        <v>1480</v>
      </c>
      <c r="B492" s="1" t="s">
        <v>143</v>
      </c>
      <c r="C492" s="1" t="s">
        <v>14</v>
      </c>
      <c r="D492" s="1" t="s">
        <v>15</v>
      </c>
      <c r="E492" s="1">
        <v>46</v>
      </c>
      <c r="F492" s="1" t="s">
        <v>50</v>
      </c>
      <c r="G492" s="1" t="s">
        <v>108</v>
      </c>
      <c r="H492" s="1" t="s">
        <v>270</v>
      </c>
      <c r="I492" s="1">
        <v>68751</v>
      </c>
      <c r="J492" s="1" t="s">
        <v>19</v>
      </c>
      <c r="K492" s="1" t="s">
        <v>1481</v>
      </c>
      <c r="L492" s="1" t="s">
        <v>21</v>
      </c>
      <c r="M492" s="1" t="str">
        <f>VLOOKUP(F492,Departments!$A$2:$C$6,2,0)</f>
        <v>Finance</v>
      </c>
      <c r="N492" s="1" t="str">
        <f>INDEX(Departments!$B:$B,MATCH(Employees!F492,Departments!$A:$A,0))</f>
        <v>Finance</v>
      </c>
    </row>
    <row r="493" spans="1:14" x14ac:dyDescent="0.3">
      <c r="A493" s="1" t="s">
        <v>1482</v>
      </c>
      <c r="B493" s="1" t="s">
        <v>38</v>
      </c>
      <c r="C493" s="1" t="s">
        <v>45</v>
      </c>
      <c r="D493" s="1" t="s">
        <v>15</v>
      </c>
      <c r="E493" s="1">
        <v>33</v>
      </c>
      <c r="F493" s="1" t="s">
        <v>16</v>
      </c>
      <c r="G493" s="1" t="s">
        <v>26</v>
      </c>
      <c r="H493" s="1" t="s">
        <v>1483</v>
      </c>
      <c r="I493" s="1">
        <v>63873</v>
      </c>
      <c r="J493" s="1" t="s">
        <v>65</v>
      </c>
      <c r="K493" s="1" t="s">
        <v>1484</v>
      </c>
      <c r="L493" s="1" t="s">
        <v>21</v>
      </c>
      <c r="M493" s="1" t="str">
        <f>VLOOKUP(F493,Departments!$A$2:$C$6,2,0)</f>
        <v>HR</v>
      </c>
      <c r="N493" s="1" t="str">
        <f>INDEX(Departments!$B:$B,MATCH(Employees!F493,Departments!$A:$A,0))</f>
        <v>HR</v>
      </c>
    </row>
    <row r="494" spans="1:14" x14ac:dyDescent="0.3">
      <c r="A494" s="1" t="s">
        <v>1485</v>
      </c>
      <c r="B494" s="1" t="s">
        <v>49</v>
      </c>
      <c r="C494" s="1" t="s">
        <v>45</v>
      </c>
      <c r="D494" s="1" t="s">
        <v>24</v>
      </c>
      <c r="E494" s="1">
        <v>39</v>
      </c>
      <c r="F494" s="1" t="s">
        <v>50</v>
      </c>
      <c r="G494" s="1" t="s">
        <v>40</v>
      </c>
      <c r="H494" s="1" t="s">
        <v>1009</v>
      </c>
      <c r="I494" s="1">
        <v>117465</v>
      </c>
      <c r="J494" s="1" t="s">
        <v>34</v>
      </c>
      <c r="K494" s="1" t="s">
        <v>1486</v>
      </c>
      <c r="L494" s="1" t="s">
        <v>36</v>
      </c>
      <c r="M494" s="1" t="str">
        <f>VLOOKUP(F494,Departments!$A$2:$C$6,2,0)</f>
        <v>Finance</v>
      </c>
      <c r="N494" s="1" t="str">
        <f>INDEX(Departments!$B:$B,MATCH(Employees!F494,Departments!$A:$A,0))</f>
        <v>Finance</v>
      </c>
    </row>
    <row r="495" spans="1:14" x14ac:dyDescent="0.3">
      <c r="A495" s="1" t="s">
        <v>1487</v>
      </c>
      <c r="B495" s="1" t="s">
        <v>44</v>
      </c>
      <c r="C495" s="1" t="s">
        <v>130</v>
      </c>
      <c r="D495" s="1" t="s">
        <v>15</v>
      </c>
      <c r="E495" s="1">
        <v>44</v>
      </c>
      <c r="F495" s="1" t="s">
        <v>31</v>
      </c>
      <c r="G495" s="1" t="s">
        <v>26</v>
      </c>
      <c r="H495" s="1" t="s">
        <v>1488</v>
      </c>
      <c r="I495" s="1">
        <v>59582</v>
      </c>
      <c r="J495" s="1" t="s">
        <v>80</v>
      </c>
      <c r="K495" s="1" t="s">
        <v>1489</v>
      </c>
      <c r="L495" s="1" t="s">
        <v>36</v>
      </c>
      <c r="M495" s="1" t="str">
        <f>VLOOKUP(F495,Departments!$A$2:$C$6,2,0)</f>
        <v>Sales</v>
      </c>
      <c r="N495" s="1" t="str">
        <f>INDEX(Departments!$B:$B,MATCH(Employees!F495,Departments!$A:$A,0))</f>
        <v>Sales</v>
      </c>
    </row>
    <row r="496" spans="1:14" x14ac:dyDescent="0.3">
      <c r="A496" s="1" t="s">
        <v>1490</v>
      </c>
      <c r="B496" s="1" t="s">
        <v>58</v>
      </c>
      <c r="C496" s="1" t="s">
        <v>83</v>
      </c>
      <c r="D496" s="1" t="s">
        <v>15</v>
      </c>
      <c r="E496" s="1">
        <v>51</v>
      </c>
      <c r="F496" s="1" t="s">
        <v>31</v>
      </c>
      <c r="G496" s="1" t="s">
        <v>17</v>
      </c>
      <c r="H496" s="1" t="s">
        <v>1491</v>
      </c>
      <c r="I496" s="1">
        <v>117932</v>
      </c>
      <c r="J496" s="1" t="s">
        <v>80</v>
      </c>
      <c r="K496" s="1" t="s">
        <v>1492</v>
      </c>
      <c r="L496" s="1" t="s">
        <v>21</v>
      </c>
      <c r="M496" s="1" t="str">
        <f>VLOOKUP(F496,Departments!$A$2:$C$6,2,0)</f>
        <v>Sales</v>
      </c>
      <c r="N496" s="1" t="str">
        <f>INDEX(Departments!$B:$B,MATCH(Employees!F496,Departments!$A:$A,0))</f>
        <v>Sales</v>
      </c>
    </row>
    <row r="497" spans="1:14" x14ac:dyDescent="0.3">
      <c r="A497" s="1" t="s">
        <v>1493</v>
      </c>
      <c r="B497" s="1" t="s">
        <v>49</v>
      </c>
      <c r="C497" s="1" t="s">
        <v>45</v>
      </c>
      <c r="D497" s="1" t="s">
        <v>24</v>
      </c>
      <c r="E497" s="1">
        <v>58</v>
      </c>
      <c r="F497" s="1" t="s">
        <v>16</v>
      </c>
      <c r="G497" s="1" t="s">
        <v>40</v>
      </c>
      <c r="H497" s="1" t="s">
        <v>1494</v>
      </c>
      <c r="I497" s="1">
        <v>95198</v>
      </c>
      <c r="J497" s="1" t="s">
        <v>80</v>
      </c>
      <c r="K497" s="1" t="s">
        <v>1495</v>
      </c>
      <c r="L497" s="1" t="s">
        <v>21</v>
      </c>
      <c r="M497" s="1" t="str">
        <f>VLOOKUP(F497,Departments!$A$2:$C$6,2,0)</f>
        <v>HR</v>
      </c>
      <c r="N497" s="1" t="str">
        <f>INDEX(Departments!$B:$B,MATCH(Employees!F497,Departments!$A:$A,0))</f>
        <v>HR</v>
      </c>
    </row>
    <row r="498" spans="1:14" x14ac:dyDescent="0.3">
      <c r="A498" s="1" t="s">
        <v>1496</v>
      </c>
      <c r="B498" s="1" t="s">
        <v>58</v>
      </c>
      <c r="C498" s="1" t="s">
        <v>165</v>
      </c>
      <c r="D498" s="1" t="s">
        <v>24</v>
      </c>
      <c r="E498" s="1">
        <v>24</v>
      </c>
      <c r="F498" s="1" t="s">
        <v>31</v>
      </c>
      <c r="G498" s="1" t="s">
        <v>32</v>
      </c>
      <c r="H498" s="1" t="s">
        <v>1497</v>
      </c>
      <c r="I498" s="1">
        <v>61647</v>
      </c>
      <c r="J498" s="1" t="s">
        <v>80</v>
      </c>
      <c r="K498" s="1" t="s">
        <v>1498</v>
      </c>
      <c r="L498" s="1" t="s">
        <v>36</v>
      </c>
      <c r="M498" s="1" t="str">
        <f>VLOOKUP(F498,Departments!$A$2:$C$6,2,0)</f>
        <v>Sales</v>
      </c>
      <c r="N498" s="1" t="str">
        <f>INDEX(Departments!$B:$B,MATCH(Employees!F498,Departments!$A:$A,0))</f>
        <v>Sales</v>
      </c>
    </row>
    <row r="499" spans="1:14" x14ac:dyDescent="0.3">
      <c r="A499" s="1" t="s">
        <v>1499</v>
      </c>
      <c r="B499" s="1" t="s">
        <v>94</v>
      </c>
      <c r="C499" s="1" t="s">
        <v>63</v>
      </c>
      <c r="D499" s="1" t="s">
        <v>15</v>
      </c>
      <c r="E499" s="1">
        <v>26</v>
      </c>
      <c r="F499" s="1" t="s">
        <v>50</v>
      </c>
      <c r="G499" s="1" t="s">
        <v>26</v>
      </c>
      <c r="H499" s="1" t="s">
        <v>1500</v>
      </c>
      <c r="I499" s="1">
        <v>41274</v>
      </c>
      <c r="J499" s="1" t="s">
        <v>80</v>
      </c>
      <c r="K499" s="1" t="s">
        <v>1501</v>
      </c>
      <c r="L499" s="1" t="s">
        <v>36</v>
      </c>
      <c r="M499" s="1" t="str">
        <f>VLOOKUP(F499,Departments!$A$2:$C$6,2,0)</f>
        <v>Finance</v>
      </c>
      <c r="N499" s="1" t="str">
        <f>INDEX(Departments!$B:$B,MATCH(Employees!F499,Departments!$A:$A,0))</f>
        <v>Finance</v>
      </c>
    </row>
    <row r="500" spans="1:14" x14ac:dyDescent="0.3">
      <c r="A500" s="1" t="s">
        <v>1502</v>
      </c>
      <c r="B500" s="1" t="s">
        <v>38</v>
      </c>
      <c r="C500" s="1" t="s">
        <v>83</v>
      </c>
      <c r="D500" s="1" t="s">
        <v>15</v>
      </c>
      <c r="E500" s="1">
        <v>40</v>
      </c>
      <c r="F500" s="1" t="s">
        <v>25</v>
      </c>
      <c r="G500" s="1" t="s">
        <v>40</v>
      </c>
      <c r="H500" s="1" t="s">
        <v>1503</v>
      </c>
      <c r="I500" s="1">
        <v>40450</v>
      </c>
      <c r="J500" s="1" t="s">
        <v>80</v>
      </c>
      <c r="K500" s="1" t="s">
        <v>1504</v>
      </c>
      <c r="L500" s="1" t="s">
        <v>21</v>
      </c>
      <c r="M500" s="1" t="str">
        <f>VLOOKUP(F500,Departments!$A$2:$C$6,2,0)</f>
        <v>IT</v>
      </c>
      <c r="N500" s="1" t="str">
        <f>INDEX(Departments!$B:$B,MATCH(Employees!F500,Departments!$A:$A,0))</f>
        <v>IT</v>
      </c>
    </row>
    <row r="501" spans="1:14" x14ac:dyDescent="0.3">
      <c r="A501" s="1" t="s">
        <v>1505</v>
      </c>
      <c r="B501" s="1" t="s">
        <v>38</v>
      </c>
      <c r="C501" s="1" t="s">
        <v>63</v>
      </c>
      <c r="D501" s="1" t="s">
        <v>24</v>
      </c>
      <c r="E501" s="1">
        <v>58</v>
      </c>
      <c r="F501" s="1" t="s">
        <v>39</v>
      </c>
      <c r="G501" s="1" t="s">
        <v>26</v>
      </c>
      <c r="H501" s="1" t="s">
        <v>1506</v>
      </c>
      <c r="I501" s="1">
        <v>42662</v>
      </c>
      <c r="J501" s="1" t="s">
        <v>65</v>
      </c>
      <c r="K501" s="1" t="s">
        <v>1507</v>
      </c>
      <c r="L501" s="1" t="s">
        <v>21</v>
      </c>
      <c r="M501" s="1" t="str">
        <f>VLOOKUP(F501,Departments!$A$2:$C$6,2,0)</f>
        <v>Marketing</v>
      </c>
      <c r="N501" s="1" t="str">
        <f>INDEX(Departments!$B:$B,MATCH(Employees!F501,Departments!$A:$A,0))</f>
        <v>Marketing</v>
      </c>
    </row>
  </sheetData>
  <conditionalFormatting sqref="A2:N501">
    <cfRule type="expression" dxfId="3" priority="1">
      <formula>$L2="Active"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FBDD-574D-4EDE-8870-359673702E43}">
  <dimension ref="A1:AC501"/>
  <sheetViews>
    <sheetView topLeftCell="E1" workbookViewId="0">
      <selection activeCell="N2" sqref="N2"/>
    </sheetView>
  </sheetViews>
  <sheetFormatPr defaultRowHeight="14.4" x14ac:dyDescent="0.3"/>
  <cols>
    <col min="1" max="1" width="10.77734375" bestFit="1" customWidth="1"/>
    <col min="2" max="2" width="9.33203125" bestFit="1" customWidth="1"/>
    <col min="3" max="3" width="9.21875" bestFit="1" customWidth="1"/>
    <col min="4" max="4" width="6.88671875" bestFit="1" customWidth="1"/>
    <col min="5" max="5" width="4" bestFit="1" customWidth="1"/>
    <col min="6" max="6" width="12.5546875" bestFit="1" customWidth="1"/>
    <col min="7" max="7" width="10.88671875" bestFit="1" customWidth="1"/>
    <col min="8" max="8" width="10.33203125" bestFit="1" customWidth="1"/>
    <col min="9" max="9" width="7" bestFit="1" customWidth="1"/>
    <col min="10" max="10" width="9.109375" bestFit="1" customWidth="1"/>
    <col min="11" max="11" width="27.33203125" bestFit="1" customWidth="1"/>
    <col min="12" max="12" width="7.44140625" bestFit="1" customWidth="1"/>
    <col min="13" max="13" width="19.109375" bestFit="1" customWidth="1"/>
    <col min="14" max="14" width="9.44140625" bestFit="1" customWidth="1"/>
    <col min="15" max="15" width="10" bestFit="1" customWidth="1"/>
    <col min="18" max="18" width="8.5546875" customWidth="1"/>
    <col min="19" max="19" width="20.6640625" customWidth="1"/>
  </cols>
  <sheetData>
    <row r="1" spans="1:2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1537</v>
      </c>
      <c r="N1" s="2" t="s">
        <v>1536</v>
      </c>
      <c r="O1" s="5" t="s">
        <v>1535</v>
      </c>
    </row>
    <row r="2" spans="1:29" x14ac:dyDescent="0.3">
      <c r="A2" s="1" t="s">
        <v>12</v>
      </c>
      <c r="B2" s="1" t="s">
        <v>13</v>
      </c>
      <c r="C2" s="1" t="s">
        <v>14</v>
      </c>
      <c r="D2" s="1" t="s">
        <v>15</v>
      </c>
      <c r="E2" s="1">
        <v>30</v>
      </c>
      <c r="F2" s="1" t="s">
        <v>16</v>
      </c>
      <c r="G2" s="1" t="s">
        <v>17</v>
      </c>
      <c r="H2" s="1" t="s">
        <v>18</v>
      </c>
      <c r="I2" s="1">
        <v>105257</v>
      </c>
      <c r="J2" s="1" t="s">
        <v>19</v>
      </c>
      <c r="K2" s="1" t="s">
        <v>20</v>
      </c>
      <c r="L2" s="1" t="s">
        <v>21</v>
      </c>
      <c r="M2" s="1" t="str">
        <f>_xlfn.XLOOKUP(Sheet1!F2,Departments!$A$2:$A$6,Departments!$B$2:$B$6)</f>
        <v>HR</v>
      </c>
      <c r="N2" s="1">
        <f>_xlfn.XLOOKUP(A2,Performance!$A$2:$A$501,Performance!$C$2:$C$501)</f>
        <v>1</v>
      </c>
      <c r="O2" s="1" cm="1">
        <f t="array" ref="O2">_xlfn.IFS(N2=5,I2+0.15*I2,N2=4,I2+I2*0.1,N2=3,I2+I2*0.07,N2&lt;3,I2+I2*0.05)</f>
        <v>110519.85</v>
      </c>
    </row>
    <row r="3" spans="1:29" x14ac:dyDescent="0.3">
      <c r="A3" s="1" t="s">
        <v>22</v>
      </c>
      <c r="B3" s="1" t="s">
        <v>13</v>
      </c>
      <c r="C3" s="1" t="s">
        <v>23</v>
      </c>
      <c r="D3" s="1" t="s">
        <v>24</v>
      </c>
      <c r="E3" s="1">
        <v>48</v>
      </c>
      <c r="F3" s="1" t="s">
        <v>25</v>
      </c>
      <c r="G3" s="1" t="s">
        <v>26</v>
      </c>
      <c r="H3" s="1" t="s">
        <v>27</v>
      </c>
      <c r="I3" s="1">
        <v>97903</v>
      </c>
      <c r="J3" s="1" t="s">
        <v>19</v>
      </c>
      <c r="K3" s="1" t="s">
        <v>28</v>
      </c>
      <c r="L3" s="1" t="s">
        <v>21</v>
      </c>
      <c r="M3" s="1" t="str">
        <f>_xlfn.XLOOKUP(Sheet1!F3,Departments!$A$2:$A$6,Departments!$B$2:$B$6)</f>
        <v>IT</v>
      </c>
      <c r="N3" s="1">
        <f>_xlfn.XLOOKUP(A3,Performance!$A$2:$A$501,Performance!$C$2:$C$501)</f>
        <v>4</v>
      </c>
      <c r="O3" s="1" cm="1">
        <f t="array" ref="O3">_xlfn.IFS(N3=5,I3+0.15*I3,N3=4,I3+I3*0.1,N3=3,I3+I3*0.07,N3&lt;3,I3+I3*0.05)</f>
        <v>107693.3</v>
      </c>
    </row>
    <row r="4" spans="1:29" x14ac:dyDescent="0.3">
      <c r="A4" s="1" t="s">
        <v>29</v>
      </c>
      <c r="B4" s="1" t="s">
        <v>30</v>
      </c>
      <c r="C4" s="1" t="s">
        <v>23</v>
      </c>
      <c r="D4" s="1" t="s">
        <v>24</v>
      </c>
      <c r="E4" s="1">
        <v>48</v>
      </c>
      <c r="F4" s="1" t="s">
        <v>31</v>
      </c>
      <c r="G4" s="1" t="s">
        <v>32</v>
      </c>
      <c r="H4" s="1" t="s">
        <v>33</v>
      </c>
      <c r="I4" s="1">
        <v>73429</v>
      </c>
      <c r="J4" s="1" t="s">
        <v>34</v>
      </c>
      <c r="K4" s="1" t="s">
        <v>35</v>
      </c>
      <c r="L4" s="1" t="s">
        <v>36</v>
      </c>
      <c r="M4" s="1" t="str">
        <f>_xlfn.XLOOKUP(Sheet1!F4,Departments!$A$2:$A$6,Departments!$B$2:$B$6)</f>
        <v>Sales</v>
      </c>
      <c r="N4" s="1">
        <f>_xlfn.XLOOKUP(A4,Performance!$A$2:$A$501,Performance!$C$2:$C$501)</f>
        <v>2</v>
      </c>
      <c r="O4" s="1" cm="1">
        <f t="array" ref="O4">_xlfn.IFS(N4=5,I4+0.15*I4,N4=4,I4+I4*0.1,N4=3,I4+I4*0.07,N4&lt;3,I4+I4*0.05)</f>
        <v>77100.45</v>
      </c>
    </row>
    <row r="5" spans="1:29" x14ac:dyDescent="0.3">
      <c r="A5" s="1" t="s">
        <v>37</v>
      </c>
      <c r="B5" s="1" t="s">
        <v>38</v>
      </c>
      <c r="C5" s="1" t="s">
        <v>14</v>
      </c>
      <c r="D5" s="1" t="s">
        <v>15</v>
      </c>
      <c r="E5" s="1">
        <v>50</v>
      </c>
      <c r="F5" s="1" t="s">
        <v>39</v>
      </c>
      <c r="G5" s="1" t="s">
        <v>40</v>
      </c>
      <c r="H5" s="1" t="s">
        <v>41</v>
      </c>
      <c r="I5" s="1">
        <v>99336</v>
      </c>
      <c r="J5" s="1" t="s">
        <v>34</v>
      </c>
      <c r="K5" s="1" t="s">
        <v>42</v>
      </c>
      <c r="L5" s="1" t="s">
        <v>21</v>
      </c>
      <c r="M5" s="1" t="str">
        <f>_xlfn.XLOOKUP(Sheet1!F5,Departments!$A$2:$A$6,Departments!$B$2:$B$6)</f>
        <v>Marketing</v>
      </c>
      <c r="N5" s="1">
        <f>_xlfn.XLOOKUP(A5,Performance!$A$2:$A$501,Performance!$C$2:$C$501)</f>
        <v>4</v>
      </c>
      <c r="O5" s="1" cm="1">
        <f t="array" ref="O5">_xlfn.IFS(N5=5,I5+0.15*I5,N5=4,I5+I5*0.1,N5=3,I5+I5*0.07,N5&lt;3,I5+I5*0.05)</f>
        <v>109269.6</v>
      </c>
      <c r="S5" s="3" t="s">
        <v>1529</v>
      </c>
      <c r="T5" s="4"/>
      <c r="U5" s="1">
        <f>COUNTIF(L:L,"Active")</f>
        <v>237</v>
      </c>
    </row>
    <row r="6" spans="1:29" x14ac:dyDescent="0.3">
      <c r="A6" s="1" t="s">
        <v>43</v>
      </c>
      <c r="B6" s="1" t="s">
        <v>44</v>
      </c>
      <c r="C6" s="1" t="s">
        <v>45</v>
      </c>
      <c r="D6" s="1" t="s">
        <v>24</v>
      </c>
      <c r="E6" s="1">
        <v>60</v>
      </c>
      <c r="F6" s="1" t="s">
        <v>16</v>
      </c>
      <c r="G6" s="1" t="s">
        <v>32</v>
      </c>
      <c r="H6" s="1" t="s">
        <v>46</v>
      </c>
      <c r="I6" s="1">
        <v>105020</v>
      </c>
      <c r="J6" s="1" t="s">
        <v>34</v>
      </c>
      <c r="K6" s="1" t="s">
        <v>47</v>
      </c>
      <c r="L6" s="1" t="s">
        <v>21</v>
      </c>
      <c r="M6" s="1" t="str">
        <f>_xlfn.XLOOKUP(Sheet1!F6,Departments!$A$2:$A$6,Departments!$B$2:$B$6)</f>
        <v>HR</v>
      </c>
      <c r="N6" s="1">
        <f>_xlfn.XLOOKUP(A6,Performance!$A$2:$A$501,Performance!$C$2:$C$501)</f>
        <v>2</v>
      </c>
      <c r="O6" s="1" cm="1">
        <f t="array" ref="O6">_xlfn.IFS(N6=5,I6+0.15*I6,N6=4,I6+I6*0.1,N6=3,I6+I6*0.07,N6&lt;3,I6+I6*0.05)</f>
        <v>110271</v>
      </c>
    </row>
    <row r="7" spans="1:29" x14ac:dyDescent="0.3">
      <c r="A7" s="1" t="s">
        <v>48</v>
      </c>
      <c r="B7" s="1" t="s">
        <v>49</v>
      </c>
      <c r="C7" s="1" t="s">
        <v>14</v>
      </c>
      <c r="D7" s="1" t="s">
        <v>24</v>
      </c>
      <c r="E7" s="1">
        <v>33</v>
      </c>
      <c r="F7" s="1" t="s">
        <v>50</v>
      </c>
      <c r="G7" s="1" t="s">
        <v>32</v>
      </c>
      <c r="H7" s="1" t="s">
        <v>51</v>
      </c>
      <c r="I7" s="1">
        <v>93173</v>
      </c>
      <c r="J7" s="1" t="s">
        <v>34</v>
      </c>
      <c r="K7" s="1" t="s">
        <v>52</v>
      </c>
      <c r="L7" s="1" t="s">
        <v>21</v>
      </c>
      <c r="M7" s="1" t="str">
        <f>_xlfn.XLOOKUP(Sheet1!F7,Departments!$A$2:$A$6,Departments!$B$2:$B$6)</f>
        <v>Finance</v>
      </c>
      <c r="N7" s="1">
        <f>_xlfn.XLOOKUP(A7,Performance!$A$2:$A$501,Performance!$C$2:$C$501)</f>
        <v>3</v>
      </c>
      <c r="O7" s="1" cm="1">
        <f t="array" ref="O7">_xlfn.IFS(N7=5,I7+0.15*I7,N7=4,I7+I7*0.1,N7=3,I7+I7*0.07,N7&lt;3,I7+I7*0.05)</f>
        <v>99695.11</v>
      </c>
    </row>
    <row r="8" spans="1:29" x14ac:dyDescent="0.3">
      <c r="A8" s="1" t="s">
        <v>53</v>
      </c>
      <c r="B8" s="1" t="s">
        <v>54</v>
      </c>
      <c r="C8" s="1" t="s">
        <v>45</v>
      </c>
      <c r="D8" s="1" t="s">
        <v>24</v>
      </c>
      <c r="E8" s="1">
        <v>52</v>
      </c>
      <c r="F8" s="1" t="s">
        <v>39</v>
      </c>
      <c r="G8" s="1" t="s">
        <v>17</v>
      </c>
      <c r="H8" s="1" t="s">
        <v>55</v>
      </c>
      <c r="I8" s="1">
        <v>106626</v>
      </c>
      <c r="J8" s="1" t="s">
        <v>34</v>
      </c>
      <c r="K8" s="1" t="s">
        <v>56</v>
      </c>
      <c r="L8" s="1" t="s">
        <v>21</v>
      </c>
      <c r="M8" s="1" t="str">
        <f>_xlfn.XLOOKUP(Sheet1!F8,Departments!$A$2:$A$6,Departments!$B$2:$B$6)</f>
        <v>Marketing</v>
      </c>
      <c r="N8" s="1">
        <f>_xlfn.XLOOKUP(A8,Performance!$A$2:$A$501,Performance!$C$2:$C$501)</f>
        <v>2</v>
      </c>
      <c r="O8" s="1" cm="1">
        <f t="array" ref="O8">_xlfn.IFS(N8=5,I8+0.15*I8,N8=4,I8+I8*0.1,N8=3,I8+I8*0.07,N8&lt;3,I8+I8*0.05)</f>
        <v>111957.3</v>
      </c>
    </row>
    <row r="9" spans="1:29" x14ac:dyDescent="0.3">
      <c r="A9" s="1" t="s">
        <v>57</v>
      </c>
      <c r="B9" s="1" t="s">
        <v>58</v>
      </c>
      <c r="C9" s="1" t="s">
        <v>14</v>
      </c>
      <c r="D9" s="1" t="s">
        <v>15</v>
      </c>
      <c r="E9" s="1">
        <v>42</v>
      </c>
      <c r="F9" s="1" t="s">
        <v>50</v>
      </c>
      <c r="G9" s="1" t="s">
        <v>40</v>
      </c>
      <c r="H9" s="1" t="s">
        <v>59</v>
      </c>
      <c r="I9" s="1">
        <v>114547</v>
      </c>
      <c r="J9" s="1" t="s">
        <v>60</v>
      </c>
      <c r="K9" s="1" t="s">
        <v>61</v>
      </c>
      <c r="L9" s="1" t="s">
        <v>36</v>
      </c>
      <c r="M9" s="1" t="str">
        <f>_xlfn.XLOOKUP(Sheet1!F9,Departments!$A$2:$A$6,Departments!$B$2:$B$6)</f>
        <v>Finance</v>
      </c>
      <c r="N9" s="1">
        <f>_xlfn.XLOOKUP(A9,Performance!$A$2:$A$501,Performance!$C$2:$C$501)</f>
        <v>1</v>
      </c>
      <c r="O9" s="1" cm="1">
        <f t="array" ref="O9">_xlfn.IFS(N9=5,I9+0.15*I9,N9=4,I9+I9*0.1,N9=3,I9+I9*0.07,N9&lt;3,I9+I9*0.05)</f>
        <v>120274.35</v>
      </c>
    </row>
    <row r="10" spans="1:29" x14ac:dyDescent="0.3">
      <c r="A10" s="1" t="s">
        <v>62</v>
      </c>
      <c r="B10" s="1" t="s">
        <v>58</v>
      </c>
      <c r="C10" s="1" t="s">
        <v>63</v>
      </c>
      <c r="D10" s="1" t="s">
        <v>15</v>
      </c>
      <c r="E10" s="1">
        <v>40</v>
      </c>
      <c r="F10" s="1" t="s">
        <v>16</v>
      </c>
      <c r="G10" s="1" t="s">
        <v>32</v>
      </c>
      <c r="H10" s="1" t="s">
        <v>64</v>
      </c>
      <c r="I10" s="1">
        <v>51139</v>
      </c>
      <c r="J10" s="1" t="s">
        <v>65</v>
      </c>
      <c r="K10" s="1" t="s">
        <v>66</v>
      </c>
      <c r="L10" s="1" t="s">
        <v>36</v>
      </c>
      <c r="M10" s="1" t="str">
        <f>_xlfn.XLOOKUP(Sheet1!F10,Departments!$A$2:$A$6,Departments!$B$2:$B$6)</f>
        <v>HR</v>
      </c>
      <c r="N10" s="1">
        <f>_xlfn.XLOOKUP(A10,Performance!$A$2:$A$501,Performance!$C$2:$C$501)</f>
        <v>4</v>
      </c>
      <c r="O10" s="1" cm="1">
        <f t="array" ref="O10">_xlfn.IFS(N10=5,I10+0.15*I10,N10=4,I10+I10*0.1,N10=3,I10+I10*0.07,N10&lt;3,I10+I10*0.05)</f>
        <v>56252.9</v>
      </c>
    </row>
    <row r="11" spans="1:29" x14ac:dyDescent="0.3">
      <c r="A11" s="1" t="s">
        <v>67</v>
      </c>
      <c r="B11" s="1" t="s">
        <v>13</v>
      </c>
      <c r="C11" s="1" t="s">
        <v>23</v>
      </c>
      <c r="D11" s="1" t="s">
        <v>15</v>
      </c>
      <c r="E11" s="1">
        <v>25</v>
      </c>
      <c r="F11" s="1" t="s">
        <v>39</v>
      </c>
      <c r="G11" s="1" t="s">
        <v>17</v>
      </c>
      <c r="H11" s="1" t="s">
        <v>68</v>
      </c>
      <c r="I11" s="1">
        <v>60673</v>
      </c>
      <c r="J11" s="1" t="s">
        <v>65</v>
      </c>
      <c r="K11" s="1" t="s">
        <v>69</v>
      </c>
      <c r="L11" s="1" t="s">
        <v>36</v>
      </c>
      <c r="M11" s="1" t="str">
        <f>_xlfn.XLOOKUP(Sheet1!F11,Departments!$A$2:$A$6,Departments!$B$2:$B$6)</f>
        <v>Marketing</v>
      </c>
      <c r="N11" s="1">
        <f>_xlfn.XLOOKUP(A11,Performance!$A$2:$A$501,Performance!$C$2:$C$501)</f>
        <v>5</v>
      </c>
      <c r="O11" s="1" cm="1">
        <f t="array" ref="O11">_xlfn.IFS(N11=5,I11+0.15*I11,N11=4,I11+I11*0.1,N11=3,I11+I11*0.07,N11&lt;3,I11+I11*0.05)</f>
        <v>69773.95</v>
      </c>
    </row>
    <row r="12" spans="1:29" x14ac:dyDescent="0.3">
      <c r="A12" s="1" t="s">
        <v>70</v>
      </c>
      <c r="B12" s="1" t="s">
        <v>71</v>
      </c>
      <c r="C12" s="1" t="s">
        <v>23</v>
      </c>
      <c r="D12" s="1" t="s">
        <v>15</v>
      </c>
      <c r="E12" s="1">
        <v>25</v>
      </c>
      <c r="F12" s="1" t="s">
        <v>39</v>
      </c>
      <c r="G12" s="1" t="s">
        <v>32</v>
      </c>
      <c r="H12" s="1" t="s">
        <v>72</v>
      </c>
      <c r="I12" s="1">
        <v>65690</v>
      </c>
      <c r="J12" s="1" t="s">
        <v>19</v>
      </c>
      <c r="K12" s="1" t="s">
        <v>73</v>
      </c>
      <c r="L12" s="1" t="s">
        <v>36</v>
      </c>
      <c r="M12" s="1" t="str">
        <f>_xlfn.XLOOKUP(Sheet1!F12,Departments!$A$2:$A$6,Departments!$B$2:$B$6)</f>
        <v>Marketing</v>
      </c>
      <c r="N12" s="1">
        <f>_xlfn.XLOOKUP(A12,Performance!$A$2:$A$501,Performance!$C$2:$C$501)</f>
        <v>3</v>
      </c>
      <c r="O12" s="1" cm="1">
        <f t="array" ref="O12">_xlfn.IFS(N12=5,I12+0.15*I12,N12=4,I12+I12*0.1,N12=3,I12+I12*0.07,N12&lt;3,I12+I12*0.05)</f>
        <v>70288.3</v>
      </c>
    </row>
    <row r="13" spans="1:29" x14ac:dyDescent="0.3">
      <c r="A13" s="1" t="s">
        <v>74</v>
      </c>
      <c r="B13" s="1" t="s">
        <v>30</v>
      </c>
      <c r="C13" s="1" t="s">
        <v>45</v>
      </c>
      <c r="D13" s="1" t="s">
        <v>24</v>
      </c>
      <c r="E13" s="1">
        <v>49</v>
      </c>
      <c r="F13" s="1" t="s">
        <v>25</v>
      </c>
      <c r="G13" s="1" t="s">
        <v>26</v>
      </c>
      <c r="H13" s="1" t="s">
        <v>75</v>
      </c>
      <c r="I13" s="1">
        <v>63823</v>
      </c>
      <c r="J13" s="1" t="s">
        <v>65</v>
      </c>
      <c r="K13" s="1" t="s">
        <v>76</v>
      </c>
      <c r="L13" s="1" t="s">
        <v>21</v>
      </c>
      <c r="M13" s="1" t="str">
        <f>_xlfn.XLOOKUP(Sheet1!F13,Departments!$A$2:$A$6,Departments!$B$2:$B$6)</f>
        <v>IT</v>
      </c>
      <c r="N13" s="1">
        <f>_xlfn.XLOOKUP(A13,Performance!$A$2:$A$501,Performance!$C$2:$C$501)</f>
        <v>2</v>
      </c>
      <c r="O13" s="1" cm="1">
        <f t="array" ref="O13">_xlfn.IFS(N13=5,I13+0.15*I13,N13=4,I13+I13*0.1,N13=3,I13+I13*0.07,N13&lt;3,I13+I13*0.05)</f>
        <v>67014.149999999994</v>
      </c>
      <c r="S13" s="6" t="s">
        <v>1533</v>
      </c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 spans="1:29" x14ac:dyDescent="0.3">
      <c r="A14" s="1" t="s">
        <v>77</v>
      </c>
      <c r="B14" s="1" t="s">
        <v>30</v>
      </c>
      <c r="C14" s="1" t="s">
        <v>78</v>
      </c>
      <c r="D14" s="1" t="s">
        <v>15</v>
      </c>
      <c r="E14" s="1">
        <v>56</v>
      </c>
      <c r="F14" s="1" t="s">
        <v>39</v>
      </c>
      <c r="G14" s="1" t="s">
        <v>17</v>
      </c>
      <c r="H14" s="1" t="s">
        <v>79</v>
      </c>
      <c r="I14" s="1">
        <v>49557</v>
      </c>
      <c r="J14" s="1" t="s">
        <v>80</v>
      </c>
      <c r="K14" s="1" t="s">
        <v>81</v>
      </c>
      <c r="L14" s="1" t="s">
        <v>36</v>
      </c>
      <c r="M14" s="1" t="str">
        <f>_xlfn.XLOOKUP(Sheet1!F14,Departments!$A$2:$A$6,Departments!$B$2:$B$6)</f>
        <v>Marketing</v>
      </c>
      <c r="N14" s="1">
        <f>_xlfn.XLOOKUP(A14,Performance!$A$2:$A$501,Performance!$C$2:$C$501)</f>
        <v>3</v>
      </c>
      <c r="O14" s="1" cm="1">
        <f t="array" ref="O14">_xlfn.IFS(N14=5,I14+0.15*I14,N14=4,I14+I14*0.1,N14=3,I14+I14*0.07,N14&lt;3,I14+I14*0.05)</f>
        <v>53025.99</v>
      </c>
      <c r="S14" s="6" t="s">
        <v>1532</v>
      </c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 spans="1:29" x14ac:dyDescent="0.3">
      <c r="A15" s="1" t="s">
        <v>82</v>
      </c>
      <c r="B15" s="1" t="s">
        <v>30</v>
      </c>
      <c r="C15" s="1" t="s">
        <v>83</v>
      </c>
      <c r="D15" s="1" t="s">
        <v>24</v>
      </c>
      <c r="E15" s="1">
        <v>44</v>
      </c>
      <c r="F15" s="1" t="s">
        <v>16</v>
      </c>
      <c r="G15" s="1" t="s">
        <v>32</v>
      </c>
      <c r="H15" s="1" t="s">
        <v>84</v>
      </c>
      <c r="I15" s="1">
        <v>116901</v>
      </c>
      <c r="J15" s="1" t="s">
        <v>65</v>
      </c>
      <c r="K15" s="1" t="s">
        <v>85</v>
      </c>
      <c r="L15" s="1" t="s">
        <v>21</v>
      </c>
      <c r="M15" s="1" t="str">
        <f>_xlfn.XLOOKUP(Sheet1!F15,Departments!$A$2:$A$6,Departments!$B$2:$B$6)</f>
        <v>HR</v>
      </c>
      <c r="N15" s="1">
        <f>_xlfn.XLOOKUP(A15,Performance!$A$2:$A$501,Performance!$C$2:$C$501)</f>
        <v>2</v>
      </c>
      <c r="O15" s="1" cm="1">
        <f t="array" ref="O15">_xlfn.IFS(N15=5,I15+0.15*I15,N15=4,I15+I15*0.1,N15=3,I15+I15*0.07,N15&lt;3,I15+I15*0.05)</f>
        <v>122746.05</v>
      </c>
      <c r="S15" s="6" t="s">
        <v>1531</v>
      </c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 spans="1:29" x14ac:dyDescent="0.3">
      <c r="A16" s="1" t="s">
        <v>86</v>
      </c>
      <c r="B16" s="1" t="s">
        <v>38</v>
      </c>
      <c r="C16" s="1" t="s">
        <v>83</v>
      </c>
      <c r="D16" s="1" t="s">
        <v>15</v>
      </c>
      <c r="E16" s="1">
        <v>55</v>
      </c>
      <c r="F16" s="1" t="s">
        <v>50</v>
      </c>
      <c r="G16" s="1" t="s">
        <v>17</v>
      </c>
      <c r="H16" s="1" t="s">
        <v>87</v>
      </c>
      <c r="I16" s="1">
        <v>85190</v>
      </c>
      <c r="J16" s="1" t="s">
        <v>60</v>
      </c>
      <c r="K16" s="1" t="s">
        <v>88</v>
      </c>
      <c r="L16" s="1" t="s">
        <v>36</v>
      </c>
      <c r="M16" s="1" t="str">
        <f>_xlfn.XLOOKUP(Sheet1!F16,Departments!$A$2:$A$6,Departments!$B$2:$B$6)</f>
        <v>Finance</v>
      </c>
      <c r="N16" s="1">
        <f>_xlfn.XLOOKUP(A16,Performance!$A$2:$A$501,Performance!$C$2:$C$501)</f>
        <v>4</v>
      </c>
      <c r="O16" s="1" cm="1">
        <f t="array" ref="O16">_xlfn.IFS(N16=5,I16+0.15*I16,N16=4,I16+I16*0.1,N16=3,I16+I16*0.07,N16&lt;3,I16+I16*0.05)</f>
        <v>93709</v>
      </c>
      <c r="S16" s="6" t="s">
        <v>1530</v>
      </c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 spans="1:15" x14ac:dyDescent="0.3">
      <c r="A17" s="1" t="s">
        <v>89</v>
      </c>
      <c r="B17" s="1" t="s">
        <v>54</v>
      </c>
      <c r="C17" s="1" t="s">
        <v>90</v>
      </c>
      <c r="D17" s="1" t="s">
        <v>15</v>
      </c>
      <c r="E17" s="1">
        <v>30</v>
      </c>
      <c r="F17" s="1" t="s">
        <v>31</v>
      </c>
      <c r="G17" s="1" t="s">
        <v>32</v>
      </c>
      <c r="H17" s="1" t="s">
        <v>91</v>
      </c>
      <c r="I17" s="1">
        <v>95723</v>
      </c>
      <c r="J17" s="1" t="s">
        <v>65</v>
      </c>
      <c r="K17" s="1" t="s">
        <v>92</v>
      </c>
      <c r="L17" s="1" t="s">
        <v>36</v>
      </c>
      <c r="M17" s="1" t="str">
        <f>_xlfn.XLOOKUP(Sheet1!F17,Departments!$A$2:$A$6,Departments!$B$2:$B$6)</f>
        <v>Sales</v>
      </c>
      <c r="N17" s="1">
        <f>_xlfn.XLOOKUP(A17,Performance!$A$2:$A$501,Performance!$C$2:$C$501)</f>
        <v>2</v>
      </c>
      <c r="O17" s="1" cm="1">
        <f t="array" ref="O17">_xlfn.IFS(N17=5,I17+0.15*I17,N17=4,I17+I17*0.1,N17=3,I17+I17*0.07,N17&lt;3,I17+I17*0.05)</f>
        <v>100509.15</v>
      </c>
    </row>
    <row r="18" spans="1:15" x14ac:dyDescent="0.3">
      <c r="A18" s="1" t="s">
        <v>93</v>
      </c>
      <c r="B18" s="1" t="s">
        <v>94</v>
      </c>
      <c r="C18" s="1" t="s">
        <v>95</v>
      </c>
      <c r="D18" s="1" t="s">
        <v>15</v>
      </c>
      <c r="E18" s="1">
        <v>51</v>
      </c>
      <c r="F18" s="1" t="s">
        <v>31</v>
      </c>
      <c r="G18" s="1" t="s">
        <v>26</v>
      </c>
      <c r="H18" s="1" t="s">
        <v>96</v>
      </c>
      <c r="I18" s="1">
        <v>35234</v>
      </c>
      <c r="J18" s="1" t="s">
        <v>60</v>
      </c>
      <c r="K18" s="1" t="s">
        <v>97</v>
      </c>
      <c r="L18" s="1" t="s">
        <v>36</v>
      </c>
      <c r="M18" s="1" t="str">
        <f>_xlfn.XLOOKUP(Sheet1!F18,Departments!$A$2:$A$6,Departments!$B$2:$B$6)</f>
        <v>Sales</v>
      </c>
      <c r="N18" s="1">
        <f>_xlfn.XLOOKUP(A18,Performance!$A$2:$A$501,Performance!$C$2:$C$501)</f>
        <v>1</v>
      </c>
      <c r="O18" s="1" cm="1">
        <f t="array" ref="O18">_xlfn.IFS(N18=5,I18+0.15*I18,N18=4,I18+I18*0.1,N18=3,I18+I18*0.07,N18&lt;3,I18+I18*0.05)</f>
        <v>36995.699999999997</v>
      </c>
    </row>
    <row r="19" spans="1:15" x14ac:dyDescent="0.3">
      <c r="A19" s="1" t="s">
        <v>98</v>
      </c>
      <c r="B19" s="1" t="s">
        <v>58</v>
      </c>
      <c r="C19" s="1" t="s">
        <v>23</v>
      </c>
      <c r="D19" s="1" t="s">
        <v>24</v>
      </c>
      <c r="E19" s="1">
        <v>38</v>
      </c>
      <c r="F19" s="1" t="s">
        <v>16</v>
      </c>
      <c r="G19" s="1" t="s">
        <v>26</v>
      </c>
      <c r="H19" s="1" t="s">
        <v>99</v>
      </c>
      <c r="I19" s="1">
        <v>102733</v>
      </c>
      <c r="J19" s="1" t="s">
        <v>19</v>
      </c>
      <c r="K19" s="1" t="s">
        <v>100</v>
      </c>
      <c r="L19" s="1" t="s">
        <v>36</v>
      </c>
      <c r="M19" s="1" t="str">
        <f>_xlfn.XLOOKUP(Sheet1!F19,Departments!$A$2:$A$6,Departments!$B$2:$B$6)</f>
        <v>HR</v>
      </c>
      <c r="N19" s="1">
        <f>_xlfn.XLOOKUP(A19,Performance!$A$2:$A$501,Performance!$C$2:$C$501)</f>
        <v>4</v>
      </c>
      <c r="O19" s="1" cm="1">
        <f t="array" ref="O19">_xlfn.IFS(N19=5,I19+0.15*I19,N19=4,I19+I19*0.1,N19=3,I19+I19*0.07,N19&lt;3,I19+I19*0.05)</f>
        <v>113006.3</v>
      </c>
    </row>
    <row r="20" spans="1:15" x14ac:dyDescent="0.3">
      <c r="A20" s="1" t="s">
        <v>101</v>
      </c>
      <c r="B20" s="1" t="s">
        <v>30</v>
      </c>
      <c r="C20" s="1" t="s">
        <v>78</v>
      </c>
      <c r="D20" s="1" t="s">
        <v>15</v>
      </c>
      <c r="E20" s="1">
        <v>46</v>
      </c>
      <c r="F20" s="1" t="s">
        <v>16</v>
      </c>
      <c r="G20" s="1" t="s">
        <v>40</v>
      </c>
      <c r="H20" s="1" t="s">
        <v>102</v>
      </c>
      <c r="I20" s="1">
        <v>76829</v>
      </c>
      <c r="J20" s="1" t="s">
        <v>65</v>
      </c>
      <c r="K20" s="1" t="s">
        <v>103</v>
      </c>
      <c r="L20" s="1" t="s">
        <v>21</v>
      </c>
      <c r="M20" s="1" t="str">
        <f>_xlfn.XLOOKUP(Sheet1!F20,Departments!$A$2:$A$6,Departments!$B$2:$B$6)</f>
        <v>HR</v>
      </c>
      <c r="N20" s="1">
        <f>_xlfn.XLOOKUP(A20,Performance!$A$2:$A$501,Performance!$C$2:$C$501)</f>
        <v>5</v>
      </c>
      <c r="O20" s="1" cm="1">
        <f t="array" ref="O20">_xlfn.IFS(N20=5,I20+0.15*I20,N20=4,I20+I20*0.1,N20=3,I20+I20*0.07,N20&lt;3,I20+I20*0.05)</f>
        <v>88353.35</v>
      </c>
    </row>
    <row r="21" spans="1:15" x14ac:dyDescent="0.3">
      <c r="A21" s="1" t="s">
        <v>104</v>
      </c>
      <c r="B21" s="1" t="s">
        <v>94</v>
      </c>
      <c r="C21" s="1" t="s">
        <v>14</v>
      </c>
      <c r="D21" s="1" t="s">
        <v>24</v>
      </c>
      <c r="E21" s="1">
        <v>60</v>
      </c>
      <c r="F21" s="1" t="s">
        <v>39</v>
      </c>
      <c r="G21" s="1" t="s">
        <v>32</v>
      </c>
      <c r="H21" s="1" t="s">
        <v>105</v>
      </c>
      <c r="I21" s="1">
        <v>69718</v>
      </c>
      <c r="J21" s="1" t="s">
        <v>34</v>
      </c>
      <c r="K21" s="1" t="s">
        <v>106</v>
      </c>
      <c r="L21" s="1" t="s">
        <v>36</v>
      </c>
      <c r="M21" s="1" t="str">
        <f>_xlfn.XLOOKUP(Sheet1!F21,Departments!$A$2:$A$6,Departments!$B$2:$B$6)</f>
        <v>Marketing</v>
      </c>
      <c r="N21" s="1">
        <f>_xlfn.XLOOKUP(A21,Performance!$A$2:$A$501,Performance!$C$2:$C$501)</f>
        <v>5</v>
      </c>
      <c r="O21" s="1" cm="1">
        <f t="array" ref="O21">_xlfn.IFS(N21=5,I21+0.15*I21,N21=4,I21+I21*0.1,N21=3,I21+I21*0.07,N21&lt;3,I21+I21*0.05)</f>
        <v>80175.7</v>
      </c>
    </row>
    <row r="22" spans="1:15" x14ac:dyDescent="0.3">
      <c r="A22" s="1" t="s">
        <v>107</v>
      </c>
      <c r="B22" s="1" t="s">
        <v>94</v>
      </c>
      <c r="C22" s="1" t="s">
        <v>83</v>
      </c>
      <c r="D22" s="1" t="s">
        <v>15</v>
      </c>
      <c r="E22" s="1">
        <v>24</v>
      </c>
      <c r="F22" s="1" t="s">
        <v>31</v>
      </c>
      <c r="G22" s="1" t="s">
        <v>108</v>
      </c>
      <c r="H22" s="1" t="s">
        <v>109</v>
      </c>
      <c r="I22" s="1">
        <v>90834</v>
      </c>
      <c r="J22" s="1" t="s">
        <v>80</v>
      </c>
      <c r="K22" s="1" t="s">
        <v>110</v>
      </c>
      <c r="L22" s="1" t="s">
        <v>21</v>
      </c>
      <c r="M22" s="1" t="str">
        <f>_xlfn.XLOOKUP(Sheet1!F22,Departments!$A$2:$A$6,Departments!$B$2:$B$6)</f>
        <v>Sales</v>
      </c>
      <c r="N22" s="1">
        <f>_xlfn.XLOOKUP(A22,Performance!$A$2:$A$501,Performance!$C$2:$C$501)</f>
        <v>1</v>
      </c>
      <c r="O22" s="1" cm="1">
        <f t="array" ref="O22">_xlfn.IFS(N22=5,I22+0.15*I22,N22=4,I22+I22*0.1,N22=3,I22+I22*0.07,N22&lt;3,I22+I22*0.05)</f>
        <v>95375.7</v>
      </c>
    </row>
    <row r="23" spans="1:15" x14ac:dyDescent="0.3">
      <c r="A23" s="1" t="s">
        <v>111</v>
      </c>
      <c r="B23" s="1" t="s">
        <v>13</v>
      </c>
      <c r="C23" s="1" t="s">
        <v>14</v>
      </c>
      <c r="D23" s="1" t="s">
        <v>24</v>
      </c>
      <c r="E23" s="1">
        <v>51</v>
      </c>
      <c r="F23" s="1" t="s">
        <v>16</v>
      </c>
      <c r="G23" s="1" t="s">
        <v>108</v>
      </c>
      <c r="H23" s="1" t="s">
        <v>112</v>
      </c>
      <c r="I23" s="1">
        <v>51631</v>
      </c>
      <c r="J23" s="1" t="s">
        <v>65</v>
      </c>
      <c r="K23" s="1" t="s">
        <v>113</v>
      </c>
      <c r="L23" s="1" t="s">
        <v>36</v>
      </c>
      <c r="M23" s="1" t="str">
        <f>_xlfn.XLOOKUP(Sheet1!F23,Departments!$A$2:$A$6,Departments!$B$2:$B$6)</f>
        <v>HR</v>
      </c>
      <c r="N23" s="1">
        <f>_xlfn.XLOOKUP(A23,Performance!$A$2:$A$501,Performance!$C$2:$C$501)</f>
        <v>5</v>
      </c>
      <c r="O23" s="1" cm="1">
        <f t="array" ref="O23">_xlfn.IFS(N23=5,I23+0.15*I23,N23=4,I23+I23*0.1,N23=3,I23+I23*0.07,N23&lt;3,I23+I23*0.05)</f>
        <v>59375.65</v>
      </c>
    </row>
    <row r="24" spans="1:15" x14ac:dyDescent="0.3">
      <c r="A24" s="1" t="s">
        <v>114</v>
      </c>
      <c r="B24" s="1" t="s">
        <v>71</v>
      </c>
      <c r="C24" s="1" t="s">
        <v>63</v>
      </c>
      <c r="D24" s="1" t="s">
        <v>24</v>
      </c>
      <c r="E24" s="1">
        <v>45</v>
      </c>
      <c r="F24" s="1" t="s">
        <v>31</v>
      </c>
      <c r="G24" s="1" t="s">
        <v>26</v>
      </c>
      <c r="H24" s="1" t="s">
        <v>115</v>
      </c>
      <c r="I24" s="1">
        <v>51414</v>
      </c>
      <c r="J24" s="1" t="s">
        <v>65</v>
      </c>
      <c r="K24" s="1" t="s">
        <v>116</v>
      </c>
      <c r="L24" s="1" t="s">
        <v>21</v>
      </c>
      <c r="M24" s="1" t="str">
        <f>_xlfn.XLOOKUP(Sheet1!F24,Departments!$A$2:$A$6,Departments!$B$2:$B$6)</f>
        <v>Sales</v>
      </c>
      <c r="N24" s="1">
        <f>_xlfn.XLOOKUP(A24,Performance!$A$2:$A$501,Performance!$C$2:$C$501)</f>
        <v>3</v>
      </c>
      <c r="O24" s="1" cm="1">
        <f t="array" ref="O24">_xlfn.IFS(N24=5,I24+0.15*I24,N24=4,I24+I24*0.1,N24=3,I24+I24*0.07,N24&lt;3,I24+I24*0.05)</f>
        <v>55012.98</v>
      </c>
    </row>
    <row r="25" spans="1:15" x14ac:dyDescent="0.3">
      <c r="A25" s="1" t="s">
        <v>117</v>
      </c>
      <c r="B25" s="1" t="s">
        <v>44</v>
      </c>
      <c r="C25" s="1" t="s">
        <v>63</v>
      </c>
      <c r="D25" s="1" t="s">
        <v>24</v>
      </c>
      <c r="E25" s="1">
        <v>35</v>
      </c>
      <c r="F25" s="1" t="s">
        <v>50</v>
      </c>
      <c r="G25" s="1" t="s">
        <v>17</v>
      </c>
      <c r="H25" s="1" t="s">
        <v>118</v>
      </c>
      <c r="I25" s="1">
        <v>79578</v>
      </c>
      <c r="J25" s="1" t="s">
        <v>19</v>
      </c>
      <c r="K25" s="1" t="s">
        <v>119</v>
      </c>
      <c r="L25" s="1" t="s">
        <v>36</v>
      </c>
      <c r="M25" s="1" t="str">
        <f>_xlfn.XLOOKUP(Sheet1!F25,Departments!$A$2:$A$6,Departments!$B$2:$B$6)</f>
        <v>Finance</v>
      </c>
      <c r="N25" s="1">
        <f>_xlfn.XLOOKUP(A25,Performance!$A$2:$A$501,Performance!$C$2:$C$501)</f>
        <v>4</v>
      </c>
      <c r="O25" s="1" cm="1">
        <f t="array" ref="O25">_xlfn.IFS(N25=5,I25+0.15*I25,N25=4,I25+I25*0.1,N25=3,I25+I25*0.07,N25&lt;3,I25+I25*0.05)</f>
        <v>87535.8</v>
      </c>
    </row>
    <row r="26" spans="1:15" x14ac:dyDescent="0.3">
      <c r="A26" s="1" t="s">
        <v>120</v>
      </c>
      <c r="B26" s="1" t="s">
        <v>71</v>
      </c>
      <c r="C26" s="1" t="s">
        <v>83</v>
      </c>
      <c r="D26" s="1" t="s">
        <v>24</v>
      </c>
      <c r="E26" s="1">
        <v>47</v>
      </c>
      <c r="F26" s="1" t="s">
        <v>25</v>
      </c>
      <c r="G26" s="1" t="s">
        <v>108</v>
      </c>
      <c r="H26" s="1" t="s">
        <v>121</v>
      </c>
      <c r="I26" s="1">
        <v>111899</v>
      </c>
      <c r="J26" s="1" t="s">
        <v>65</v>
      </c>
      <c r="K26" s="1" t="s">
        <v>122</v>
      </c>
      <c r="L26" s="1" t="s">
        <v>36</v>
      </c>
      <c r="M26" s="1" t="str">
        <f>_xlfn.XLOOKUP(Sheet1!F26,Departments!$A$2:$A$6,Departments!$B$2:$B$6)</f>
        <v>IT</v>
      </c>
      <c r="N26" s="1">
        <f>_xlfn.XLOOKUP(A26,Performance!$A$2:$A$501,Performance!$C$2:$C$501)</f>
        <v>4</v>
      </c>
      <c r="O26" s="1" cm="1">
        <f t="array" ref="O26">_xlfn.IFS(N26=5,I26+0.15*I26,N26=4,I26+I26*0.1,N26=3,I26+I26*0.07,N26&lt;3,I26+I26*0.05)</f>
        <v>123088.9</v>
      </c>
    </row>
    <row r="27" spans="1:15" x14ac:dyDescent="0.3">
      <c r="A27" s="1" t="s">
        <v>123</v>
      </c>
      <c r="B27" s="1" t="s">
        <v>58</v>
      </c>
      <c r="C27" s="1" t="s">
        <v>14</v>
      </c>
      <c r="D27" s="1" t="s">
        <v>24</v>
      </c>
      <c r="E27" s="1">
        <v>47</v>
      </c>
      <c r="F27" s="1" t="s">
        <v>31</v>
      </c>
      <c r="G27" s="1" t="s">
        <v>26</v>
      </c>
      <c r="H27" s="1" t="s">
        <v>124</v>
      </c>
      <c r="I27" s="1">
        <v>95862</v>
      </c>
      <c r="J27" s="1" t="s">
        <v>19</v>
      </c>
      <c r="K27" s="1" t="s">
        <v>125</v>
      </c>
      <c r="L27" s="1" t="s">
        <v>21</v>
      </c>
      <c r="M27" s="1" t="str">
        <f>_xlfn.XLOOKUP(Sheet1!F27,Departments!$A$2:$A$6,Departments!$B$2:$B$6)</f>
        <v>Sales</v>
      </c>
      <c r="N27" s="1">
        <f>_xlfn.XLOOKUP(A27,Performance!$A$2:$A$501,Performance!$C$2:$C$501)</f>
        <v>1</v>
      </c>
      <c r="O27" s="1" cm="1">
        <f t="array" ref="O27">_xlfn.IFS(N27=5,I27+0.15*I27,N27=4,I27+I27*0.1,N27=3,I27+I27*0.07,N27&lt;3,I27+I27*0.05)</f>
        <v>100655.1</v>
      </c>
    </row>
    <row r="28" spans="1:15" x14ac:dyDescent="0.3">
      <c r="A28" s="1" t="s">
        <v>126</v>
      </c>
      <c r="B28" s="1" t="s">
        <v>13</v>
      </c>
      <c r="C28" s="1" t="s">
        <v>83</v>
      </c>
      <c r="D28" s="1" t="s">
        <v>15</v>
      </c>
      <c r="E28" s="1">
        <v>49</v>
      </c>
      <c r="F28" s="1" t="s">
        <v>25</v>
      </c>
      <c r="G28" s="1" t="s">
        <v>17</v>
      </c>
      <c r="H28" s="1" t="s">
        <v>127</v>
      </c>
      <c r="I28" s="1">
        <v>110397</v>
      </c>
      <c r="J28" s="1" t="s">
        <v>80</v>
      </c>
      <c r="K28" s="1" t="s">
        <v>128</v>
      </c>
      <c r="L28" s="1" t="s">
        <v>36</v>
      </c>
      <c r="M28" s="1" t="str">
        <f>_xlfn.XLOOKUP(Sheet1!F28,Departments!$A$2:$A$6,Departments!$B$2:$B$6)</f>
        <v>IT</v>
      </c>
      <c r="N28" s="1">
        <f>_xlfn.XLOOKUP(A28,Performance!$A$2:$A$501,Performance!$C$2:$C$501)</f>
        <v>1</v>
      </c>
      <c r="O28" s="1" cm="1">
        <f t="array" ref="O28">_xlfn.IFS(N28=5,I28+0.15*I28,N28=4,I28+I28*0.1,N28=3,I28+I28*0.07,N28&lt;3,I28+I28*0.05)</f>
        <v>115916.85</v>
      </c>
    </row>
    <row r="29" spans="1:15" x14ac:dyDescent="0.3">
      <c r="A29" s="1" t="s">
        <v>129</v>
      </c>
      <c r="B29" s="1" t="s">
        <v>44</v>
      </c>
      <c r="C29" s="1" t="s">
        <v>130</v>
      </c>
      <c r="D29" s="1" t="s">
        <v>15</v>
      </c>
      <c r="E29" s="1">
        <v>27</v>
      </c>
      <c r="F29" s="1" t="s">
        <v>50</v>
      </c>
      <c r="G29" s="1" t="s">
        <v>26</v>
      </c>
      <c r="H29" s="1" t="s">
        <v>131</v>
      </c>
      <c r="I29" s="1">
        <v>111149</v>
      </c>
      <c r="J29" s="1" t="s">
        <v>80</v>
      </c>
      <c r="K29" s="1" t="s">
        <v>132</v>
      </c>
      <c r="L29" s="1" t="s">
        <v>21</v>
      </c>
      <c r="M29" s="1" t="str">
        <f>_xlfn.XLOOKUP(Sheet1!F29,Departments!$A$2:$A$6,Departments!$B$2:$B$6)</f>
        <v>Finance</v>
      </c>
      <c r="N29" s="1">
        <f>_xlfn.XLOOKUP(A29,Performance!$A$2:$A$501,Performance!$C$2:$C$501)</f>
        <v>4</v>
      </c>
      <c r="O29" s="1" cm="1">
        <f t="array" ref="O29">_xlfn.IFS(N29=5,I29+0.15*I29,N29=4,I29+I29*0.1,N29=3,I29+I29*0.07,N29&lt;3,I29+I29*0.05)</f>
        <v>122263.9</v>
      </c>
    </row>
    <row r="30" spans="1:15" x14ac:dyDescent="0.3">
      <c r="A30" s="1" t="s">
        <v>133</v>
      </c>
      <c r="B30" s="1" t="s">
        <v>54</v>
      </c>
      <c r="C30" s="1" t="s">
        <v>78</v>
      </c>
      <c r="D30" s="1" t="s">
        <v>24</v>
      </c>
      <c r="E30" s="1">
        <v>36</v>
      </c>
      <c r="F30" s="1" t="s">
        <v>31</v>
      </c>
      <c r="G30" s="1" t="s">
        <v>17</v>
      </c>
      <c r="H30" s="1" t="s">
        <v>134</v>
      </c>
      <c r="I30" s="1">
        <v>67035</v>
      </c>
      <c r="J30" s="1" t="s">
        <v>80</v>
      </c>
      <c r="K30" s="1" t="s">
        <v>135</v>
      </c>
      <c r="L30" s="1" t="s">
        <v>36</v>
      </c>
      <c r="M30" s="1" t="str">
        <f>_xlfn.XLOOKUP(Sheet1!F30,Departments!$A$2:$A$6,Departments!$B$2:$B$6)</f>
        <v>Sales</v>
      </c>
      <c r="N30" s="1">
        <f>_xlfn.XLOOKUP(A30,Performance!$A$2:$A$501,Performance!$C$2:$C$501)</f>
        <v>5</v>
      </c>
      <c r="O30" s="1" cm="1">
        <f t="array" ref="O30">_xlfn.IFS(N30=5,I30+0.15*I30,N30=4,I30+I30*0.1,N30=3,I30+I30*0.07,N30&lt;3,I30+I30*0.05)</f>
        <v>77090.25</v>
      </c>
    </row>
    <row r="31" spans="1:15" x14ac:dyDescent="0.3">
      <c r="A31" s="1" t="s">
        <v>136</v>
      </c>
      <c r="B31" s="1" t="s">
        <v>38</v>
      </c>
      <c r="C31" s="1" t="s">
        <v>14</v>
      </c>
      <c r="D31" s="1" t="s">
        <v>24</v>
      </c>
      <c r="E31" s="1">
        <v>41</v>
      </c>
      <c r="F31" s="1" t="s">
        <v>25</v>
      </c>
      <c r="G31" s="1" t="s">
        <v>17</v>
      </c>
      <c r="H31" s="1" t="s">
        <v>137</v>
      </c>
      <c r="I31" s="1">
        <v>103851</v>
      </c>
      <c r="J31" s="1" t="s">
        <v>34</v>
      </c>
      <c r="K31" s="1" t="s">
        <v>138</v>
      </c>
      <c r="L31" s="1" t="s">
        <v>36</v>
      </c>
      <c r="M31" s="1" t="str">
        <f>_xlfn.XLOOKUP(Sheet1!F31,Departments!$A$2:$A$6,Departments!$B$2:$B$6)</f>
        <v>IT</v>
      </c>
      <c r="N31" s="1">
        <f>_xlfn.XLOOKUP(A31,Performance!$A$2:$A$501,Performance!$C$2:$C$501)</f>
        <v>2</v>
      </c>
      <c r="O31" s="1" cm="1">
        <f t="array" ref="O31">_xlfn.IFS(N31=5,I31+0.15*I31,N31=4,I31+I31*0.1,N31=3,I31+I31*0.07,N31&lt;3,I31+I31*0.05)</f>
        <v>109043.55</v>
      </c>
    </row>
    <row r="32" spans="1:15" x14ac:dyDescent="0.3">
      <c r="A32" s="1" t="s">
        <v>139</v>
      </c>
      <c r="B32" s="1" t="s">
        <v>13</v>
      </c>
      <c r="C32" s="1" t="s">
        <v>45</v>
      </c>
      <c r="D32" s="1" t="s">
        <v>15</v>
      </c>
      <c r="E32" s="1">
        <v>26</v>
      </c>
      <c r="F32" s="1" t="s">
        <v>39</v>
      </c>
      <c r="G32" s="1" t="s">
        <v>108</v>
      </c>
      <c r="H32" s="1" t="s">
        <v>140</v>
      </c>
      <c r="I32" s="1">
        <v>63676</v>
      </c>
      <c r="J32" s="1" t="s">
        <v>19</v>
      </c>
      <c r="K32" s="1" t="s">
        <v>141</v>
      </c>
      <c r="L32" s="1" t="s">
        <v>36</v>
      </c>
      <c r="M32" s="1" t="str">
        <f>_xlfn.XLOOKUP(Sheet1!F32,Departments!$A$2:$A$6,Departments!$B$2:$B$6)</f>
        <v>Marketing</v>
      </c>
      <c r="N32" s="1">
        <f>_xlfn.XLOOKUP(A32,Performance!$A$2:$A$501,Performance!$C$2:$C$501)</f>
        <v>1</v>
      </c>
      <c r="O32" s="1" cm="1">
        <f t="array" ref="O32">_xlfn.IFS(N32=5,I32+0.15*I32,N32=4,I32+I32*0.1,N32=3,I32+I32*0.07,N32&lt;3,I32+I32*0.05)</f>
        <v>66859.8</v>
      </c>
    </row>
    <row r="33" spans="1:15" x14ac:dyDescent="0.3">
      <c r="A33" s="1" t="s">
        <v>142</v>
      </c>
      <c r="B33" s="1" t="s">
        <v>143</v>
      </c>
      <c r="C33" s="1" t="s">
        <v>95</v>
      </c>
      <c r="D33" s="1" t="s">
        <v>15</v>
      </c>
      <c r="E33" s="1">
        <v>31</v>
      </c>
      <c r="F33" s="1" t="s">
        <v>16</v>
      </c>
      <c r="G33" s="1" t="s">
        <v>40</v>
      </c>
      <c r="H33" s="1" t="s">
        <v>144</v>
      </c>
      <c r="I33" s="1">
        <v>115269</v>
      </c>
      <c r="J33" s="1" t="s">
        <v>80</v>
      </c>
      <c r="K33" s="1" t="s">
        <v>145</v>
      </c>
      <c r="L33" s="1" t="s">
        <v>36</v>
      </c>
      <c r="M33" s="1" t="str">
        <f>_xlfn.XLOOKUP(Sheet1!F33,Departments!$A$2:$A$6,Departments!$B$2:$B$6)</f>
        <v>HR</v>
      </c>
      <c r="N33" s="1">
        <f>_xlfn.XLOOKUP(A33,Performance!$A$2:$A$501,Performance!$C$2:$C$501)</f>
        <v>4</v>
      </c>
      <c r="O33" s="1" cm="1">
        <f t="array" ref="O33">_xlfn.IFS(N33=5,I33+0.15*I33,N33=4,I33+I33*0.1,N33=3,I33+I33*0.07,N33&lt;3,I33+I33*0.05)</f>
        <v>126795.9</v>
      </c>
    </row>
    <row r="34" spans="1:15" x14ac:dyDescent="0.3">
      <c r="A34" s="1" t="s">
        <v>146</v>
      </c>
      <c r="B34" s="1" t="s">
        <v>143</v>
      </c>
      <c r="C34" s="1" t="s">
        <v>63</v>
      </c>
      <c r="D34" s="1" t="s">
        <v>24</v>
      </c>
      <c r="E34" s="1">
        <v>47</v>
      </c>
      <c r="F34" s="1" t="s">
        <v>31</v>
      </c>
      <c r="G34" s="1" t="s">
        <v>17</v>
      </c>
      <c r="H34" s="1" t="s">
        <v>147</v>
      </c>
      <c r="I34" s="1">
        <v>77203</v>
      </c>
      <c r="J34" s="1" t="s">
        <v>34</v>
      </c>
      <c r="K34" s="1" t="s">
        <v>148</v>
      </c>
      <c r="L34" s="1" t="s">
        <v>21</v>
      </c>
      <c r="M34" s="1" t="str">
        <f>_xlfn.XLOOKUP(Sheet1!F34,Departments!$A$2:$A$6,Departments!$B$2:$B$6)</f>
        <v>Sales</v>
      </c>
      <c r="N34" s="1">
        <f>_xlfn.XLOOKUP(A34,Performance!$A$2:$A$501,Performance!$C$2:$C$501)</f>
        <v>5</v>
      </c>
      <c r="O34" s="1" cm="1">
        <f t="array" ref="O34">_xlfn.IFS(N34=5,I34+0.15*I34,N34=4,I34+I34*0.1,N34=3,I34+I34*0.07,N34&lt;3,I34+I34*0.05)</f>
        <v>88783.45</v>
      </c>
    </row>
    <row r="35" spans="1:15" x14ac:dyDescent="0.3">
      <c r="A35" s="1" t="s">
        <v>149</v>
      </c>
      <c r="B35" s="1" t="s">
        <v>58</v>
      </c>
      <c r="C35" s="1" t="s">
        <v>83</v>
      </c>
      <c r="D35" s="1" t="s">
        <v>24</v>
      </c>
      <c r="E35" s="1">
        <v>57</v>
      </c>
      <c r="F35" s="1" t="s">
        <v>16</v>
      </c>
      <c r="G35" s="1" t="s">
        <v>108</v>
      </c>
      <c r="H35" s="1" t="s">
        <v>150</v>
      </c>
      <c r="I35" s="1">
        <v>113291</v>
      </c>
      <c r="J35" s="1" t="s">
        <v>80</v>
      </c>
      <c r="K35" s="1" t="s">
        <v>151</v>
      </c>
      <c r="L35" s="1" t="s">
        <v>36</v>
      </c>
      <c r="M35" s="1" t="str">
        <f>_xlfn.XLOOKUP(Sheet1!F35,Departments!$A$2:$A$6,Departments!$B$2:$B$6)</f>
        <v>HR</v>
      </c>
      <c r="N35" s="1">
        <f>_xlfn.XLOOKUP(A35,Performance!$A$2:$A$501,Performance!$C$2:$C$501)</f>
        <v>1</v>
      </c>
      <c r="O35" s="1" cm="1">
        <f t="array" ref="O35">_xlfn.IFS(N35=5,I35+0.15*I35,N35=4,I35+I35*0.1,N35=3,I35+I35*0.07,N35&lt;3,I35+I35*0.05)</f>
        <v>118955.55</v>
      </c>
    </row>
    <row r="36" spans="1:15" x14ac:dyDescent="0.3">
      <c r="A36" s="1" t="s">
        <v>152</v>
      </c>
      <c r="B36" s="1" t="s">
        <v>38</v>
      </c>
      <c r="C36" s="1" t="s">
        <v>78</v>
      </c>
      <c r="D36" s="1" t="s">
        <v>15</v>
      </c>
      <c r="E36" s="1">
        <v>45</v>
      </c>
      <c r="F36" s="1" t="s">
        <v>16</v>
      </c>
      <c r="G36" s="1" t="s">
        <v>17</v>
      </c>
      <c r="H36" s="1" t="s">
        <v>153</v>
      </c>
      <c r="I36" s="1">
        <v>93729</v>
      </c>
      <c r="J36" s="1" t="s">
        <v>80</v>
      </c>
      <c r="K36" s="1" t="s">
        <v>154</v>
      </c>
      <c r="L36" s="1" t="s">
        <v>36</v>
      </c>
      <c r="M36" s="1" t="str">
        <f>_xlfn.XLOOKUP(Sheet1!F36,Departments!$A$2:$A$6,Departments!$B$2:$B$6)</f>
        <v>HR</v>
      </c>
      <c r="N36" s="1">
        <f>_xlfn.XLOOKUP(A36,Performance!$A$2:$A$501,Performance!$C$2:$C$501)</f>
        <v>5</v>
      </c>
      <c r="O36" s="1" cm="1">
        <f t="array" ref="O36">_xlfn.IFS(N36=5,I36+0.15*I36,N36=4,I36+I36*0.1,N36=3,I36+I36*0.07,N36&lt;3,I36+I36*0.05)</f>
        <v>107788.35</v>
      </c>
    </row>
    <row r="37" spans="1:15" x14ac:dyDescent="0.3">
      <c r="A37" s="1" t="s">
        <v>155</v>
      </c>
      <c r="B37" s="1" t="s">
        <v>30</v>
      </c>
      <c r="C37" s="1" t="s">
        <v>45</v>
      </c>
      <c r="D37" s="1" t="s">
        <v>24</v>
      </c>
      <c r="E37" s="1">
        <v>40</v>
      </c>
      <c r="F37" s="1" t="s">
        <v>39</v>
      </c>
      <c r="G37" s="1" t="s">
        <v>108</v>
      </c>
      <c r="H37" s="1" t="s">
        <v>156</v>
      </c>
      <c r="I37" s="1">
        <v>35947</v>
      </c>
      <c r="J37" s="1" t="s">
        <v>65</v>
      </c>
      <c r="K37" s="1" t="s">
        <v>157</v>
      </c>
      <c r="L37" s="1" t="s">
        <v>36</v>
      </c>
      <c r="M37" s="1" t="str">
        <f>_xlfn.XLOOKUP(Sheet1!F37,Departments!$A$2:$A$6,Departments!$B$2:$B$6)</f>
        <v>Marketing</v>
      </c>
      <c r="N37" s="1">
        <f>_xlfn.XLOOKUP(A37,Performance!$A$2:$A$501,Performance!$C$2:$C$501)</f>
        <v>1</v>
      </c>
      <c r="O37" s="1" cm="1">
        <f t="array" ref="O37">_xlfn.IFS(N37=5,I37+0.15*I37,N37=4,I37+I37*0.1,N37=3,I37+I37*0.07,N37&lt;3,I37+I37*0.05)</f>
        <v>37744.35</v>
      </c>
    </row>
    <row r="38" spans="1:15" x14ac:dyDescent="0.3">
      <c r="A38" s="1" t="s">
        <v>158</v>
      </c>
      <c r="B38" s="1" t="s">
        <v>13</v>
      </c>
      <c r="C38" s="1" t="s">
        <v>45</v>
      </c>
      <c r="D38" s="1" t="s">
        <v>15</v>
      </c>
      <c r="E38" s="1">
        <v>49</v>
      </c>
      <c r="F38" s="1" t="s">
        <v>39</v>
      </c>
      <c r="G38" s="1" t="s">
        <v>26</v>
      </c>
      <c r="H38" s="1" t="s">
        <v>159</v>
      </c>
      <c r="I38" s="1">
        <v>72311</v>
      </c>
      <c r="J38" s="1" t="s">
        <v>80</v>
      </c>
      <c r="K38" s="1" t="s">
        <v>160</v>
      </c>
      <c r="L38" s="1" t="s">
        <v>36</v>
      </c>
      <c r="M38" s="1" t="str">
        <f>_xlfn.XLOOKUP(Sheet1!F38,Departments!$A$2:$A$6,Departments!$B$2:$B$6)</f>
        <v>Marketing</v>
      </c>
      <c r="N38" s="1">
        <f>_xlfn.XLOOKUP(A38,Performance!$A$2:$A$501,Performance!$C$2:$C$501)</f>
        <v>4</v>
      </c>
      <c r="O38" s="1" cm="1">
        <f t="array" ref="O38">_xlfn.IFS(N38=5,I38+0.15*I38,N38=4,I38+I38*0.1,N38=3,I38+I38*0.07,N38&lt;3,I38+I38*0.05)</f>
        <v>79542.100000000006</v>
      </c>
    </row>
    <row r="39" spans="1:15" x14ac:dyDescent="0.3">
      <c r="A39" s="1" t="s">
        <v>161</v>
      </c>
      <c r="B39" s="1" t="s">
        <v>143</v>
      </c>
      <c r="C39" s="1" t="s">
        <v>90</v>
      </c>
      <c r="D39" s="1" t="s">
        <v>24</v>
      </c>
      <c r="E39" s="1">
        <v>53</v>
      </c>
      <c r="F39" s="1" t="s">
        <v>50</v>
      </c>
      <c r="G39" s="1" t="s">
        <v>40</v>
      </c>
      <c r="H39" s="1" t="s">
        <v>162</v>
      </c>
      <c r="I39" s="1">
        <v>38763</v>
      </c>
      <c r="J39" s="1" t="s">
        <v>60</v>
      </c>
      <c r="K39" s="1" t="s">
        <v>163</v>
      </c>
      <c r="L39" s="1" t="s">
        <v>21</v>
      </c>
      <c r="M39" s="1" t="str">
        <f>_xlfn.XLOOKUP(Sheet1!F39,Departments!$A$2:$A$6,Departments!$B$2:$B$6)</f>
        <v>Finance</v>
      </c>
      <c r="N39" s="1">
        <f>_xlfn.XLOOKUP(A39,Performance!$A$2:$A$501,Performance!$C$2:$C$501)</f>
        <v>4</v>
      </c>
      <c r="O39" s="1" cm="1">
        <f t="array" ref="O39">_xlfn.IFS(N39=5,I39+0.15*I39,N39=4,I39+I39*0.1,N39=3,I39+I39*0.07,N39&lt;3,I39+I39*0.05)</f>
        <v>42639.3</v>
      </c>
    </row>
    <row r="40" spans="1:15" x14ac:dyDescent="0.3">
      <c r="A40" s="1" t="s">
        <v>164</v>
      </c>
      <c r="B40" s="1" t="s">
        <v>38</v>
      </c>
      <c r="C40" s="1" t="s">
        <v>165</v>
      </c>
      <c r="D40" s="1" t="s">
        <v>15</v>
      </c>
      <c r="E40" s="1">
        <v>54</v>
      </c>
      <c r="F40" s="1" t="s">
        <v>31</v>
      </c>
      <c r="G40" s="1" t="s">
        <v>32</v>
      </c>
      <c r="H40" s="1" t="s">
        <v>166</v>
      </c>
      <c r="I40" s="1">
        <v>101175</v>
      </c>
      <c r="J40" s="1" t="s">
        <v>60</v>
      </c>
      <c r="K40" s="1" t="s">
        <v>167</v>
      </c>
      <c r="L40" s="1" t="s">
        <v>21</v>
      </c>
      <c r="M40" s="1" t="str">
        <f>_xlfn.XLOOKUP(Sheet1!F40,Departments!$A$2:$A$6,Departments!$B$2:$B$6)</f>
        <v>Sales</v>
      </c>
      <c r="N40" s="1">
        <f>_xlfn.XLOOKUP(A40,Performance!$A$2:$A$501,Performance!$C$2:$C$501)</f>
        <v>3</v>
      </c>
      <c r="O40" s="1" cm="1">
        <f t="array" ref="O40">_xlfn.IFS(N40=5,I40+0.15*I40,N40=4,I40+I40*0.1,N40=3,I40+I40*0.07,N40&lt;3,I40+I40*0.05)</f>
        <v>108257.25</v>
      </c>
    </row>
    <row r="41" spans="1:15" x14ac:dyDescent="0.3">
      <c r="A41" s="1" t="s">
        <v>168</v>
      </c>
      <c r="B41" s="1" t="s">
        <v>143</v>
      </c>
      <c r="C41" s="1" t="s">
        <v>90</v>
      </c>
      <c r="D41" s="1" t="s">
        <v>15</v>
      </c>
      <c r="E41" s="1">
        <v>41</v>
      </c>
      <c r="F41" s="1" t="s">
        <v>25</v>
      </c>
      <c r="G41" s="1" t="s">
        <v>108</v>
      </c>
      <c r="H41" s="1" t="s">
        <v>169</v>
      </c>
      <c r="I41" s="1">
        <v>36386</v>
      </c>
      <c r="J41" s="1" t="s">
        <v>65</v>
      </c>
      <c r="K41" s="1" t="s">
        <v>170</v>
      </c>
      <c r="L41" s="1" t="s">
        <v>21</v>
      </c>
      <c r="M41" s="1" t="str">
        <f>_xlfn.XLOOKUP(Sheet1!F41,Departments!$A$2:$A$6,Departments!$B$2:$B$6)</f>
        <v>IT</v>
      </c>
      <c r="N41" s="1">
        <f>_xlfn.XLOOKUP(A41,Performance!$A$2:$A$501,Performance!$C$2:$C$501)</f>
        <v>2</v>
      </c>
      <c r="O41" s="1" cm="1">
        <f t="array" ref="O41">_xlfn.IFS(N41=5,I41+0.15*I41,N41=4,I41+I41*0.1,N41=3,I41+I41*0.07,N41&lt;3,I41+I41*0.05)</f>
        <v>38205.300000000003</v>
      </c>
    </row>
    <row r="42" spans="1:15" x14ac:dyDescent="0.3">
      <c r="A42" s="1" t="s">
        <v>171</v>
      </c>
      <c r="B42" s="1" t="s">
        <v>71</v>
      </c>
      <c r="C42" s="1" t="s">
        <v>45</v>
      </c>
      <c r="D42" s="1" t="s">
        <v>15</v>
      </c>
      <c r="E42" s="1">
        <v>56</v>
      </c>
      <c r="F42" s="1" t="s">
        <v>39</v>
      </c>
      <c r="G42" s="1" t="s">
        <v>40</v>
      </c>
      <c r="H42" s="1" t="s">
        <v>172</v>
      </c>
      <c r="I42" s="1">
        <v>76395</v>
      </c>
      <c r="J42" s="1" t="s">
        <v>19</v>
      </c>
      <c r="K42" s="1" t="s">
        <v>173</v>
      </c>
      <c r="L42" s="1" t="s">
        <v>36</v>
      </c>
      <c r="M42" s="1" t="str">
        <f>_xlfn.XLOOKUP(Sheet1!F42,Departments!$A$2:$A$6,Departments!$B$2:$B$6)</f>
        <v>Marketing</v>
      </c>
      <c r="N42" s="1">
        <f>_xlfn.XLOOKUP(A42,Performance!$A$2:$A$501,Performance!$C$2:$C$501)</f>
        <v>4</v>
      </c>
      <c r="O42" s="1" cm="1">
        <f t="array" ref="O42">_xlfn.IFS(N42=5,I42+0.15*I42,N42=4,I42+I42*0.1,N42=3,I42+I42*0.07,N42&lt;3,I42+I42*0.05)</f>
        <v>84034.5</v>
      </c>
    </row>
    <row r="43" spans="1:15" x14ac:dyDescent="0.3">
      <c r="A43" s="1" t="s">
        <v>174</v>
      </c>
      <c r="B43" s="1" t="s">
        <v>44</v>
      </c>
      <c r="C43" s="1" t="s">
        <v>95</v>
      </c>
      <c r="D43" s="1" t="s">
        <v>24</v>
      </c>
      <c r="E43" s="1">
        <v>49</v>
      </c>
      <c r="F43" s="1" t="s">
        <v>31</v>
      </c>
      <c r="G43" s="1" t="s">
        <v>108</v>
      </c>
      <c r="H43" s="1" t="s">
        <v>175</v>
      </c>
      <c r="I43" s="1">
        <v>43701</v>
      </c>
      <c r="J43" s="1" t="s">
        <v>60</v>
      </c>
      <c r="K43" s="1" t="s">
        <v>176</v>
      </c>
      <c r="L43" s="1" t="s">
        <v>21</v>
      </c>
      <c r="M43" s="1" t="str">
        <f>_xlfn.XLOOKUP(Sheet1!F43,Departments!$A$2:$A$6,Departments!$B$2:$B$6)</f>
        <v>Sales</v>
      </c>
      <c r="N43" s="1">
        <f>_xlfn.XLOOKUP(A43,Performance!$A$2:$A$501,Performance!$C$2:$C$501)</f>
        <v>3</v>
      </c>
      <c r="O43" s="1" cm="1">
        <f t="array" ref="O43">_xlfn.IFS(N43=5,I43+0.15*I43,N43=4,I43+I43*0.1,N43=3,I43+I43*0.07,N43&lt;3,I43+I43*0.05)</f>
        <v>46760.07</v>
      </c>
    </row>
    <row r="44" spans="1:15" x14ac:dyDescent="0.3">
      <c r="A44" s="1" t="s">
        <v>177</v>
      </c>
      <c r="B44" s="1" t="s">
        <v>94</v>
      </c>
      <c r="C44" s="1" t="s">
        <v>130</v>
      </c>
      <c r="D44" s="1" t="s">
        <v>24</v>
      </c>
      <c r="E44" s="1">
        <v>32</v>
      </c>
      <c r="F44" s="1" t="s">
        <v>25</v>
      </c>
      <c r="G44" s="1" t="s">
        <v>17</v>
      </c>
      <c r="H44" s="1" t="s">
        <v>178</v>
      </c>
      <c r="I44" s="1">
        <v>85198</v>
      </c>
      <c r="J44" s="1" t="s">
        <v>60</v>
      </c>
      <c r="K44" s="1" t="s">
        <v>179</v>
      </c>
      <c r="L44" s="1" t="s">
        <v>21</v>
      </c>
      <c r="M44" s="1" t="str">
        <f>_xlfn.XLOOKUP(Sheet1!F44,Departments!$A$2:$A$6,Departments!$B$2:$B$6)</f>
        <v>IT</v>
      </c>
      <c r="N44" s="1">
        <f>_xlfn.XLOOKUP(A44,Performance!$A$2:$A$501,Performance!$C$2:$C$501)</f>
        <v>5</v>
      </c>
      <c r="O44" s="1" cm="1">
        <f t="array" ref="O44">_xlfn.IFS(N44=5,I44+0.15*I44,N44=4,I44+I44*0.1,N44=3,I44+I44*0.07,N44&lt;3,I44+I44*0.05)</f>
        <v>97977.7</v>
      </c>
    </row>
    <row r="45" spans="1:15" x14ac:dyDescent="0.3">
      <c r="A45" s="1" t="s">
        <v>180</v>
      </c>
      <c r="B45" s="1" t="s">
        <v>13</v>
      </c>
      <c r="C45" s="1" t="s">
        <v>130</v>
      </c>
      <c r="D45" s="1" t="s">
        <v>15</v>
      </c>
      <c r="E45" s="1">
        <v>26</v>
      </c>
      <c r="F45" s="1" t="s">
        <v>16</v>
      </c>
      <c r="G45" s="1" t="s">
        <v>40</v>
      </c>
      <c r="H45" s="1" t="s">
        <v>181</v>
      </c>
      <c r="I45" s="1">
        <v>39451</v>
      </c>
      <c r="J45" s="1" t="s">
        <v>80</v>
      </c>
      <c r="K45" s="1" t="s">
        <v>182</v>
      </c>
      <c r="L45" s="1" t="s">
        <v>21</v>
      </c>
      <c r="M45" s="1" t="str">
        <f>_xlfn.XLOOKUP(Sheet1!F45,Departments!$A$2:$A$6,Departments!$B$2:$B$6)</f>
        <v>HR</v>
      </c>
      <c r="N45" s="1">
        <f>_xlfn.XLOOKUP(A45,Performance!$A$2:$A$501,Performance!$C$2:$C$501)</f>
        <v>3</v>
      </c>
      <c r="O45" s="1" cm="1">
        <f t="array" ref="O45">_xlfn.IFS(N45=5,I45+0.15*I45,N45=4,I45+I45*0.1,N45=3,I45+I45*0.07,N45&lt;3,I45+I45*0.05)</f>
        <v>42212.57</v>
      </c>
    </row>
    <row r="46" spans="1:15" x14ac:dyDescent="0.3">
      <c r="A46" s="1" t="s">
        <v>183</v>
      </c>
      <c r="B46" s="1" t="s">
        <v>143</v>
      </c>
      <c r="C46" s="1" t="s">
        <v>165</v>
      </c>
      <c r="D46" s="1" t="s">
        <v>15</v>
      </c>
      <c r="E46" s="1">
        <v>26</v>
      </c>
      <c r="F46" s="1" t="s">
        <v>31</v>
      </c>
      <c r="G46" s="1" t="s">
        <v>40</v>
      </c>
      <c r="H46" s="1" t="s">
        <v>184</v>
      </c>
      <c r="I46" s="1">
        <v>45087</v>
      </c>
      <c r="J46" s="1" t="s">
        <v>80</v>
      </c>
      <c r="K46" s="1" t="s">
        <v>185</v>
      </c>
      <c r="L46" s="1" t="s">
        <v>21</v>
      </c>
      <c r="M46" s="1" t="str">
        <f>_xlfn.XLOOKUP(Sheet1!F46,Departments!$A$2:$A$6,Departments!$B$2:$B$6)</f>
        <v>Sales</v>
      </c>
      <c r="N46" s="1">
        <f>_xlfn.XLOOKUP(A46,Performance!$A$2:$A$501,Performance!$C$2:$C$501)</f>
        <v>1</v>
      </c>
      <c r="O46" s="1" cm="1">
        <f t="array" ref="O46">_xlfn.IFS(N46=5,I46+0.15*I46,N46=4,I46+I46*0.1,N46=3,I46+I46*0.07,N46&lt;3,I46+I46*0.05)</f>
        <v>47341.35</v>
      </c>
    </row>
    <row r="47" spans="1:15" x14ac:dyDescent="0.3">
      <c r="A47" s="1" t="s">
        <v>186</v>
      </c>
      <c r="B47" s="1" t="s">
        <v>30</v>
      </c>
      <c r="C47" s="1" t="s">
        <v>95</v>
      </c>
      <c r="D47" s="1" t="s">
        <v>24</v>
      </c>
      <c r="E47" s="1">
        <v>26</v>
      </c>
      <c r="F47" s="1" t="s">
        <v>31</v>
      </c>
      <c r="G47" s="1" t="s">
        <v>17</v>
      </c>
      <c r="H47" s="1" t="s">
        <v>187</v>
      </c>
      <c r="I47" s="1">
        <v>38222</v>
      </c>
      <c r="J47" s="1" t="s">
        <v>65</v>
      </c>
      <c r="K47" s="1" t="s">
        <v>188</v>
      </c>
      <c r="L47" s="1" t="s">
        <v>36</v>
      </c>
      <c r="M47" s="1" t="str">
        <f>_xlfn.XLOOKUP(Sheet1!F47,Departments!$A$2:$A$6,Departments!$B$2:$B$6)</f>
        <v>Sales</v>
      </c>
      <c r="N47" s="1">
        <f>_xlfn.XLOOKUP(A47,Performance!$A$2:$A$501,Performance!$C$2:$C$501)</f>
        <v>4</v>
      </c>
      <c r="O47" s="1" cm="1">
        <f t="array" ref="O47">_xlfn.IFS(N47=5,I47+0.15*I47,N47=4,I47+I47*0.1,N47=3,I47+I47*0.07,N47&lt;3,I47+I47*0.05)</f>
        <v>42044.2</v>
      </c>
    </row>
    <row r="48" spans="1:15" x14ac:dyDescent="0.3">
      <c r="A48" s="1" t="s">
        <v>189</v>
      </c>
      <c r="B48" s="1" t="s">
        <v>71</v>
      </c>
      <c r="C48" s="1" t="s">
        <v>63</v>
      </c>
      <c r="D48" s="1" t="s">
        <v>15</v>
      </c>
      <c r="E48" s="1">
        <v>57</v>
      </c>
      <c r="F48" s="1" t="s">
        <v>25</v>
      </c>
      <c r="G48" s="1" t="s">
        <v>26</v>
      </c>
      <c r="H48" s="1" t="s">
        <v>190</v>
      </c>
      <c r="I48" s="1">
        <v>96188</v>
      </c>
      <c r="J48" s="1" t="s">
        <v>60</v>
      </c>
      <c r="K48" s="1" t="s">
        <v>191</v>
      </c>
      <c r="L48" s="1" t="s">
        <v>21</v>
      </c>
      <c r="M48" s="1" t="str">
        <f>_xlfn.XLOOKUP(Sheet1!F48,Departments!$A$2:$A$6,Departments!$B$2:$B$6)</f>
        <v>IT</v>
      </c>
      <c r="N48" s="1">
        <f>_xlfn.XLOOKUP(A48,Performance!$A$2:$A$501,Performance!$C$2:$C$501)</f>
        <v>5</v>
      </c>
      <c r="O48" s="1" cm="1">
        <f t="array" ref="O48">_xlfn.IFS(N48=5,I48+0.15*I48,N48=4,I48+I48*0.1,N48=3,I48+I48*0.07,N48&lt;3,I48+I48*0.05)</f>
        <v>110616.2</v>
      </c>
    </row>
    <row r="49" spans="1:15" x14ac:dyDescent="0.3">
      <c r="A49" s="1" t="s">
        <v>192</v>
      </c>
      <c r="B49" s="1" t="s">
        <v>49</v>
      </c>
      <c r="C49" s="1" t="s">
        <v>83</v>
      </c>
      <c r="D49" s="1" t="s">
        <v>24</v>
      </c>
      <c r="E49" s="1">
        <v>32</v>
      </c>
      <c r="F49" s="1" t="s">
        <v>50</v>
      </c>
      <c r="G49" s="1" t="s">
        <v>17</v>
      </c>
      <c r="H49" s="1" t="s">
        <v>193</v>
      </c>
      <c r="I49" s="1">
        <v>106013</v>
      </c>
      <c r="J49" s="1" t="s">
        <v>80</v>
      </c>
      <c r="K49" s="1" t="s">
        <v>194</v>
      </c>
      <c r="L49" s="1" t="s">
        <v>21</v>
      </c>
      <c r="M49" s="1" t="str">
        <f>_xlfn.XLOOKUP(Sheet1!F49,Departments!$A$2:$A$6,Departments!$B$2:$B$6)</f>
        <v>Finance</v>
      </c>
      <c r="N49" s="1">
        <f>_xlfn.XLOOKUP(A49,Performance!$A$2:$A$501,Performance!$C$2:$C$501)</f>
        <v>5</v>
      </c>
      <c r="O49" s="1" cm="1">
        <f t="array" ref="O49">_xlfn.IFS(N49=5,I49+0.15*I49,N49=4,I49+I49*0.1,N49=3,I49+I49*0.07,N49&lt;3,I49+I49*0.05)</f>
        <v>121914.95</v>
      </c>
    </row>
    <row r="50" spans="1:15" x14ac:dyDescent="0.3">
      <c r="A50" s="1" t="s">
        <v>195</v>
      </c>
      <c r="B50" s="1" t="s">
        <v>54</v>
      </c>
      <c r="C50" s="1" t="s">
        <v>95</v>
      </c>
      <c r="D50" s="1" t="s">
        <v>24</v>
      </c>
      <c r="E50" s="1">
        <v>52</v>
      </c>
      <c r="F50" s="1" t="s">
        <v>31</v>
      </c>
      <c r="G50" s="1" t="s">
        <v>26</v>
      </c>
      <c r="H50" s="1" t="s">
        <v>196</v>
      </c>
      <c r="I50" s="1">
        <v>82014</v>
      </c>
      <c r="J50" s="1" t="s">
        <v>19</v>
      </c>
      <c r="K50" s="1" t="s">
        <v>197</v>
      </c>
      <c r="L50" s="1" t="s">
        <v>21</v>
      </c>
      <c r="M50" s="1" t="str">
        <f>_xlfn.XLOOKUP(Sheet1!F50,Departments!$A$2:$A$6,Departments!$B$2:$B$6)</f>
        <v>Sales</v>
      </c>
      <c r="N50" s="1">
        <f>_xlfn.XLOOKUP(A50,Performance!$A$2:$A$501,Performance!$C$2:$C$501)</f>
        <v>2</v>
      </c>
      <c r="O50" s="1" cm="1">
        <f t="array" ref="O50">_xlfn.IFS(N50=5,I50+0.15*I50,N50=4,I50+I50*0.1,N50=3,I50+I50*0.07,N50&lt;3,I50+I50*0.05)</f>
        <v>86114.7</v>
      </c>
    </row>
    <row r="51" spans="1:15" x14ac:dyDescent="0.3">
      <c r="A51" s="1" t="s">
        <v>198</v>
      </c>
      <c r="B51" s="1" t="s">
        <v>38</v>
      </c>
      <c r="C51" s="1" t="s">
        <v>95</v>
      </c>
      <c r="D51" s="1" t="s">
        <v>24</v>
      </c>
      <c r="E51" s="1">
        <v>46</v>
      </c>
      <c r="F51" s="1" t="s">
        <v>31</v>
      </c>
      <c r="G51" s="1" t="s">
        <v>40</v>
      </c>
      <c r="H51" s="1" t="s">
        <v>124</v>
      </c>
      <c r="I51" s="1">
        <v>84323</v>
      </c>
      <c r="J51" s="1" t="s">
        <v>34</v>
      </c>
      <c r="K51" s="1" t="s">
        <v>199</v>
      </c>
      <c r="L51" s="1" t="s">
        <v>21</v>
      </c>
      <c r="M51" s="1" t="str">
        <f>_xlfn.XLOOKUP(Sheet1!F51,Departments!$A$2:$A$6,Departments!$B$2:$B$6)</f>
        <v>Sales</v>
      </c>
      <c r="N51" s="1">
        <f>_xlfn.XLOOKUP(A51,Performance!$A$2:$A$501,Performance!$C$2:$C$501)</f>
        <v>1</v>
      </c>
      <c r="O51" s="1" cm="1">
        <f t="array" ref="O51">_xlfn.IFS(N51=5,I51+0.15*I51,N51=4,I51+I51*0.1,N51=3,I51+I51*0.07,N51&lt;3,I51+I51*0.05)</f>
        <v>88539.15</v>
      </c>
    </row>
    <row r="52" spans="1:15" x14ac:dyDescent="0.3">
      <c r="A52" s="1" t="s">
        <v>200</v>
      </c>
      <c r="B52" s="1" t="s">
        <v>58</v>
      </c>
      <c r="C52" s="1" t="s">
        <v>63</v>
      </c>
      <c r="D52" s="1" t="s">
        <v>15</v>
      </c>
      <c r="E52" s="1">
        <v>42</v>
      </c>
      <c r="F52" s="1" t="s">
        <v>16</v>
      </c>
      <c r="G52" s="1" t="s">
        <v>17</v>
      </c>
      <c r="H52" s="1" t="s">
        <v>201</v>
      </c>
      <c r="I52" s="1">
        <v>93289</v>
      </c>
      <c r="J52" s="1" t="s">
        <v>65</v>
      </c>
      <c r="K52" s="1" t="s">
        <v>202</v>
      </c>
      <c r="L52" s="1" t="s">
        <v>36</v>
      </c>
      <c r="M52" s="1" t="str">
        <f>_xlfn.XLOOKUP(Sheet1!F52,Departments!$A$2:$A$6,Departments!$B$2:$B$6)</f>
        <v>HR</v>
      </c>
      <c r="N52" s="1">
        <f>_xlfn.XLOOKUP(A52,Performance!$A$2:$A$501,Performance!$C$2:$C$501)</f>
        <v>5</v>
      </c>
      <c r="O52" s="1" cm="1">
        <f t="array" ref="O52">_xlfn.IFS(N52=5,I52+0.15*I52,N52=4,I52+I52*0.1,N52=3,I52+I52*0.07,N52&lt;3,I52+I52*0.05)</f>
        <v>107282.35</v>
      </c>
    </row>
    <row r="53" spans="1:15" x14ac:dyDescent="0.3">
      <c r="A53" s="1" t="s">
        <v>203</v>
      </c>
      <c r="B53" s="1" t="s">
        <v>38</v>
      </c>
      <c r="C53" s="1" t="s">
        <v>130</v>
      </c>
      <c r="D53" s="1" t="s">
        <v>15</v>
      </c>
      <c r="E53" s="1">
        <v>46</v>
      </c>
      <c r="F53" s="1" t="s">
        <v>39</v>
      </c>
      <c r="G53" s="1" t="s">
        <v>40</v>
      </c>
      <c r="H53" s="1" t="s">
        <v>204</v>
      </c>
      <c r="I53" s="1">
        <v>43926</v>
      </c>
      <c r="J53" s="1" t="s">
        <v>80</v>
      </c>
      <c r="K53" s="1" t="s">
        <v>205</v>
      </c>
      <c r="L53" s="1" t="s">
        <v>36</v>
      </c>
      <c r="M53" s="1" t="str">
        <f>_xlfn.XLOOKUP(Sheet1!F53,Departments!$A$2:$A$6,Departments!$B$2:$B$6)</f>
        <v>Marketing</v>
      </c>
      <c r="N53" s="1">
        <f>_xlfn.XLOOKUP(A53,Performance!$A$2:$A$501,Performance!$C$2:$C$501)</f>
        <v>4</v>
      </c>
      <c r="O53" s="1" cm="1">
        <f t="array" ref="O53">_xlfn.IFS(N53=5,I53+0.15*I53,N53=4,I53+I53*0.1,N53=3,I53+I53*0.07,N53&lt;3,I53+I53*0.05)</f>
        <v>48318.6</v>
      </c>
    </row>
    <row r="54" spans="1:15" x14ac:dyDescent="0.3">
      <c r="A54" s="1" t="s">
        <v>206</v>
      </c>
      <c r="B54" s="1" t="s">
        <v>30</v>
      </c>
      <c r="C54" s="1" t="s">
        <v>23</v>
      </c>
      <c r="D54" s="1" t="s">
        <v>24</v>
      </c>
      <c r="E54" s="1">
        <v>57</v>
      </c>
      <c r="F54" s="1" t="s">
        <v>16</v>
      </c>
      <c r="G54" s="1" t="s">
        <v>32</v>
      </c>
      <c r="H54" s="1" t="s">
        <v>207</v>
      </c>
      <c r="I54" s="1">
        <v>102761</v>
      </c>
      <c r="J54" s="1" t="s">
        <v>65</v>
      </c>
      <c r="K54" s="1" t="s">
        <v>208</v>
      </c>
      <c r="L54" s="1" t="s">
        <v>36</v>
      </c>
      <c r="M54" s="1" t="str">
        <f>_xlfn.XLOOKUP(Sheet1!F54,Departments!$A$2:$A$6,Departments!$B$2:$B$6)</f>
        <v>HR</v>
      </c>
      <c r="N54" s="1">
        <f>_xlfn.XLOOKUP(A54,Performance!$A$2:$A$501,Performance!$C$2:$C$501)</f>
        <v>4</v>
      </c>
      <c r="O54" s="1" cm="1">
        <f t="array" ref="O54">_xlfn.IFS(N54=5,I54+0.15*I54,N54=4,I54+I54*0.1,N54=3,I54+I54*0.07,N54&lt;3,I54+I54*0.05)</f>
        <v>113037.1</v>
      </c>
    </row>
    <row r="55" spans="1:15" x14ac:dyDescent="0.3">
      <c r="A55" s="1" t="s">
        <v>209</v>
      </c>
      <c r="B55" s="1" t="s">
        <v>94</v>
      </c>
      <c r="C55" s="1" t="s">
        <v>95</v>
      </c>
      <c r="D55" s="1" t="s">
        <v>24</v>
      </c>
      <c r="E55" s="1">
        <v>58</v>
      </c>
      <c r="F55" s="1" t="s">
        <v>50</v>
      </c>
      <c r="G55" s="1" t="s">
        <v>108</v>
      </c>
      <c r="H55" s="1" t="s">
        <v>210</v>
      </c>
      <c r="I55" s="1">
        <v>109960</v>
      </c>
      <c r="J55" s="1" t="s">
        <v>65</v>
      </c>
      <c r="K55" s="1" t="s">
        <v>211</v>
      </c>
      <c r="L55" s="1" t="s">
        <v>36</v>
      </c>
      <c r="M55" s="1" t="str">
        <f>_xlfn.XLOOKUP(Sheet1!F55,Departments!$A$2:$A$6,Departments!$B$2:$B$6)</f>
        <v>Finance</v>
      </c>
      <c r="N55" s="1">
        <f>_xlfn.XLOOKUP(A55,Performance!$A$2:$A$501,Performance!$C$2:$C$501)</f>
        <v>2</v>
      </c>
      <c r="O55" s="1" cm="1">
        <f t="array" ref="O55">_xlfn.IFS(N55=5,I55+0.15*I55,N55=4,I55+I55*0.1,N55=3,I55+I55*0.07,N55&lt;3,I55+I55*0.05)</f>
        <v>115458</v>
      </c>
    </row>
    <row r="56" spans="1:15" x14ac:dyDescent="0.3">
      <c r="A56" s="1" t="s">
        <v>212</v>
      </c>
      <c r="B56" s="1" t="s">
        <v>71</v>
      </c>
      <c r="C56" s="1" t="s">
        <v>165</v>
      </c>
      <c r="D56" s="1" t="s">
        <v>24</v>
      </c>
      <c r="E56" s="1">
        <v>42</v>
      </c>
      <c r="F56" s="1" t="s">
        <v>50</v>
      </c>
      <c r="G56" s="1" t="s">
        <v>26</v>
      </c>
      <c r="H56" s="1" t="s">
        <v>213</v>
      </c>
      <c r="I56" s="1">
        <v>83308</v>
      </c>
      <c r="J56" s="1" t="s">
        <v>60</v>
      </c>
      <c r="K56" s="1" t="s">
        <v>214</v>
      </c>
      <c r="L56" s="1" t="s">
        <v>36</v>
      </c>
      <c r="M56" s="1" t="str">
        <f>_xlfn.XLOOKUP(Sheet1!F56,Departments!$A$2:$A$6,Departments!$B$2:$B$6)</f>
        <v>Finance</v>
      </c>
      <c r="N56" s="1">
        <f>_xlfn.XLOOKUP(A56,Performance!$A$2:$A$501,Performance!$C$2:$C$501)</f>
        <v>1</v>
      </c>
      <c r="O56" s="1" cm="1">
        <f t="array" ref="O56">_xlfn.IFS(N56=5,I56+0.15*I56,N56=4,I56+I56*0.1,N56=3,I56+I56*0.07,N56&lt;3,I56+I56*0.05)</f>
        <v>87473.4</v>
      </c>
    </row>
    <row r="57" spans="1:15" x14ac:dyDescent="0.3">
      <c r="A57" s="1" t="s">
        <v>215</v>
      </c>
      <c r="B57" s="1" t="s">
        <v>71</v>
      </c>
      <c r="C57" s="1" t="s">
        <v>45</v>
      </c>
      <c r="D57" s="1" t="s">
        <v>24</v>
      </c>
      <c r="E57" s="1">
        <v>26</v>
      </c>
      <c r="F57" s="1" t="s">
        <v>50</v>
      </c>
      <c r="G57" s="1" t="s">
        <v>108</v>
      </c>
      <c r="H57" s="1" t="s">
        <v>216</v>
      </c>
      <c r="I57" s="1">
        <v>44078</v>
      </c>
      <c r="J57" s="1" t="s">
        <v>65</v>
      </c>
      <c r="K57" s="1" t="s">
        <v>217</v>
      </c>
      <c r="L57" s="1" t="s">
        <v>36</v>
      </c>
      <c r="M57" s="1" t="str">
        <f>_xlfn.XLOOKUP(Sheet1!F57,Departments!$A$2:$A$6,Departments!$B$2:$B$6)</f>
        <v>Finance</v>
      </c>
      <c r="N57" s="1">
        <f>_xlfn.XLOOKUP(A57,Performance!$A$2:$A$501,Performance!$C$2:$C$501)</f>
        <v>3</v>
      </c>
      <c r="O57" s="1" cm="1">
        <f t="array" ref="O57">_xlfn.IFS(N57=5,I57+0.15*I57,N57=4,I57+I57*0.1,N57=3,I57+I57*0.07,N57&lt;3,I57+I57*0.05)</f>
        <v>47163.46</v>
      </c>
    </row>
    <row r="58" spans="1:15" x14ac:dyDescent="0.3">
      <c r="A58" s="1" t="s">
        <v>218</v>
      </c>
      <c r="B58" s="1" t="s">
        <v>30</v>
      </c>
      <c r="C58" s="1" t="s">
        <v>63</v>
      </c>
      <c r="D58" s="1" t="s">
        <v>24</v>
      </c>
      <c r="E58" s="1">
        <v>32</v>
      </c>
      <c r="F58" s="1" t="s">
        <v>16</v>
      </c>
      <c r="G58" s="1" t="s">
        <v>26</v>
      </c>
      <c r="H58" s="1" t="s">
        <v>219</v>
      </c>
      <c r="I58" s="1">
        <v>60444</v>
      </c>
      <c r="J58" s="1" t="s">
        <v>65</v>
      </c>
      <c r="K58" s="1" t="s">
        <v>220</v>
      </c>
      <c r="L58" s="1" t="s">
        <v>36</v>
      </c>
      <c r="M58" s="1" t="str">
        <f>_xlfn.XLOOKUP(Sheet1!F58,Departments!$A$2:$A$6,Departments!$B$2:$B$6)</f>
        <v>HR</v>
      </c>
      <c r="N58" s="1">
        <f>_xlfn.XLOOKUP(A58,Performance!$A$2:$A$501,Performance!$C$2:$C$501)</f>
        <v>4</v>
      </c>
      <c r="O58" s="1" cm="1">
        <f t="array" ref="O58">_xlfn.IFS(N58=5,I58+0.15*I58,N58=4,I58+I58*0.1,N58=3,I58+I58*0.07,N58&lt;3,I58+I58*0.05)</f>
        <v>66488.399999999994</v>
      </c>
    </row>
    <row r="59" spans="1:15" x14ac:dyDescent="0.3">
      <c r="A59" s="1" t="s">
        <v>221</v>
      </c>
      <c r="B59" s="1" t="s">
        <v>58</v>
      </c>
      <c r="C59" s="1" t="s">
        <v>78</v>
      </c>
      <c r="D59" s="1" t="s">
        <v>24</v>
      </c>
      <c r="E59" s="1">
        <v>26</v>
      </c>
      <c r="F59" s="1" t="s">
        <v>31</v>
      </c>
      <c r="G59" s="1" t="s">
        <v>26</v>
      </c>
      <c r="H59" s="1" t="s">
        <v>222</v>
      </c>
      <c r="I59" s="1">
        <v>37951</v>
      </c>
      <c r="J59" s="1" t="s">
        <v>34</v>
      </c>
      <c r="K59" s="1" t="s">
        <v>223</v>
      </c>
      <c r="L59" s="1" t="s">
        <v>36</v>
      </c>
      <c r="M59" s="1" t="str">
        <f>_xlfn.XLOOKUP(Sheet1!F59,Departments!$A$2:$A$6,Departments!$B$2:$B$6)</f>
        <v>Sales</v>
      </c>
      <c r="N59" s="1">
        <f>_xlfn.XLOOKUP(A59,Performance!$A$2:$A$501,Performance!$C$2:$C$501)</f>
        <v>2</v>
      </c>
      <c r="O59" s="1" cm="1">
        <f t="array" ref="O59">_xlfn.IFS(N59=5,I59+0.15*I59,N59=4,I59+I59*0.1,N59=3,I59+I59*0.07,N59&lt;3,I59+I59*0.05)</f>
        <v>39848.550000000003</v>
      </c>
    </row>
    <row r="60" spans="1:15" x14ac:dyDescent="0.3">
      <c r="A60" s="1" t="s">
        <v>224</v>
      </c>
      <c r="B60" s="1" t="s">
        <v>71</v>
      </c>
      <c r="C60" s="1" t="s">
        <v>130</v>
      </c>
      <c r="D60" s="1" t="s">
        <v>24</v>
      </c>
      <c r="E60" s="1">
        <v>36</v>
      </c>
      <c r="F60" s="1" t="s">
        <v>50</v>
      </c>
      <c r="G60" s="1" t="s">
        <v>26</v>
      </c>
      <c r="H60" s="1" t="s">
        <v>225</v>
      </c>
      <c r="I60" s="1">
        <v>88790</v>
      </c>
      <c r="J60" s="1" t="s">
        <v>80</v>
      </c>
      <c r="K60" s="1" t="s">
        <v>226</v>
      </c>
      <c r="L60" s="1" t="s">
        <v>36</v>
      </c>
      <c r="M60" s="1" t="str">
        <f>_xlfn.XLOOKUP(Sheet1!F60,Departments!$A$2:$A$6,Departments!$B$2:$B$6)</f>
        <v>Finance</v>
      </c>
      <c r="N60" s="1">
        <f>_xlfn.XLOOKUP(A60,Performance!$A$2:$A$501,Performance!$C$2:$C$501)</f>
        <v>3</v>
      </c>
      <c r="O60" s="1" cm="1">
        <f t="array" ref="O60">_xlfn.IFS(N60=5,I60+0.15*I60,N60=4,I60+I60*0.1,N60=3,I60+I60*0.07,N60&lt;3,I60+I60*0.05)</f>
        <v>95005.3</v>
      </c>
    </row>
    <row r="61" spans="1:15" x14ac:dyDescent="0.3">
      <c r="A61" s="1" t="s">
        <v>227</v>
      </c>
      <c r="B61" s="1" t="s">
        <v>38</v>
      </c>
      <c r="C61" s="1" t="s">
        <v>63</v>
      </c>
      <c r="D61" s="1" t="s">
        <v>24</v>
      </c>
      <c r="E61" s="1">
        <v>50</v>
      </c>
      <c r="F61" s="1" t="s">
        <v>50</v>
      </c>
      <c r="G61" s="1" t="s">
        <v>32</v>
      </c>
      <c r="H61" s="1" t="s">
        <v>228</v>
      </c>
      <c r="I61" s="1">
        <v>119530</v>
      </c>
      <c r="J61" s="1" t="s">
        <v>19</v>
      </c>
      <c r="K61" s="1" t="s">
        <v>229</v>
      </c>
      <c r="L61" s="1" t="s">
        <v>36</v>
      </c>
      <c r="M61" s="1" t="str">
        <f>_xlfn.XLOOKUP(Sheet1!F61,Departments!$A$2:$A$6,Departments!$B$2:$B$6)</f>
        <v>Finance</v>
      </c>
      <c r="N61" s="1">
        <f>_xlfn.XLOOKUP(A61,Performance!$A$2:$A$501,Performance!$C$2:$C$501)</f>
        <v>3</v>
      </c>
      <c r="O61" s="1" cm="1">
        <f t="array" ref="O61">_xlfn.IFS(N61=5,I61+0.15*I61,N61=4,I61+I61*0.1,N61=3,I61+I61*0.07,N61&lt;3,I61+I61*0.05)</f>
        <v>127897.1</v>
      </c>
    </row>
    <row r="62" spans="1:15" x14ac:dyDescent="0.3">
      <c r="A62" s="1" t="s">
        <v>230</v>
      </c>
      <c r="B62" s="1" t="s">
        <v>143</v>
      </c>
      <c r="C62" s="1" t="s">
        <v>78</v>
      </c>
      <c r="D62" s="1" t="s">
        <v>15</v>
      </c>
      <c r="E62" s="1">
        <v>30</v>
      </c>
      <c r="F62" s="1" t="s">
        <v>16</v>
      </c>
      <c r="G62" s="1" t="s">
        <v>108</v>
      </c>
      <c r="H62" s="1" t="s">
        <v>231</v>
      </c>
      <c r="I62" s="1">
        <v>72048</v>
      </c>
      <c r="J62" s="1" t="s">
        <v>65</v>
      </c>
      <c r="K62" s="1" t="s">
        <v>232</v>
      </c>
      <c r="L62" s="1" t="s">
        <v>36</v>
      </c>
      <c r="M62" s="1" t="str">
        <f>_xlfn.XLOOKUP(Sheet1!F62,Departments!$A$2:$A$6,Departments!$B$2:$B$6)</f>
        <v>HR</v>
      </c>
      <c r="N62" s="1">
        <f>_xlfn.XLOOKUP(A62,Performance!$A$2:$A$501,Performance!$C$2:$C$501)</f>
        <v>4</v>
      </c>
      <c r="O62" s="1" cm="1">
        <f t="array" ref="O62">_xlfn.IFS(N62=5,I62+0.15*I62,N62=4,I62+I62*0.1,N62=3,I62+I62*0.07,N62&lt;3,I62+I62*0.05)</f>
        <v>79252.800000000003</v>
      </c>
    </row>
    <row r="63" spans="1:15" x14ac:dyDescent="0.3">
      <c r="A63" s="1" t="s">
        <v>233</v>
      </c>
      <c r="B63" s="1" t="s">
        <v>54</v>
      </c>
      <c r="C63" s="1" t="s">
        <v>90</v>
      </c>
      <c r="D63" s="1" t="s">
        <v>24</v>
      </c>
      <c r="E63" s="1">
        <v>33</v>
      </c>
      <c r="F63" s="1" t="s">
        <v>31</v>
      </c>
      <c r="G63" s="1" t="s">
        <v>32</v>
      </c>
      <c r="H63" s="1" t="s">
        <v>234</v>
      </c>
      <c r="I63" s="1">
        <v>76700</v>
      </c>
      <c r="J63" s="1" t="s">
        <v>60</v>
      </c>
      <c r="K63" s="1" t="s">
        <v>235</v>
      </c>
      <c r="L63" s="1" t="s">
        <v>36</v>
      </c>
      <c r="M63" s="1" t="str">
        <f>_xlfn.XLOOKUP(Sheet1!F63,Departments!$A$2:$A$6,Departments!$B$2:$B$6)</f>
        <v>Sales</v>
      </c>
      <c r="N63" s="1">
        <f>_xlfn.XLOOKUP(A63,Performance!$A$2:$A$501,Performance!$C$2:$C$501)</f>
        <v>5</v>
      </c>
      <c r="O63" s="1" cm="1">
        <f t="array" ref="O63">_xlfn.IFS(N63=5,I63+0.15*I63,N63=4,I63+I63*0.1,N63=3,I63+I63*0.07,N63&lt;3,I63+I63*0.05)</f>
        <v>88205</v>
      </c>
    </row>
    <row r="64" spans="1:15" x14ac:dyDescent="0.3">
      <c r="A64" s="1" t="s">
        <v>236</v>
      </c>
      <c r="B64" s="1" t="s">
        <v>71</v>
      </c>
      <c r="C64" s="1" t="s">
        <v>130</v>
      </c>
      <c r="D64" s="1" t="s">
        <v>24</v>
      </c>
      <c r="E64" s="1">
        <v>22</v>
      </c>
      <c r="F64" s="1" t="s">
        <v>16</v>
      </c>
      <c r="G64" s="1" t="s">
        <v>40</v>
      </c>
      <c r="H64" s="1" t="s">
        <v>237</v>
      </c>
      <c r="I64" s="1">
        <v>86315</v>
      </c>
      <c r="J64" s="1" t="s">
        <v>60</v>
      </c>
      <c r="K64" s="1" t="s">
        <v>238</v>
      </c>
      <c r="L64" s="1" t="s">
        <v>36</v>
      </c>
      <c r="M64" s="1" t="str">
        <f>_xlfn.XLOOKUP(Sheet1!F64,Departments!$A$2:$A$6,Departments!$B$2:$B$6)</f>
        <v>HR</v>
      </c>
      <c r="N64" s="1">
        <f>_xlfn.XLOOKUP(A64,Performance!$A$2:$A$501,Performance!$C$2:$C$501)</f>
        <v>1</v>
      </c>
      <c r="O64" s="1" cm="1">
        <f t="array" ref="O64">_xlfn.IFS(N64=5,I64+0.15*I64,N64=4,I64+I64*0.1,N64=3,I64+I64*0.07,N64&lt;3,I64+I64*0.05)</f>
        <v>90630.75</v>
      </c>
    </row>
    <row r="65" spans="1:15" x14ac:dyDescent="0.3">
      <c r="A65" s="1" t="s">
        <v>239</v>
      </c>
      <c r="B65" s="1" t="s">
        <v>38</v>
      </c>
      <c r="C65" s="1" t="s">
        <v>83</v>
      </c>
      <c r="D65" s="1" t="s">
        <v>15</v>
      </c>
      <c r="E65" s="1">
        <v>49</v>
      </c>
      <c r="F65" s="1" t="s">
        <v>50</v>
      </c>
      <c r="G65" s="1" t="s">
        <v>32</v>
      </c>
      <c r="H65" s="1" t="s">
        <v>240</v>
      </c>
      <c r="I65" s="1">
        <v>85454</v>
      </c>
      <c r="J65" s="1" t="s">
        <v>34</v>
      </c>
      <c r="K65" s="1" t="s">
        <v>241</v>
      </c>
      <c r="L65" s="1" t="s">
        <v>21</v>
      </c>
      <c r="M65" s="1" t="str">
        <f>_xlfn.XLOOKUP(Sheet1!F65,Departments!$A$2:$A$6,Departments!$B$2:$B$6)</f>
        <v>Finance</v>
      </c>
      <c r="N65" s="1">
        <f>_xlfn.XLOOKUP(A65,Performance!$A$2:$A$501,Performance!$C$2:$C$501)</f>
        <v>3</v>
      </c>
      <c r="O65" s="1" cm="1">
        <f t="array" ref="O65">_xlfn.IFS(N65=5,I65+0.15*I65,N65=4,I65+I65*0.1,N65=3,I65+I65*0.07,N65&lt;3,I65+I65*0.05)</f>
        <v>91435.78</v>
      </c>
    </row>
    <row r="66" spans="1:15" x14ac:dyDescent="0.3">
      <c r="A66" s="1" t="s">
        <v>242</v>
      </c>
      <c r="B66" s="1" t="s">
        <v>30</v>
      </c>
      <c r="C66" s="1" t="s">
        <v>90</v>
      </c>
      <c r="D66" s="1" t="s">
        <v>24</v>
      </c>
      <c r="E66" s="1">
        <v>31</v>
      </c>
      <c r="F66" s="1" t="s">
        <v>16</v>
      </c>
      <c r="G66" s="1" t="s">
        <v>32</v>
      </c>
      <c r="H66" s="1" t="s">
        <v>243</v>
      </c>
      <c r="I66" s="1">
        <v>83281</v>
      </c>
      <c r="J66" s="1" t="s">
        <v>60</v>
      </c>
      <c r="K66" s="1" t="s">
        <v>244</v>
      </c>
      <c r="L66" s="1" t="s">
        <v>36</v>
      </c>
      <c r="M66" s="1" t="str">
        <f>_xlfn.XLOOKUP(Sheet1!F66,Departments!$A$2:$A$6,Departments!$B$2:$B$6)</f>
        <v>HR</v>
      </c>
      <c r="N66" s="1">
        <f>_xlfn.XLOOKUP(A66,Performance!$A$2:$A$501,Performance!$C$2:$C$501)</f>
        <v>3</v>
      </c>
      <c r="O66" s="1" cm="1">
        <f t="array" ref="O66">_xlfn.IFS(N66=5,I66+0.15*I66,N66=4,I66+I66*0.1,N66=3,I66+I66*0.07,N66&lt;3,I66+I66*0.05)</f>
        <v>89110.67</v>
      </c>
    </row>
    <row r="67" spans="1:15" x14ac:dyDescent="0.3">
      <c r="A67" s="1" t="s">
        <v>245</v>
      </c>
      <c r="B67" s="1" t="s">
        <v>58</v>
      </c>
      <c r="C67" s="1" t="s">
        <v>165</v>
      </c>
      <c r="D67" s="1" t="s">
        <v>15</v>
      </c>
      <c r="E67" s="1">
        <v>31</v>
      </c>
      <c r="F67" s="1" t="s">
        <v>16</v>
      </c>
      <c r="G67" s="1" t="s">
        <v>40</v>
      </c>
      <c r="H67" s="1" t="s">
        <v>246</v>
      </c>
      <c r="I67" s="1">
        <v>44531</v>
      </c>
      <c r="J67" s="1" t="s">
        <v>34</v>
      </c>
      <c r="K67" s="1" t="s">
        <v>247</v>
      </c>
      <c r="L67" s="1" t="s">
        <v>21</v>
      </c>
      <c r="M67" s="1" t="str">
        <f>_xlfn.XLOOKUP(Sheet1!F67,Departments!$A$2:$A$6,Departments!$B$2:$B$6)</f>
        <v>HR</v>
      </c>
      <c r="N67" s="1">
        <f>_xlfn.XLOOKUP(A67,Performance!$A$2:$A$501,Performance!$C$2:$C$501)</f>
        <v>5</v>
      </c>
      <c r="O67" s="1" cm="1">
        <f t="array" ref="O67">_xlfn.IFS(N67=5,I67+0.15*I67,N67=4,I67+I67*0.1,N67=3,I67+I67*0.07,N67&lt;3,I67+I67*0.05)</f>
        <v>51210.65</v>
      </c>
    </row>
    <row r="68" spans="1:15" x14ac:dyDescent="0.3">
      <c r="A68" s="1" t="s">
        <v>248</v>
      </c>
      <c r="B68" s="1" t="s">
        <v>38</v>
      </c>
      <c r="C68" s="1" t="s">
        <v>130</v>
      </c>
      <c r="D68" s="1" t="s">
        <v>24</v>
      </c>
      <c r="E68" s="1">
        <v>36</v>
      </c>
      <c r="F68" s="1" t="s">
        <v>31</v>
      </c>
      <c r="G68" s="1" t="s">
        <v>17</v>
      </c>
      <c r="H68" s="1" t="s">
        <v>249</v>
      </c>
      <c r="I68" s="1">
        <v>44990</v>
      </c>
      <c r="J68" s="1" t="s">
        <v>80</v>
      </c>
      <c r="K68" s="1" t="s">
        <v>250</v>
      </c>
      <c r="L68" s="1" t="s">
        <v>21</v>
      </c>
      <c r="M68" s="1" t="str">
        <f>_xlfn.XLOOKUP(Sheet1!F68,Departments!$A$2:$A$6,Departments!$B$2:$B$6)</f>
        <v>Sales</v>
      </c>
      <c r="N68" s="1">
        <f>_xlfn.XLOOKUP(A68,Performance!$A$2:$A$501,Performance!$C$2:$C$501)</f>
        <v>3</v>
      </c>
      <c r="O68" s="1" cm="1">
        <f t="array" ref="O68">_xlfn.IFS(N68=5,I68+0.15*I68,N68=4,I68+I68*0.1,N68=3,I68+I68*0.07,N68&lt;3,I68+I68*0.05)</f>
        <v>48139.3</v>
      </c>
    </row>
    <row r="69" spans="1:15" x14ac:dyDescent="0.3">
      <c r="A69" s="1" t="s">
        <v>251</v>
      </c>
      <c r="B69" s="1" t="s">
        <v>44</v>
      </c>
      <c r="C69" s="1" t="s">
        <v>23</v>
      </c>
      <c r="D69" s="1" t="s">
        <v>15</v>
      </c>
      <c r="E69" s="1">
        <v>34</v>
      </c>
      <c r="F69" s="1" t="s">
        <v>16</v>
      </c>
      <c r="G69" s="1" t="s">
        <v>32</v>
      </c>
      <c r="H69" s="1" t="s">
        <v>252</v>
      </c>
      <c r="I69" s="1">
        <v>39110</v>
      </c>
      <c r="J69" s="1" t="s">
        <v>34</v>
      </c>
      <c r="K69" s="1" t="s">
        <v>253</v>
      </c>
      <c r="L69" s="1" t="s">
        <v>36</v>
      </c>
      <c r="M69" s="1" t="str">
        <f>_xlfn.XLOOKUP(Sheet1!F69,Departments!$A$2:$A$6,Departments!$B$2:$B$6)</f>
        <v>HR</v>
      </c>
      <c r="N69" s="1">
        <f>_xlfn.XLOOKUP(A69,Performance!$A$2:$A$501,Performance!$C$2:$C$501)</f>
        <v>2</v>
      </c>
      <c r="O69" s="1" cm="1">
        <f t="array" ref="O69">_xlfn.IFS(N69=5,I69+0.15*I69,N69=4,I69+I69*0.1,N69=3,I69+I69*0.07,N69&lt;3,I69+I69*0.05)</f>
        <v>41065.5</v>
      </c>
    </row>
    <row r="70" spans="1:15" x14ac:dyDescent="0.3">
      <c r="A70" s="1" t="s">
        <v>254</v>
      </c>
      <c r="B70" s="1" t="s">
        <v>13</v>
      </c>
      <c r="C70" s="1" t="s">
        <v>45</v>
      </c>
      <c r="D70" s="1" t="s">
        <v>24</v>
      </c>
      <c r="E70" s="1">
        <v>35</v>
      </c>
      <c r="F70" s="1" t="s">
        <v>50</v>
      </c>
      <c r="G70" s="1" t="s">
        <v>40</v>
      </c>
      <c r="H70" s="1" t="s">
        <v>255</v>
      </c>
      <c r="I70" s="1">
        <v>60760</v>
      </c>
      <c r="J70" s="1" t="s">
        <v>80</v>
      </c>
      <c r="K70" s="1" t="s">
        <v>256</v>
      </c>
      <c r="L70" s="1" t="s">
        <v>36</v>
      </c>
      <c r="M70" s="1" t="str">
        <f>_xlfn.XLOOKUP(Sheet1!F70,Departments!$A$2:$A$6,Departments!$B$2:$B$6)</f>
        <v>Finance</v>
      </c>
      <c r="N70" s="1">
        <f>_xlfn.XLOOKUP(A70,Performance!$A$2:$A$501,Performance!$C$2:$C$501)</f>
        <v>4</v>
      </c>
      <c r="O70" s="1" cm="1">
        <f t="array" ref="O70">_xlfn.IFS(N70=5,I70+0.15*I70,N70=4,I70+I70*0.1,N70=3,I70+I70*0.07,N70&lt;3,I70+I70*0.05)</f>
        <v>66836</v>
      </c>
    </row>
    <row r="71" spans="1:15" x14ac:dyDescent="0.3">
      <c r="A71" s="1" t="s">
        <v>257</v>
      </c>
      <c r="B71" s="1" t="s">
        <v>38</v>
      </c>
      <c r="C71" s="1" t="s">
        <v>90</v>
      </c>
      <c r="D71" s="1" t="s">
        <v>15</v>
      </c>
      <c r="E71" s="1">
        <v>27</v>
      </c>
      <c r="F71" s="1" t="s">
        <v>31</v>
      </c>
      <c r="G71" s="1" t="s">
        <v>26</v>
      </c>
      <c r="H71" s="1" t="s">
        <v>258</v>
      </c>
      <c r="I71" s="1">
        <v>118796</v>
      </c>
      <c r="J71" s="1" t="s">
        <v>60</v>
      </c>
      <c r="K71" s="1" t="s">
        <v>259</v>
      </c>
      <c r="L71" s="1" t="s">
        <v>36</v>
      </c>
      <c r="M71" s="1" t="str">
        <f>_xlfn.XLOOKUP(Sheet1!F71,Departments!$A$2:$A$6,Departments!$B$2:$B$6)</f>
        <v>Sales</v>
      </c>
      <c r="N71" s="1">
        <f>_xlfn.XLOOKUP(A71,Performance!$A$2:$A$501,Performance!$C$2:$C$501)</f>
        <v>4</v>
      </c>
      <c r="O71" s="1" cm="1">
        <f t="array" ref="O71">_xlfn.IFS(N71=5,I71+0.15*I71,N71=4,I71+I71*0.1,N71=3,I71+I71*0.07,N71&lt;3,I71+I71*0.05)</f>
        <v>130675.6</v>
      </c>
    </row>
    <row r="72" spans="1:15" x14ac:dyDescent="0.3">
      <c r="A72" s="1" t="s">
        <v>260</v>
      </c>
      <c r="B72" s="1" t="s">
        <v>71</v>
      </c>
      <c r="C72" s="1" t="s">
        <v>90</v>
      </c>
      <c r="D72" s="1" t="s">
        <v>15</v>
      </c>
      <c r="E72" s="1">
        <v>49</v>
      </c>
      <c r="F72" s="1" t="s">
        <v>31</v>
      </c>
      <c r="G72" s="1" t="s">
        <v>17</v>
      </c>
      <c r="H72" s="1" t="s">
        <v>261</v>
      </c>
      <c r="I72" s="1">
        <v>88225</v>
      </c>
      <c r="J72" s="1" t="s">
        <v>34</v>
      </c>
      <c r="K72" s="1" t="s">
        <v>262</v>
      </c>
      <c r="L72" s="1" t="s">
        <v>21</v>
      </c>
      <c r="M72" s="1" t="str">
        <f>_xlfn.XLOOKUP(Sheet1!F72,Departments!$A$2:$A$6,Departments!$B$2:$B$6)</f>
        <v>Sales</v>
      </c>
      <c r="N72" s="1">
        <f>_xlfn.XLOOKUP(A72,Performance!$A$2:$A$501,Performance!$C$2:$C$501)</f>
        <v>2</v>
      </c>
      <c r="O72" s="1" cm="1">
        <f t="array" ref="O72">_xlfn.IFS(N72=5,I72+0.15*I72,N72=4,I72+I72*0.1,N72=3,I72+I72*0.07,N72&lt;3,I72+I72*0.05)</f>
        <v>92636.25</v>
      </c>
    </row>
    <row r="73" spans="1:15" x14ac:dyDescent="0.3">
      <c r="A73" s="1" t="s">
        <v>263</v>
      </c>
      <c r="B73" s="1" t="s">
        <v>49</v>
      </c>
      <c r="C73" s="1" t="s">
        <v>90</v>
      </c>
      <c r="D73" s="1" t="s">
        <v>15</v>
      </c>
      <c r="E73" s="1">
        <v>22</v>
      </c>
      <c r="F73" s="1" t="s">
        <v>31</v>
      </c>
      <c r="G73" s="1" t="s">
        <v>108</v>
      </c>
      <c r="H73" s="1" t="s">
        <v>264</v>
      </c>
      <c r="I73" s="1">
        <v>64891</v>
      </c>
      <c r="J73" s="1" t="s">
        <v>65</v>
      </c>
      <c r="K73" s="1" t="s">
        <v>265</v>
      </c>
      <c r="L73" s="1" t="s">
        <v>21</v>
      </c>
      <c r="M73" s="1" t="str">
        <f>_xlfn.XLOOKUP(Sheet1!F73,Departments!$A$2:$A$6,Departments!$B$2:$B$6)</f>
        <v>Sales</v>
      </c>
      <c r="N73" s="1">
        <f>_xlfn.XLOOKUP(A73,Performance!$A$2:$A$501,Performance!$C$2:$C$501)</f>
        <v>4</v>
      </c>
      <c r="O73" s="1" cm="1">
        <f t="array" ref="O73">_xlfn.IFS(N73=5,I73+0.15*I73,N73=4,I73+I73*0.1,N73=3,I73+I73*0.07,N73&lt;3,I73+I73*0.05)</f>
        <v>71380.100000000006</v>
      </c>
    </row>
    <row r="74" spans="1:15" x14ac:dyDescent="0.3">
      <c r="A74" s="1" t="s">
        <v>266</v>
      </c>
      <c r="B74" s="1" t="s">
        <v>44</v>
      </c>
      <c r="C74" s="1" t="s">
        <v>45</v>
      </c>
      <c r="D74" s="1" t="s">
        <v>24</v>
      </c>
      <c r="E74" s="1">
        <v>48</v>
      </c>
      <c r="F74" s="1" t="s">
        <v>50</v>
      </c>
      <c r="G74" s="1" t="s">
        <v>32</v>
      </c>
      <c r="H74" s="1" t="s">
        <v>267</v>
      </c>
      <c r="I74" s="1">
        <v>72035</v>
      </c>
      <c r="J74" s="1" t="s">
        <v>19</v>
      </c>
      <c r="K74" s="1" t="s">
        <v>268</v>
      </c>
      <c r="L74" s="1" t="s">
        <v>21</v>
      </c>
      <c r="M74" s="1" t="str">
        <f>_xlfn.XLOOKUP(Sheet1!F74,Departments!$A$2:$A$6,Departments!$B$2:$B$6)</f>
        <v>Finance</v>
      </c>
      <c r="N74" s="1">
        <f>_xlfn.XLOOKUP(A74,Performance!$A$2:$A$501,Performance!$C$2:$C$501)</f>
        <v>3</v>
      </c>
      <c r="O74" s="1" cm="1">
        <f t="array" ref="O74">_xlfn.IFS(N74=5,I74+0.15*I74,N74=4,I74+I74*0.1,N74=3,I74+I74*0.07,N74&lt;3,I74+I74*0.05)</f>
        <v>77077.45</v>
      </c>
    </row>
    <row r="75" spans="1:15" x14ac:dyDescent="0.3">
      <c r="A75" s="1" t="s">
        <v>269</v>
      </c>
      <c r="B75" s="1" t="s">
        <v>13</v>
      </c>
      <c r="C75" s="1" t="s">
        <v>130</v>
      </c>
      <c r="D75" s="1" t="s">
        <v>24</v>
      </c>
      <c r="E75" s="1">
        <v>30</v>
      </c>
      <c r="F75" s="1" t="s">
        <v>16</v>
      </c>
      <c r="G75" s="1" t="s">
        <v>17</v>
      </c>
      <c r="H75" s="1" t="s">
        <v>270</v>
      </c>
      <c r="I75" s="1">
        <v>50545</v>
      </c>
      <c r="J75" s="1" t="s">
        <v>80</v>
      </c>
      <c r="K75" s="1" t="s">
        <v>271</v>
      </c>
      <c r="L75" s="1" t="s">
        <v>21</v>
      </c>
      <c r="M75" s="1" t="str">
        <f>_xlfn.XLOOKUP(Sheet1!F75,Departments!$A$2:$A$6,Departments!$B$2:$B$6)</f>
        <v>HR</v>
      </c>
      <c r="N75" s="1">
        <f>_xlfn.XLOOKUP(A75,Performance!$A$2:$A$501,Performance!$C$2:$C$501)</f>
        <v>3</v>
      </c>
      <c r="O75" s="1" cm="1">
        <f t="array" ref="O75">_xlfn.IFS(N75=5,I75+0.15*I75,N75=4,I75+I75*0.1,N75=3,I75+I75*0.07,N75&lt;3,I75+I75*0.05)</f>
        <v>54083.15</v>
      </c>
    </row>
    <row r="76" spans="1:15" x14ac:dyDescent="0.3">
      <c r="A76" s="1" t="s">
        <v>272</v>
      </c>
      <c r="B76" s="1" t="s">
        <v>143</v>
      </c>
      <c r="C76" s="1" t="s">
        <v>23</v>
      </c>
      <c r="D76" s="1" t="s">
        <v>24</v>
      </c>
      <c r="E76" s="1">
        <v>36</v>
      </c>
      <c r="F76" s="1" t="s">
        <v>16</v>
      </c>
      <c r="G76" s="1" t="s">
        <v>32</v>
      </c>
      <c r="H76" s="1" t="s">
        <v>273</v>
      </c>
      <c r="I76" s="1">
        <v>79385</v>
      </c>
      <c r="J76" s="1" t="s">
        <v>34</v>
      </c>
      <c r="K76" s="1" t="s">
        <v>274</v>
      </c>
      <c r="L76" s="1" t="s">
        <v>21</v>
      </c>
      <c r="M76" s="1" t="str">
        <f>_xlfn.XLOOKUP(Sheet1!F76,Departments!$A$2:$A$6,Departments!$B$2:$B$6)</f>
        <v>HR</v>
      </c>
      <c r="N76" s="1">
        <f>_xlfn.XLOOKUP(A76,Performance!$A$2:$A$501,Performance!$C$2:$C$501)</f>
        <v>5</v>
      </c>
      <c r="O76" s="1" cm="1">
        <f t="array" ref="O76">_xlfn.IFS(N76=5,I76+0.15*I76,N76=4,I76+I76*0.1,N76=3,I76+I76*0.07,N76&lt;3,I76+I76*0.05)</f>
        <v>91292.75</v>
      </c>
    </row>
    <row r="77" spans="1:15" x14ac:dyDescent="0.3">
      <c r="A77" s="1" t="s">
        <v>275</v>
      </c>
      <c r="B77" s="1" t="s">
        <v>54</v>
      </c>
      <c r="C77" s="1" t="s">
        <v>14</v>
      </c>
      <c r="D77" s="1" t="s">
        <v>15</v>
      </c>
      <c r="E77" s="1">
        <v>52</v>
      </c>
      <c r="F77" s="1" t="s">
        <v>50</v>
      </c>
      <c r="G77" s="1" t="s">
        <v>32</v>
      </c>
      <c r="H77" s="1" t="s">
        <v>276</v>
      </c>
      <c r="I77" s="1">
        <v>48744</v>
      </c>
      <c r="J77" s="1" t="s">
        <v>65</v>
      </c>
      <c r="K77" s="1" t="s">
        <v>277</v>
      </c>
      <c r="L77" s="1" t="s">
        <v>36</v>
      </c>
      <c r="M77" s="1" t="str">
        <f>_xlfn.XLOOKUP(Sheet1!F77,Departments!$A$2:$A$6,Departments!$B$2:$B$6)</f>
        <v>Finance</v>
      </c>
      <c r="N77" s="1">
        <f>_xlfn.XLOOKUP(A77,Performance!$A$2:$A$501,Performance!$C$2:$C$501)</f>
        <v>3</v>
      </c>
      <c r="O77" s="1" cm="1">
        <f t="array" ref="O77">_xlfn.IFS(N77=5,I77+0.15*I77,N77=4,I77+I77*0.1,N77=3,I77+I77*0.07,N77&lt;3,I77+I77*0.05)</f>
        <v>52156.08</v>
      </c>
    </row>
    <row r="78" spans="1:15" x14ac:dyDescent="0.3">
      <c r="A78" s="1" t="s">
        <v>278</v>
      </c>
      <c r="B78" s="1" t="s">
        <v>143</v>
      </c>
      <c r="C78" s="1" t="s">
        <v>95</v>
      </c>
      <c r="D78" s="1" t="s">
        <v>24</v>
      </c>
      <c r="E78" s="1">
        <v>53</v>
      </c>
      <c r="F78" s="1" t="s">
        <v>25</v>
      </c>
      <c r="G78" s="1" t="s">
        <v>108</v>
      </c>
      <c r="H78" s="1" t="s">
        <v>279</v>
      </c>
      <c r="I78" s="1">
        <v>48865</v>
      </c>
      <c r="J78" s="1" t="s">
        <v>60</v>
      </c>
      <c r="K78" s="1" t="s">
        <v>280</v>
      </c>
      <c r="L78" s="1" t="s">
        <v>21</v>
      </c>
      <c r="M78" s="1" t="str">
        <f>_xlfn.XLOOKUP(Sheet1!F78,Departments!$A$2:$A$6,Departments!$B$2:$B$6)</f>
        <v>IT</v>
      </c>
      <c r="N78" s="1">
        <f>_xlfn.XLOOKUP(A78,Performance!$A$2:$A$501,Performance!$C$2:$C$501)</f>
        <v>1</v>
      </c>
      <c r="O78" s="1" cm="1">
        <f t="array" ref="O78">_xlfn.IFS(N78=5,I78+0.15*I78,N78=4,I78+I78*0.1,N78=3,I78+I78*0.07,N78&lt;3,I78+I78*0.05)</f>
        <v>51308.25</v>
      </c>
    </row>
    <row r="79" spans="1:15" x14ac:dyDescent="0.3">
      <c r="A79" s="1" t="s">
        <v>281</v>
      </c>
      <c r="B79" s="1" t="s">
        <v>49</v>
      </c>
      <c r="C79" s="1" t="s">
        <v>63</v>
      </c>
      <c r="D79" s="1" t="s">
        <v>15</v>
      </c>
      <c r="E79" s="1">
        <v>53</v>
      </c>
      <c r="F79" s="1" t="s">
        <v>50</v>
      </c>
      <c r="G79" s="1" t="s">
        <v>17</v>
      </c>
      <c r="H79" s="1" t="s">
        <v>282</v>
      </c>
      <c r="I79" s="1">
        <v>73437</v>
      </c>
      <c r="J79" s="1" t="s">
        <v>65</v>
      </c>
      <c r="K79" s="1" t="s">
        <v>283</v>
      </c>
      <c r="L79" s="1" t="s">
        <v>36</v>
      </c>
      <c r="M79" s="1" t="str">
        <f>_xlfn.XLOOKUP(Sheet1!F79,Departments!$A$2:$A$6,Departments!$B$2:$B$6)</f>
        <v>Finance</v>
      </c>
      <c r="N79" s="1">
        <f>_xlfn.XLOOKUP(A79,Performance!$A$2:$A$501,Performance!$C$2:$C$501)</f>
        <v>4</v>
      </c>
      <c r="O79" s="1" cm="1">
        <f t="array" ref="O79">_xlfn.IFS(N79=5,I79+0.15*I79,N79=4,I79+I79*0.1,N79=3,I79+I79*0.07,N79&lt;3,I79+I79*0.05)</f>
        <v>80780.7</v>
      </c>
    </row>
    <row r="80" spans="1:15" x14ac:dyDescent="0.3">
      <c r="A80" s="1" t="s">
        <v>284</v>
      </c>
      <c r="B80" s="1" t="s">
        <v>54</v>
      </c>
      <c r="C80" s="1" t="s">
        <v>165</v>
      </c>
      <c r="D80" s="1" t="s">
        <v>15</v>
      </c>
      <c r="E80" s="1">
        <v>25</v>
      </c>
      <c r="F80" s="1" t="s">
        <v>39</v>
      </c>
      <c r="G80" s="1" t="s">
        <v>17</v>
      </c>
      <c r="H80" s="1" t="s">
        <v>285</v>
      </c>
      <c r="I80" s="1">
        <v>75232</v>
      </c>
      <c r="J80" s="1" t="s">
        <v>80</v>
      </c>
      <c r="K80" s="1" t="s">
        <v>286</v>
      </c>
      <c r="L80" s="1" t="s">
        <v>21</v>
      </c>
      <c r="M80" s="1" t="str">
        <f>_xlfn.XLOOKUP(Sheet1!F80,Departments!$A$2:$A$6,Departments!$B$2:$B$6)</f>
        <v>Marketing</v>
      </c>
      <c r="N80" s="1">
        <f>_xlfn.XLOOKUP(A80,Performance!$A$2:$A$501,Performance!$C$2:$C$501)</f>
        <v>1</v>
      </c>
      <c r="O80" s="1" cm="1">
        <f t="array" ref="O80">_xlfn.IFS(N80=5,I80+0.15*I80,N80=4,I80+I80*0.1,N80=3,I80+I80*0.07,N80&lt;3,I80+I80*0.05)</f>
        <v>78993.600000000006</v>
      </c>
    </row>
    <row r="81" spans="1:15" x14ac:dyDescent="0.3">
      <c r="A81" s="1" t="s">
        <v>287</v>
      </c>
      <c r="B81" s="1" t="s">
        <v>71</v>
      </c>
      <c r="C81" s="1" t="s">
        <v>14</v>
      </c>
      <c r="D81" s="1" t="s">
        <v>15</v>
      </c>
      <c r="E81" s="1">
        <v>48</v>
      </c>
      <c r="F81" s="1" t="s">
        <v>31</v>
      </c>
      <c r="G81" s="1" t="s">
        <v>17</v>
      </c>
      <c r="H81" s="1" t="s">
        <v>288</v>
      </c>
      <c r="I81" s="1">
        <v>53034</v>
      </c>
      <c r="J81" s="1" t="s">
        <v>65</v>
      </c>
      <c r="K81" s="1" t="s">
        <v>289</v>
      </c>
      <c r="L81" s="1" t="s">
        <v>21</v>
      </c>
      <c r="M81" s="1" t="str">
        <f>_xlfn.XLOOKUP(Sheet1!F81,Departments!$A$2:$A$6,Departments!$B$2:$B$6)</f>
        <v>Sales</v>
      </c>
      <c r="N81" s="1">
        <f>_xlfn.XLOOKUP(A81,Performance!$A$2:$A$501,Performance!$C$2:$C$501)</f>
        <v>2</v>
      </c>
      <c r="O81" s="1" cm="1">
        <f t="array" ref="O81">_xlfn.IFS(N81=5,I81+0.15*I81,N81=4,I81+I81*0.1,N81=3,I81+I81*0.07,N81&lt;3,I81+I81*0.05)</f>
        <v>55685.7</v>
      </c>
    </row>
    <row r="82" spans="1:15" x14ac:dyDescent="0.3">
      <c r="A82" s="1" t="s">
        <v>290</v>
      </c>
      <c r="B82" s="1" t="s">
        <v>71</v>
      </c>
      <c r="C82" s="1" t="s">
        <v>23</v>
      </c>
      <c r="D82" s="1" t="s">
        <v>24</v>
      </c>
      <c r="E82" s="1">
        <v>45</v>
      </c>
      <c r="F82" s="1" t="s">
        <v>16</v>
      </c>
      <c r="G82" s="1" t="s">
        <v>17</v>
      </c>
      <c r="H82" s="1" t="s">
        <v>291</v>
      </c>
      <c r="I82" s="1">
        <v>110168</v>
      </c>
      <c r="J82" s="1" t="s">
        <v>60</v>
      </c>
      <c r="K82" s="1" t="s">
        <v>292</v>
      </c>
      <c r="L82" s="1" t="s">
        <v>36</v>
      </c>
      <c r="M82" s="1" t="str">
        <f>_xlfn.XLOOKUP(Sheet1!F82,Departments!$A$2:$A$6,Departments!$B$2:$B$6)</f>
        <v>HR</v>
      </c>
      <c r="N82" s="1">
        <f>_xlfn.XLOOKUP(A82,Performance!$A$2:$A$501,Performance!$C$2:$C$501)</f>
        <v>4</v>
      </c>
      <c r="O82" s="1" cm="1">
        <f t="array" ref="O82">_xlfn.IFS(N82=5,I82+0.15*I82,N82=4,I82+I82*0.1,N82=3,I82+I82*0.07,N82&lt;3,I82+I82*0.05)</f>
        <v>121184.8</v>
      </c>
    </row>
    <row r="83" spans="1:15" x14ac:dyDescent="0.3">
      <c r="A83" s="1" t="s">
        <v>293</v>
      </c>
      <c r="B83" s="1" t="s">
        <v>38</v>
      </c>
      <c r="C83" s="1" t="s">
        <v>78</v>
      </c>
      <c r="D83" s="1" t="s">
        <v>15</v>
      </c>
      <c r="E83" s="1">
        <v>51</v>
      </c>
      <c r="F83" s="1" t="s">
        <v>25</v>
      </c>
      <c r="G83" s="1" t="s">
        <v>32</v>
      </c>
      <c r="H83" s="1" t="s">
        <v>294</v>
      </c>
      <c r="I83" s="1">
        <v>107488</v>
      </c>
      <c r="J83" s="1" t="s">
        <v>34</v>
      </c>
      <c r="K83" s="1" t="s">
        <v>295</v>
      </c>
      <c r="L83" s="1" t="s">
        <v>36</v>
      </c>
      <c r="M83" s="1" t="str">
        <f>_xlfn.XLOOKUP(Sheet1!F83,Departments!$A$2:$A$6,Departments!$B$2:$B$6)</f>
        <v>IT</v>
      </c>
      <c r="N83" s="1">
        <f>_xlfn.XLOOKUP(A83,Performance!$A$2:$A$501,Performance!$C$2:$C$501)</f>
        <v>1</v>
      </c>
      <c r="O83" s="1" cm="1">
        <f t="array" ref="O83">_xlfn.IFS(N83=5,I83+0.15*I83,N83=4,I83+I83*0.1,N83=3,I83+I83*0.07,N83&lt;3,I83+I83*0.05)</f>
        <v>112862.39999999999</v>
      </c>
    </row>
    <row r="84" spans="1:15" x14ac:dyDescent="0.3">
      <c r="A84" s="1" t="s">
        <v>296</v>
      </c>
      <c r="B84" s="1" t="s">
        <v>44</v>
      </c>
      <c r="C84" s="1" t="s">
        <v>45</v>
      </c>
      <c r="D84" s="1" t="s">
        <v>15</v>
      </c>
      <c r="E84" s="1">
        <v>50</v>
      </c>
      <c r="F84" s="1" t="s">
        <v>31</v>
      </c>
      <c r="G84" s="1" t="s">
        <v>17</v>
      </c>
      <c r="H84" s="1" t="s">
        <v>297</v>
      </c>
      <c r="I84" s="1">
        <v>53754</v>
      </c>
      <c r="J84" s="1" t="s">
        <v>34</v>
      </c>
      <c r="K84" s="1" t="s">
        <v>298</v>
      </c>
      <c r="L84" s="1" t="s">
        <v>36</v>
      </c>
      <c r="M84" s="1" t="str">
        <f>_xlfn.XLOOKUP(Sheet1!F84,Departments!$A$2:$A$6,Departments!$B$2:$B$6)</f>
        <v>Sales</v>
      </c>
      <c r="N84" s="1">
        <f>_xlfn.XLOOKUP(A84,Performance!$A$2:$A$501,Performance!$C$2:$C$501)</f>
        <v>3</v>
      </c>
      <c r="O84" s="1" cm="1">
        <f t="array" ref="O84">_xlfn.IFS(N84=5,I84+0.15*I84,N84=4,I84+I84*0.1,N84=3,I84+I84*0.07,N84&lt;3,I84+I84*0.05)</f>
        <v>57516.78</v>
      </c>
    </row>
    <row r="85" spans="1:15" x14ac:dyDescent="0.3">
      <c r="A85" s="1" t="s">
        <v>299</v>
      </c>
      <c r="B85" s="1" t="s">
        <v>94</v>
      </c>
      <c r="C85" s="1" t="s">
        <v>130</v>
      </c>
      <c r="D85" s="1" t="s">
        <v>24</v>
      </c>
      <c r="E85" s="1">
        <v>47</v>
      </c>
      <c r="F85" s="1" t="s">
        <v>16</v>
      </c>
      <c r="G85" s="1" t="s">
        <v>32</v>
      </c>
      <c r="H85" s="1" t="s">
        <v>300</v>
      </c>
      <c r="I85" s="1">
        <v>99891</v>
      </c>
      <c r="J85" s="1" t="s">
        <v>34</v>
      </c>
      <c r="K85" s="1" t="s">
        <v>301</v>
      </c>
      <c r="L85" s="1" t="s">
        <v>36</v>
      </c>
      <c r="M85" s="1" t="str">
        <f>_xlfn.XLOOKUP(Sheet1!F85,Departments!$A$2:$A$6,Departments!$B$2:$B$6)</f>
        <v>HR</v>
      </c>
      <c r="N85" s="1">
        <f>_xlfn.XLOOKUP(A85,Performance!$A$2:$A$501,Performance!$C$2:$C$501)</f>
        <v>2</v>
      </c>
      <c r="O85" s="1" cm="1">
        <f t="array" ref="O85">_xlfn.IFS(N85=5,I85+0.15*I85,N85=4,I85+I85*0.1,N85=3,I85+I85*0.07,N85&lt;3,I85+I85*0.05)</f>
        <v>104885.55</v>
      </c>
    </row>
    <row r="86" spans="1:15" x14ac:dyDescent="0.3">
      <c r="A86" s="1" t="s">
        <v>302</v>
      </c>
      <c r="B86" s="1" t="s">
        <v>54</v>
      </c>
      <c r="C86" s="1" t="s">
        <v>90</v>
      </c>
      <c r="D86" s="1" t="s">
        <v>24</v>
      </c>
      <c r="E86" s="1">
        <v>37</v>
      </c>
      <c r="F86" s="1" t="s">
        <v>31</v>
      </c>
      <c r="G86" s="1" t="s">
        <v>26</v>
      </c>
      <c r="H86" s="1" t="s">
        <v>303</v>
      </c>
      <c r="I86" s="1">
        <v>109363</v>
      </c>
      <c r="J86" s="1" t="s">
        <v>60</v>
      </c>
      <c r="K86" s="1" t="s">
        <v>304</v>
      </c>
      <c r="L86" s="1" t="s">
        <v>36</v>
      </c>
      <c r="M86" s="1" t="str">
        <f>_xlfn.XLOOKUP(Sheet1!F86,Departments!$A$2:$A$6,Departments!$B$2:$B$6)</f>
        <v>Sales</v>
      </c>
      <c r="N86" s="1">
        <f>_xlfn.XLOOKUP(A86,Performance!$A$2:$A$501,Performance!$C$2:$C$501)</f>
        <v>4</v>
      </c>
      <c r="O86" s="1" cm="1">
        <f t="array" ref="O86">_xlfn.IFS(N86=5,I86+0.15*I86,N86=4,I86+I86*0.1,N86=3,I86+I86*0.07,N86&lt;3,I86+I86*0.05)</f>
        <v>120299.3</v>
      </c>
    </row>
    <row r="87" spans="1:15" x14ac:dyDescent="0.3">
      <c r="A87" s="1" t="s">
        <v>305</v>
      </c>
      <c r="B87" s="1" t="s">
        <v>58</v>
      </c>
      <c r="C87" s="1" t="s">
        <v>78</v>
      </c>
      <c r="D87" s="1" t="s">
        <v>24</v>
      </c>
      <c r="E87" s="1">
        <v>26</v>
      </c>
      <c r="F87" s="1" t="s">
        <v>39</v>
      </c>
      <c r="G87" s="1" t="s">
        <v>40</v>
      </c>
      <c r="H87" s="1" t="s">
        <v>144</v>
      </c>
      <c r="I87" s="1">
        <v>57248</v>
      </c>
      <c r="J87" s="1" t="s">
        <v>19</v>
      </c>
      <c r="K87" s="1" t="s">
        <v>306</v>
      </c>
      <c r="L87" s="1" t="s">
        <v>21</v>
      </c>
      <c r="M87" s="1" t="str">
        <f>_xlfn.XLOOKUP(Sheet1!F87,Departments!$A$2:$A$6,Departments!$B$2:$B$6)</f>
        <v>Marketing</v>
      </c>
      <c r="N87" s="1">
        <f>_xlfn.XLOOKUP(A87,Performance!$A$2:$A$501,Performance!$C$2:$C$501)</f>
        <v>3</v>
      </c>
      <c r="O87" s="1" cm="1">
        <f t="array" ref="O87">_xlfn.IFS(N87=5,I87+0.15*I87,N87=4,I87+I87*0.1,N87=3,I87+I87*0.07,N87&lt;3,I87+I87*0.05)</f>
        <v>61255.360000000001</v>
      </c>
    </row>
    <row r="88" spans="1:15" x14ac:dyDescent="0.3">
      <c r="A88" s="1" t="s">
        <v>307</v>
      </c>
      <c r="B88" s="1" t="s">
        <v>44</v>
      </c>
      <c r="C88" s="1" t="s">
        <v>95</v>
      </c>
      <c r="D88" s="1" t="s">
        <v>15</v>
      </c>
      <c r="E88" s="1">
        <v>28</v>
      </c>
      <c r="F88" s="1" t="s">
        <v>50</v>
      </c>
      <c r="G88" s="1" t="s">
        <v>108</v>
      </c>
      <c r="H88" s="1" t="s">
        <v>308</v>
      </c>
      <c r="I88" s="1">
        <v>89625</v>
      </c>
      <c r="J88" s="1" t="s">
        <v>60</v>
      </c>
      <c r="K88" s="1" t="s">
        <v>309</v>
      </c>
      <c r="L88" s="1" t="s">
        <v>36</v>
      </c>
      <c r="M88" s="1" t="str">
        <f>_xlfn.XLOOKUP(Sheet1!F88,Departments!$A$2:$A$6,Departments!$B$2:$B$6)</f>
        <v>Finance</v>
      </c>
      <c r="N88" s="1">
        <f>_xlfn.XLOOKUP(A88,Performance!$A$2:$A$501,Performance!$C$2:$C$501)</f>
        <v>5</v>
      </c>
      <c r="O88" s="1" cm="1">
        <f t="array" ref="O88">_xlfn.IFS(N88=5,I88+0.15*I88,N88=4,I88+I88*0.1,N88=3,I88+I88*0.07,N88&lt;3,I88+I88*0.05)</f>
        <v>103068.75</v>
      </c>
    </row>
    <row r="89" spans="1:15" x14ac:dyDescent="0.3">
      <c r="A89" s="1" t="s">
        <v>310</v>
      </c>
      <c r="B89" s="1" t="s">
        <v>49</v>
      </c>
      <c r="C89" s="1" t="s">
        <v>45</v>
      </c>
      <c r="D89" s="1" t="s">
        <v>15</v>
      </c>
      <c r="E89" s="1">
        <v>44</v>
      </c>
      <c r="F89" s="1" t="s">
        <v>39</v>
      </c>
      <c r="G89" s="1" t="s">
        <v>17</v>
      </c>
      <c r="H89" s="1" t="s">
        <v>311</v>
      </c>
      <c r="I89" s="1">
        <v>104211</v>
      </c>
      <c r="J89" s="1" t="s">
        <v>65</v>
      </c>
      <c r="K89" s="1" t="s">
        <v>312</v>
      </c>
      <c r="L89" s="1" t="s">
        <v>36</v>
      </c>
      <c r="M89" s="1" t="str">
        <f>_xlfn.XLOOKUP(Sheet1!F89,Departments!$A$2:$A$6,Departments!$B$2:$B$6)</f>
        <v>Marketing</v>
      </c>
      <c r="N89" s="1">
        <f>_xlfn.XLOOKUP(A89,Performance!$A$2:$A$501,Performance!$C$2:$C$501)</f>
        <v>5</v>
      </c>
      <c r="O89" s="1" cm="1">
        <f t="array" ref="O89">_xlfn.IFS(N89=5,I89+0.15*I89,N89=4,I89+I89*0.1,N89=3,I89+I89*0.07,N89&lt;3,I89+I89*0.05)</f>
        <v>119842.65</v>
      </c>
    </row>
    <row r="90" spans="1:15" x14ac:dyDescent="0.3">
      <c r="A90" s="1" t="s">
        <v>313</v>
      </c>
      <c r="B90" s="1" t="s">
        <v>54</v>
      </c>
      <c r="C90" s="1" t="s">
        <v>90</v>
      </c>
      <c r="D90" s="1" t="s">
        <v>15</v>
      </c>
      <c r="E90" s="1">
        <v>36</v>
      </c>
      <c r="F90" s="1" t="s">
        <v>25</v>
      </c>
      <c r="G90" s="1" t="s">
        <v>32</v>
      </c>
      <c r="H90" s="1" t="s">
        <v>314</v>
      </c>
      <c r="I90" s="1">
        <v>82819</v>
      </c>
      <c r="J90" s="1" t="s">
        <v>34</v>
      </c>
      <c r="K90" s="1" t="s">
        <v>315</v>
      </c>
      <c r="L90" s="1" t="s">
        <v>36</v>
      </c>
      <c r="M90" s="1" t="str">
        <f>_xlfn.XLOOKUP(Sheet1!F90,Departments!$A$2:$A$6,Departments!$B$2:$B$6)</f>
        <v>IT</v>
      </c>
      <c r="N90" s="1">
        <f>_xlfn.XLOOKUP(A90,Performance!$A$2:$A$501,Performance!$C$2:$C$501)</f>
        <v>1</v>
      </c>
      <c r="O90" s="1" cm="1">
        <f t="array" ref="O90">_xlfn.IFS(N90=5,I90+0.15*I90,N90=4,I90+I90*0.1,N90=3,I90+I90*0.07,N90&lt;3,I90+I90*0.05)</f>
        <v>86959.95</v>
      </c>
    </row>
    <row r="91" spans="1:15" x14ac:dyDescent="0.3">
      <c r="A91" s="1" t="s">
        <v>316</v>
      </c>
      <c r="B91" s="1" t="s">
        <v>30</v>
      </c>
      <c r="C91" s="1" t="s">
        <v>90</v>
      </c>
      <c r="D91" s="1" t="s">
        <v>15</v>
      </c>
      <c r="E91" s="1">
        <v>54</v>
      </c>
      <c r="F91" s="1" t="s">
        <v>25</v>
      </c>
      <c r="G91" s="1" t="s">
        <v>32</v>
      </c>
      <c r="H91" s="1" t="s">
        <v>317</v>
      </c>
      <c r="I91" s="1">
        <v>105392</v>
      </c>
      <c r="J91" s="1" t="s">
        <v>80</v>
      </c>
      <c r="K91" s="1" t="s">
        <v>318</v>
      </c>
      <c r="L91" s="1" t="s">
        <v>21</v>
      </c>
      <c r="M91" s="1" t="str">
        <f>_xlfn.XLOOKUP(Sheet1!F91,Departments!$A$2:$A$6,Departments!$B$2:$B$6)</f>
        <v>IT</v>
      </c>
      <c r="N91" s="1">
        <f>_xlfn.XLOOKUP(A91,Performance!$A$2:$A$501,Performance!$C$2:$C$501)</f>
        <v>3</v>
      </c>
      <c r="O91" s="1" cm="1">
        <f t="array" ref="O91">_xlfn.IFS(N91=5,I91+0.15*I91,N91=4,I91+I91*0.1,N91=3,I91+I91*0.07,N91&lt;3,I91+I91*0.05)</f>
        <v>112769.44</v>
      </c>
    </row>
    <row r="92" spans="1:15" x14ac:dyDescent="0.3">
      <c r="A92" s="1" t="s">
        <v>319</v>
      </c>
      <c r="B92" s="1" t="s">
        <v>58</v>
      </c>
      <c r="C92" s="1" t="s">
        <v>23</v>
      </c>
      <c r="D92" s="1" t="s">
        <v>24</v>
      </c>
      <c r="E92" s="1">
        <v>49</v>
      </c>
      <c r="F92" s="1" t="s">
        <v>50</v>
      </c>
      <c r="G92" s="1" t="s">
        <v>17</v>
      </c>
      <c r="H92" s="1" t="s">
        <v>320</v>
      </c>
      <c r="I92" s="1">
        <v>52568</v>
      </c>
      <c r="J92" s="1" t="s">
        <v>34</v>
      </c>
      <c r="K92" s="1" t="s">
        <v>321</v>
      </c>
      <c r="L92" s="1" t="s">
        <v>21</v>
      </c>
      <c r="M92" s="1" t="str">
        <f>_xlfn.XLOOKUP(Sheet1!F92,Departments!$A$2:$A$6,Departments!$B$2:$B$6)</f>
        <v>Finance</v>
      </c>
      <c r="N92" s="1">
        <f>_xlfn.XLOOKUP(A92,Performance!$A$2:$A$501,Performance!$C$2:$C$501)</f>
        <v>1</v>
      </c>
      <c r="O92" s="1" cm="1">
        <f t="array" ref="O92">_xlfn.IFS(N92=5,I92+0.15*I92,N92=4,I92+I92*0.1,N92=3,I92+I92*0.07,N92&lt;3,I92+I92*0.05)</f>
        <v>55196.4</v>
      </c>
    </row>
    <row r="93" spans="1:15" x14ac:dyDescent="0.3">
      <c r="A93" s="1" t="s">
        <v>322</v>
      </c>
      <c r="B93" s="1" t="s">
        <v>71</v>
      </c>
      <c r="C93" s="1" t="s">
        <v>90</v>
      </c>
      <c r="D93" s="1" t="s">
        <v>15</v>
      </c>
      <c r="E93" s="1">
        <v>35</v>
      </c>
      <c r="F93" s="1" t="s">
        <v>25</v>
      </c>
      <c r="G93" s="1" t="s">
        <v>17</v>
      </c>
      <c r="H93" s="1" t="s">
        <v>323</v>
      </c>
      <c r="I93" s="1">
        <v>119403</v>
      </c>
      <c r="J93" s="1" t="s">
        <v>60</v>
      </c>
      <c r="K93" s="1" t="s">
        <v>324</v>
      </c>
      <c r="L93" s="1" t="s">
        <v>36</v>
      </c>
      <c r="M93" s="1" t="str">
        <f>_xlfn.XLOOKUP(Sheet1!F93,Departments!$A$2:$A$6,Departments!$B$2:$B$6)</f>
        <v>IT</v>
      </c>
      <c r="N93" s="1">
        <f>_xlfn.XLOOKUP(A93,Performance!$A$2:$A$501,Performance!$C$2:$C$501)</f>
        <v>3</v>
      </c>
      <c r="O93" s="1" cm="1">
        <f t="array" ref="O93">_xlfn.IFS(N93=5,I93+0.15*I93,N93=4,I93+I93*0.1,N93=3,I93+I93*0.07,N93&lt;3,I93+I93*0.05)</f>
        <v>127761.21</v>
      </c>
    </row>
    <row r="94" spans="1:15" x14ac:dyDescent="0.3">
      <c r="A94" s="1" t="s">
        <v>325</v>
      </c>
      <c r="B94" s="1" t="s">
        <v>49</v>
      </c>
      <c r="C94" s="1" t="s">
        <v>78</v>
      </c>
      <c r="D94" s="1" t="s">
        <v>15</v>
      </c>
      <c r="E94" s="1">
        <v>44</v>
      </c>
      <c r="F94" s="1" t="s">
        <v>50</v>
      </c>
      <c r="G94" s="1" t="s">
        <v>32</v>
      </c>
      <c r="H94" s="1" t="s">
        <v>326</v>
      </c>
      <c r="I94" s="1">
        <v>54883</v>
      </c>
      <c r="J94" s="1" t="s">
        <v>34</v>
      </c>
      <c r="K94" s="1" t="s">
        <v>327</v>
      </c>
      <c r="L94" s="1" t="s">
        <v>36</v>
      </c>
      <c r="M94" s="1" t="str">
        <f>_xlfn.XLOOKUP(Sheet1!F94,Departments!$A$2:$A$6,Departments!$B$2:$B$6)</f>
        <v>Finance</v>
      </c>
      <c r="N94" s="1">
        <f>_xlfn.XLOOKUP(A94,Performance!$A$2:$A$501,Performance!$C$2:$C$501)</f>
        <v>2</v>
      </c>
      <c r="O94" s="1" cm="1">
        <f t="array" ref="O94">_xlfn.IFS(N94=5,I94+0.15*I94,N94=4,I94+I94*0.1,N94=3,I94+I94*0.07,N94&lt;3,I94+I94*0.05)</f>
        <v>57627.15</v>
      </c>
    </row>
    <row r="95" spans="1:15" x14ac:dyDescent="0.3">
      <c r="A95" s="1" t="s">
        <v>328</v>
      </c>
      <c r="B95" s="1" t="s">
        <v>49</v>
      </c>
      <c r="C95" s="1" t="s">
        <v>78</v>
      </c>
      <c r="D95" s="1" t="s">
        <v>15</v>
      </c>
      <c r="E95" s="1">
        <v>44</v>
      </c>
      <c r="F95" s="1" t="s">
        <v>16</v>
      </c>
      <c r="G95" s="1" t="s">
        <v>32</v>
      </c>
      <c r="H95" s="1" t="s">
        <v>329</v>
      </c>
      <c r="I95" s="1">
        <v>83855</v>
      </c>
      <c r="J95" s="1" t="s">
        <v>34</v>
      </c>
      <c r="K95" s="1" t="s">
        <v>330</v>
      </c>
      <c r="L95" s="1" t="s">
        <v>36</v>
      </c>
      <c r="M95" s="1" t="str">
        <f>_xlfn.XLOOKUP(Sheet1!F95,Departments!$A$2:$A$6,Departments!$B$2:$B$6)</f>
        <v>HR</v>
      </c>
      <c r="N95" s="1">
        <f>_xlfn.XLOOKUP(A95,Performance!$A$2:$A$501,Performance!$C$2:$C$501)</f>
        <v>1</v>
      </c>
      <c r="O95" s="1" cm="1">
        <f t="array" ref="O95">_xlfn.IFS(N95=5,I95+0.15*I95,N95=4,I95+I95*0.1,N95=3,I95+I95*0.07,N95&lt;3,I95+I95*0.05)</f>
        <v>88047.75</v>
      </c>
    </row>
    <row r="96" spans="1:15" x14ac:dyDescent="0.3">
      <c r="A96" s="1" t="s">
        <v>331</v>
      </c>
      <c r="B96" s="1" t="s">
        <v>94</v>
      </c>
      <c r="C96" s="1" t="s">
        <v>63</v>
      </c>
      <c r="D96" s="1" t="s">
        <v>24</v>
      </c>
      <c r="E96" s="1">
        <v>53</v>
      </c>
      <c r="F96" s="1" t="s">
        <v>31</v>
      </c>
      <c r="G96" s="1" t="s">
        <v>40</v>
      </c>
      <c r="H96" s="1" t="s">
        <v>332</v>
      </c>
      <c r="I96" s="1">
        <v>43725</v>
      </c>
      <c r="J96" s="1" t="s">
        <v>65</v>
      </c>
      <c r="K96" s="1" t="s">
        <v>333</v>
      </c>
      <c r="L96" s="1" t="s">
        <v>21</v>
      </c>
      <c r="M96" s="1" t="str">
        <f>_xlfn.XLOOKUP(Sheet1!F96,Departments!$A$2:$A$6,Departments!$B$2:$B$6)</f>
        <v>Sales</v>
      </c>
      <c r="N96" s="1">
        <f>_xlfn.XLOOKUP(A96,Performance!$A$2:$A$501,Performance!$C$2:$C$501)</f>
        <v>2</v>
      </c>
      <c r="O96" s="1" cm="1">
        <f t="array" ref="O96">_xlfn.IFS(N96=5,I96+0.15*I96,N96=4,I96+I96*0.1,N96=3,I96+I96*0.07,N96&lt;3,I96+I96*0.05)</f>
        <v>45911.25</v>
      </c>
    </row>
    <row r="97" spans="1:15" x14ac:dyDescent="0.3">
      <c r="A97" s="1" t="s">
        <v>334</v>
      </c>
      <c r="B97" s="1" t="s">
        <v>54</v>
      </c>
      <c r="C97" s="1" t="s">
        <v>45</v>
      </c>
      <c r="D97" s="1" t="s">
        <v>15</v>
      </c>
      <c r="E97" s="1">
        <v>24</v>
      </c>
      <c r="F97" s="1" t="s">
        <v>31</v>
      </c>
      <c r="G97" s="1" t="s">
        <v>40</v>
      </c>
      <c r="H97" s="1" t="s">
        <v>335</v>
      </c>
      <c r="I97" s="1">
        <v>104506</v>
      </c>
      <c r="J97" s="1" t="s">
        <v>65</v>
      </c>
      <c r="K97" s="1" t="s">
        <v>336</v>
      </c>
      <c r="L97" s="1" t="s">
        <v>21</v>
      </c>
      <c r="M97" s="1" t="str">
        <f>_xlfn.XLOOKUP(Sheet1!F97,Departments!$A$2:$A$6,Departments!$B$2:$B$6)</f>
        <v>Sales</v>
      </c>
      <c r="N97" s="1">
        <f>_xlfn.XLOOKUP(A97,Performance!$A$2:$A$501,Performance!$C$2:$C$501)</f>
        <v>4</v>
      </c>
      <c r="O97" s="1" cm="1">
        <f t="array" ref="O97">_xlfn.IFS(N97=5,I97+0.15*I97,N97=4,I97+I97*0.1,N97=3,I97+I97*0.07,N97&lt;3,I97+I97*0.05)</f>
        <v>114956.6</v>
      </c>
    </row>
    <row r="98" spans="1:15" x14ac:dyDescent="0.3">
      <c r="A98" s="1" t="s">
        <v>337</v>
      </c>
      <c r="B98" s="1" t="s">
        <v>38</v>
      </c>
      <c r="C98" s="1" t="s">
        <v>90</v>
      </c>
      <c r="D98" s="1" t="s">
        <v>15</v>
      </c>
      <c r="E98" s="1">
        <v>45</v>
      </c>
      <c r="F98" s="1" t="s">
        <v>25</v>
      </c>
      <c r="G98" s="1" t="s">
        <v>40</v>
      </c>
      <c r="H98" s="1" t="s">
        <v>338</v>
      </c>
      <c r="I98" s="1">
        <v>36873</v>
      </c>
      <c r="J98" s="1" t="s">
        <v>65</v>
      </c>
      <c r="K98" s="1" t="s">
        <v>339</v>
      </c>
      <c r="L98" s="1" t="s">
        <v>36</v>
      </c>
      <c r="M98" s="1" t="str">
        <f>_xlfn.XLOOKUP(Sheet1!F98,Departments!$A$2:$A$6,Departments!$B$2:$B$6)</f>
        <v>IT</v>
      </c>
      <c r="N98" s="1">
        <f>_xlfn.XLOOKUP(A98,Performance!$A$2:$A$501,Performance!$C$2:$C$501)</f>
        <v>2</v>
      </c>
      <c r="O98" s="1" cm="1">
        <f t="array" ref="O98">_xlfn.IFS(N98=5,I98+0.15*I98,N98=4,I98+I98*0.1,N98=3,I98+I98*0.07,N98&lt;3,I98+I98*0.05)</f>
        <v>38716.65</v>
      </c>
    </row>
    <row r="99" spans="1:15" x14ac:dyDescent="0.3">
      <c r="A99" s="1" t="s">
        <v>340</v>
      </c>
      <c r="B99" s="1" t="s">
        <v>13</v>
      </c>
      <c r="C99" s="1" t="s">
        <v>90</v>
      </c>
      <c r="D99" s="1" t="s">
        <v>24</v>
      </c>
      <c r="E99" s="1">
        <v>25</v>
      </c>
      <c r="F99" s="1" t="s">
        <v>39</v>
      </c>
      <c r="G99" s="1" t="s">
        <v>40</v>
      </c>
      <c r="H99" s="1" t="s">
        <v>341</v>
      </c>
      <c r="I99" s="1">
        <v>50051</v>
      </c>
      <c r="J99" s="1" t="s">
        <v>19</v>
      </c>
      <c r="K99" s="1" t="s">
        <v>342</v>
      </c>
      <c r="L99" s="1" t="s">
        <v>21</v>
      </c>
      <c r="M99" s="1" t="str">
        <f>_xlfn.XLOOKUP(Sheet1!F99,Departments!$A$2:$A$6,Departments!$B$2:$B$6)</f>
        <v>Marketing</v>
      </c>
      <c r="N99" s="1">
        <f>_xlfn.XLOOKUP(A99,Performance!$A$2:$A$501,Performance!$C$2:$C$501)</f>
        <v>2</v>
      </c>
      <c r="O99" s="1" cm="1">
        <f t="array" ref="O99">_xlfn.IFS(N99=5,I99+0.15*I99,N99=4,I99+I99*0.1,N99=3,I99+I99*0.07,N99&lt;3,I99+I99*0.05)</f>
        <v>52553.55</v>
      </c>
    </row>
    <row r="100" spans="1:15" x14ac:dyDescent="0.3">
      <c r="A100" s="1" t="s">
        <v>343</v>
      </c>
      <c r="B100" s="1" t="s">
        <v>38</v>
      </c>
      <c r="C100" s="1" t="s">
        <v>78</v>
      </c>
      <c r="D100" s="1" t="s">
        <v>24</v>
      </c>
      <c r="E100" s="1">
        <v>42</v>
      </c>
      <c r="F100" s="1" t="s">
        <v>31</v>
      </c>
      <c r="G100" s="1" t="s">
        <v>40</v>
      </c>
      <c r="H100" s="1" t="s">
        <v>344</v>
      </c>
      <c r="I100" s="1">
        <v>42571</v>
      </c>
      <c r="J100" s="1" t="s">
        <v>34</v>
      </c>
      <c r="K100" s="1" t="s">
        <v>345</v>
      </c>
      <c r="L100" s="1" t="s">
        <v>36</v>
      </c>
      <c r="M100" s="1" t="str">
        <f>_xlfn.XLOOKUP(Sheet1!F100,Departments!$A$2:$A$6,Departments!$B$2:$B$6)</f>
        <v>Sales</v>
      </c>
      <c r="N100" s="1">
        <f>_xlfn.XLOOKUP(A100,Performance!$A$2:$A$501,Performance!$C$2:$C$501)</f>
        <v>4</v>
      </c>
      <c r="O100" s="1" cm="1">
        <f t="array" ref="O100">_xlfn.IFS(N100=5,I100+0.15*I100,N100=4,I100+I100*0.1,N100=3,I100+I100*0.07,N100&lt;3,I100+I100*0.05)</f>
        <v>46828.1</v>
      </c>
    </row>
    <row r="101" spans="1:15" x14ac:dyDescent="0.3">
      <c r="A101" s="1" t="s">
        <v>346</v>
      </c>
      <c r="B101" s="1" t="s">
        <v>38</v>
      </c>
      <c r="C101" s="1" t="s">
        <v>23</v>
      </c>
      <c r="D101" s="1" t="s">
        <v>24</v>
      </c>
      <c r="E101" s="1">
        <v>60</v>
      </c>
      <c r="F101" s="1" t="s">
        <v>50</v>
      </c>
      <c r="G101" s="1" t="s">
        <v>17</v>
      </c>
      <c r="H101" s="1" t="s">
        <v>347</v>
      </c>
      <c r="I101" s="1">
        <v>60616</v>
      </c>
      <c r="J101" s="1" t="s">
        <v>80</v>
      </c>
      <c r="K101" s="1" t="s">
        <v>348</v>
      </c>
      <c r="L101" s="1" t="s">
        <v>36</v>
      </c>
      <c r="M101" s="1" t="str">
        <f>_xlfn.XLOOKUP(Sheet1!F101,Departments!$A$2:$A$6,Departments!$B$2:$B$6)</f>
        <v>Finance</v>
      </c>
      <c r="N101" s="1">
        <f>_xlfn.XLOOKUP(A101,Performance!$A$2:$A$501,Performance!$C$2:$C$501)</f>
        <v>1</v>
      </c>
      <c r="O101" s="1" cm="1">
        <f t="array" ref="O101">_xlfn.IFS(N101=5,I101+0.15*I101,N101=4,I101+I101*0.1,N101=3,I101+I101*0.07,N101&lt;3,I101+I101*0.05)</f>
        <v>63646.8</v>
      </c>
    </row>
    <row r="102" spans="1:15" x14ac:dyDescent="0.3">
      <c r="A102" s="1" t="s">
        <v>349</v>
      </c>
      <c r="B102" s="1" t="s">
        <v>44</v>
      </c>
      <c r="C102" s="1" t="s">
        <v>95</v>
      </c>
      <c r="D102" s="1" t="s">
        <v>24</v>
      </c>
      <c r="E102" s="1">
        <v>57</v>
      </c>
      <c r="F102" s="1" t="s">
        <v>25</v>
      </c>
      <c r="G102" s="1" t="s">
        <v>32</v>
      </c>
      <c r="H102" s="1" t="s">
        <v>350</v>
      </c>
      <c r="I102" s="1">
        <v>75929</v>
      </c>
      <c r="J102" s="1" t="s">
        <v>19</v>
      </c>
      <c r="K102" s="1" t="s">
        <v>351</v>
      </c>
      <c r="L102" s="1" t="s">
        <v>36</v>
      </c>
      <c r="M102" s="1" t="str">
        <f>_xlfn.XLOOKUP(Sheet1!F102,Departments!$A$2:$A$6,Departments!$B$2:$B$6)</f>
        <v>IT</v>
      </c>
      <c r="N102" s="1">
        <f>_xlfn.XLOOKUP(A102,Performance!$A$2:$A$501,Performance!$C$2:$C$501)</f>
        <v>5</v>
      </c>
      <c r="O102" s="1" cm="1">
        <f t="array" ref="O102">_xlfn.IFS(N102=5,I102+0.15*I102,N102=4,I102+I102*0.1,N102=3,I102+I102*0.07,N102&lt;3,I102+I102*0.05)</f>
        <v>87318.35</v>
      </c>
    </row>
    <row r="103" spans="1:15" x14ac:dyDescent="0.3">
      <c r="A103" s="1" t="s">
        <v>352</v>
      </c>
      <c r="B103" s="1" t="s">
        <v>71</v>
      </c>
      <c r="C103" s="1" t="s">
        <v>83</v>
      </c>
      <c r="D103" s="1" t="s">
        <v>24</v>
      </c>
      <c r="E103" s="1">
        <v>43</v>
      </c>
      <c r="F103" s="1" t="s">
        <v>50</v>
      </c>
      <c r="G103" s="1" t="s">
        <v>108</v>
      </c>
      <c r="H103" s="1" t="s">
        <v>353</v>
      </c>
      <c r="I103" s="1">
        <v>106165</v>
      </c>
      <c r="J103" s="1" t="s">
        <v>80</v>
      </c>
      <c r="K103" s="1" t="s">
        <v>354</v>
      </c>
      <c r="L103" s="1" t="s">
        <v>36</v>
      </c>
      <c r="M103" s="1" t="str">
        <f>_xlfn.XLOOKUP(Sheet1!F103,Departments!$A$2:$A$6,Departments!$B$2:$B$6)</f>
        <v>Finance</v>
      </c>
      <c r="N103" s="1">
        <f>_xlfn.XLOOKUP(A103,Performance!$A$2:$A$501,Performance!$C$2:$C$501)</f>
        <v>5</v>
      </c>
      <c r="O103" s="1" cm="1">
        <f t="array" ref="O103">_xlfn.IFS(N103=5,I103+0.15*I103,N103=4,I103+I103*0.1,N103=3,I103+I103*0.07,N103&lt;3,I103+I103*0.05)</f>
        <v>122089.75</v>
      </c>
    </row>
    <row r="104" spans="1:15" x14ac:dyDescent="0.3">
      <c r="A104" s="1" t="s">
        <v>355</v>
      </c>
      <c r="B104" s="1" t="s">
        <v>49</v>
      </c>
      <c r="C104" s="1" t="s">
        <v>23</v>
      </c>
      <c r="D104" s="1" t="s">
        <v>24</v>
      </c>
      <c r="E104" s="1">
        <v>23</v>
      </c>
      <c r="F104" s="1" t="s">
        <v>50</v>
      </c>
      <c r="G104" s="1" t="s">
        <v>26</v>
      </c>
      <c r="H104" s="1" t="s">
        <v>356</v>
      </c>
      <c r="I104" s="1">
        <v>44946</v>
      </c>
      <c r="J104" s="1" t="s">
        <v>60</v>
      </c>
      <c r="K104" s="1" t="s">
        <v>357</v>
      </c>
      <c r="L104" s="1" t="s">
        <v>36</v>
      </c>
      <c r="M104" s="1" t="str">
        <f>_xlfn.XLOOKUP(Sheet1!F104,Departments!$A$2:$A$6,Departments!$B$2:$B$6)</f>
        <v>Finance</v>
      </c>
      <c r="N104" s="1">
        <f>_xlfn.XLOOKUP(A104,Performance!$A$2:$A$501,Performance!$C$2:$C$501)</f>
        <v>5</v>
      </c>
      <c r="O104" s="1" cm="1">
        <f t="array" ref="O104">_xlfn.IFS(N104=5,I104+0.15*I104,N104=4,I104+I104*0.1,N104=3,I104+I104*0.07,N104&lt;3,I104+I104*0.05)</f>
        <v>51687.9</v>
      </c>
    </row>
    <row r="105" spans="1:15" x14ac:dyDescent="0.3">
      <c r="A105" s="1" t="s">
        <v>358</v>
      </c>
      <c r="B105" s="1" t="s">
        <v>30</v>
      </c>
      <c r="C105" s="1" t="s">
        <v>90</v>
      </c>
      <c r="D105" s="1" t="s">
        <v>15</v>
      </c>
      <c r="E105" s="1">
        <v>32</v>
      </c>
      <c r="F105" s="1" t="s">
        <v>16</v>
      </c>
      <c r="G105" s="1" t="s">
        <v>26</v>
      </c>
      <c r="H105" s="1" t="s">
        <v>359</v>
      </c>
      <c r="I105" s="1">
        <v>64572</v>
      </c>
      <c r="J105" s="1" t="s">
        <v>80</v>
      </c>
      <c r="K105" s="1" t="s">
        <v>360</v>
      </c>
      <c r="L105" s="1" t="s">
        <v>21</v>
      </c>
      <c r="M105" s="1" t="str">
        <f>_xlfn.XLOOKUP(Sheet1!F105,Departments!$A$2:$A$6,Departments!$B$2:$B$6)</f>
        <v>HR</v>
      </c>
      <c r="N105" s="1">
        <f>_xlfn.XLOOKUP(A105,Performance!$A$2:$A$501,Performance!$C$2:$C$501)</f>
        <v>3</v>
      </c>
      <c r="O105" s="1" cm="1">
        <f t="array" ref="O105">_xlfn.IFS(N105=5,I105+0.15*I105,N105=4,I105+I105*0.1,N105=3,I105+I105*0.07,N105&lt;3,I105+I105*0.05)</f>
        <v>69092.040000000008</v>
      </c>
    </row>
    <row r="106" spans="1:15" x14ac:dyDescent="0.3">
      <c r="A106" s="1" t="s">
        <v>361</v>
      </c>
      <c r="B106" s="1" t="s">
        <v>94</v>
      </c>
      <c r="C106" s="1" t="s">
        <v>14</v>
      </c>
      <c r="D106" s="1" t="s">
        <v>24</v>
      </c>
      <c r="E106" s="1">
        <v>56</v>
      </c>
      <c r="F106" s="1" t="s">
        <v>16</v>
      </c>
      <c r="G106" s="1" t="s">
        <v>40</v>
      </c>
      <c r="H106" s="1" t="s">
        <v>362</v>
      </c>
      <c r="I106" s="1">
        <v>74825</v>
      </c>
      <c r="J106" s="1" t="s">
        <v>80</v>
      </c>
      <c r="K106" s="1" t="s">
        <v>363</v>
      </c>
      <c r="L106" s="1" t="s">
        <v>21</v>
      </c>
      <c r="M106" s="1" t="str">
        <f>_xlfn.XLOOKUP(Sheet1!F106,Departments!$A$2:$A$6,Departments!$B$2:$B$6)</f>
        <v>HR</v>
      </c>
      <c r="N106" s="1">
        <f>_xlfn.XLOOKUP(A106,Performance!$A$2:$A$501,Performance!$C$2:$C$501)</f>
        <v>3</v>
      </c>
      <c r="O106" s="1" cm="1">
        <f t="array" ref="O106">_xlfn.IFS(N106=5,I106+0.15*I106,N106=4,I106+I106*0.1,N106=3,I106+I106*0.07,N106&lt;3,I106+I106*0.05)</f>
        <v>80062.75</v>
      </c>
    </row>
    <row r="107" spans="1:15" x14ac:dyDescent="0.3">
      <c r="A107" s="1" t="s">
        <v>364</v>
      </c>
      <c r="B107" s="1" t="s">
        <v>143</v>
      </c>
      <c r="C107" s="1" t="s">
        <v>45</v>
      </c>
      <c r="D107" s="1" t="s">
        <v>24</v>
      </c>
      <c r="E107" s="1">
        <v>27</v>
      </c>
      <c r="F107" s="1" t="s">
        <v>50</v>
      </c>
      <c r="G107" s="1" t="s">
        <v>17</v>
      </c>
      <c r="H107" s="1" t="s">
        <v>365</v>
      </c>
      <c r="I107" s="1">
        <v>52495</v>
      </c>
      <c r="J107" s="1" t="s">
        <v>65</v>
      </c>
      <c r="K107" s="1" t="s">
        <v>366</v>
      </c>
      <c r="L107" s="1" t="s">
        <v>21</v>
      </c>
      <c r="M107" s="1" t="str">
        <f>_xlfn.XLOOKUP(Sheet1!F107,Departments!$A$2:$A$6,Departments!$B$2:$B$6)</f>
        <v>Finance</v>
      </c>
      <c r="N107" s="1">
        <f>_xlfn.XLOOKUP(A107,Performance!$A$2:$A$501,Performance!$C$2:$C$501)</f>
        <v>5</v>
      </c>
      <c r="O107" s="1" cm="1">
        <f t="array" ref="O107">_xlfn.IFS(N107=5,I107+0.15*I107,N107=4,I107+I107*0.1,N107=3,I107+I107*0.07,N107&lt;3,I107+I107*0.05)</f>
        <v>60369.25</v>
      </c>
    </row>
    <row r="108" spans="1:15" x14ac:dyDescent="0.3">
      <c r="A108" s="1" t="s">
        <v>367</v>
      </c>
      <c r="B108" s="1" t="s">
        <v>143</v>
      </c>
      <c r="C108" s="1" t="s">
        <v>63</v>
      </c>
      <c r="D108" s="1" t="s">
        <v>24</v>
      </c>
      <c r="E108" s="1">
        <v>27</v>
      </c>
      <c r="F108" s="1" t="s">
        <v>31</v>
      </c>
      <c r="G108" s="1" t="s">
        <v>17</v>
      </c>
      <c r="H108" s="1" t="s">
        <v>368</v>
      </c>
      <c r="I108" s="1">
        <v>90958</v>
      </c>
      <c r="J108" s="1" t="s">
        <v>19</v>
      </c>
      <c r="K108" s="1" t="s">
        <v>369</v>
      </c>
      <c r="L108" s="1" t="s">
        <v>36</v>
      </c>
      <c r="M108" s="1" t="str">
        <f>_xlfn.XLOOKUP(Sheet1!F108,Departments!$A$2:$A$6,Departments!$B$2:$B$6)</f>
        <v>Sales</v>
      </c>
      <c r="N108" s="1">
        <f>_xlfn.XLOOKUP(A108,Performance!$A$2:$A$501,Performance!$C$2:$C$501)</f>
        <v>1</v>
      </c>
      <c r="O108" s="1" cm="1">
        <f t="array" ref="O108">_xlfn.IFS(N108=5,I108+0.15*I108,N108=4,I108+I108*0.1,N108=3,I108+I108*0.07,N108&lt;3,I108+I108*0.05)</f>
        <v>95505.9</v>
      </c>
    </row>
    <row r="109" spans="1:15" x14ac:dyDescent="0.3">
      <c r="A109" s="1" t="s">
        <v>370</v>
      </c>
      <c r="B109" s="1" t="s">
        <v>143</v>
      </c>
      <c r="C109" s="1" t="s">
        <v>83</v>
      </c>
      <c r="D109" s="1" t="s">
        <v>15</v>
      </c>
      <c r="E109" s="1">
        <v>58</v>
      </c>
      <c r="F109" s="1" t="s">
        <v>39</v>
      </c>
      <c r="G109" s="1" t="s">
        <v>40</v>
      </c>
      <c r="H109" s="1" t="s">
        <v>371</v>
      </c>
      <c r="I109" s="1">
        <v>51096</v>
      </c>
      <c r="J109" s="1" t="s">
        <v>19</v>
      </c>
      <c r="K109" s="1" t="s">
        <v>372</v>
      </c>
      <c r="L109" s="1" t="s">
        <v>36</v>
      </c>
      <c r="M109" s="1" t="str">
        <f>_xlfn.XLOOKUP(Sheet1!F109,Departments!$A$2:$A$6,Departments!$B$2:$B$6)</f>
        <v>Marketing</v>
      </c>
      <c r="N109" s="1">
        <f>_xlfn.XLOOKUP(A109,Performance!$A$2:$A$501,Performance!$C$2:$C$501)</f>
        <v>1</v>
      </c>
      <c r="O109" s="1" cm="1">
        <f t="array" ref="O109">_xlfn.IFS(N109=5,I109+0.15*I109,N109=4,I109+I109*0.1,N109=3,I109+I109*0.07,N109&lt;3,I109+I109*0.05)</f>
        <v>53650.8</v>
      </c>
    </row>
    <row r="110" spans="1:15" x14ac:dyDescent="0.3">
      <c r="A110" s="1" t="s">
        <v>373</v>
      </c>
      <c r="B110" s="1" t="s">
        <v>58</v>
      </c>
      <c r="C110" s="1" t="s">
        <v>95</v>
      </c>
      <c r="D110" s="1" t="s">
        <v>15</v>
      </c>
      <c r="E110" s="1">
        <v>58</v>
      </c>
      <c r="F110" s="1" t="s">
        <v>50</v>
      </c>
      <c r="G110" s="1" t="s">
        <v>108</v>
      </c>
      <c r="H110" s="1" t="s">
        <v>374</v>
      </c>
      <c r="I110" s="1">
        <v>90458</v>
      </c>
      <c r="J110" s="1" t="s">
        <v>19</v>
      </c>
      <c r="K110" s="1" t="s">
        <v>375</v>
      </c>
      <c r="L110" s="1" t="s">
        <v>21</v>
      </c>
      <c r="M110" s="1" t="str">
        <f>_xlfn.XLOOKUP(Sheet1!F110,Departments!$A$2:$A$6,Departments!$B$2:$B$6)</f>
        <v>Finance</v>
      </c>
      <c r="N110" s="1">
        <f>_xlfn.XLOOKUP(A110,Performance!$A$2:$A$501,Performance!$C$2:$C$501)</f>
        <v>3</v>
      </c>
      <c r="O110" s="1" cm="1">
        <f t="array" ref="O110">_xlfn.IFS(N110=5,I110+0.15*I110,N110=4,I110+I110*0.1,N110=3,I110+I110*0.07,N110&lt;3,I110+I110*0.05)</f>
        <v>96790.06</v>
      </c>
    </row>
    <row r="111" spans="1:15" x14ac:dyDescent="0.3">
      <c r="A111" s="1" t="s">
        <v>376</v>
      </c>
      <c r="B111" s="1" t="s">
        <v>143</v>
      </c>
      <c r="C111" s="1" t="s">
        <v>130</v>
      </c>
      <c r="D111" s="1" t="s">
        <v>24</v>
      </c>
      <c r="E111" s="1">
        <v>39</v>
      </c>
      <c r="F111" s="1" t="s">
        <v>31</v>
      </c>
      <c r="G111" s="1" t="s">
        <v>17</v>
      </c>
      <c r="H111" s="1" t="s">
        <v>377</v>
      </c>
      <c r="I111" s="1">
        <v>67338</v>
      </c>
      <c r="J111" s="1" t="s">
        <v>34</v>
      </c>
      <c r="K111" s="1" t="s">
        <v>378</v>
      </c>
      <c r="L111" s="1" t="s">
        <v>36</v>
      </c>
      <c r="M111" s="1" t="str">
        <f>_xlfn.XLOOKUP(Sheet1!F111,Departments!$A$2:$A$6,Departments!$B$2:$B$6)</f>
        <v>Sales</v>
      </c>
      <c r="N111" s="1">
        <f>_xlfn.XLOOKUP(A111,Performance!$A$2:$A$501,Performance!$C$2:$C$501)</f>
        <v>4</v>
      </c>
      <c r="O111" s="1" cm="1">
        <f t="array" ref="O111">_xlfn.IFS(N111=5,I111+0.15*I111,N111=4,I111+I111*0.1,N111=3,I111+I111*0.07,N111&lt;3,I111+I111*0.05)</f>
        <v>74071.8</v>
      </c>
    </row>
    <row r="112" spans="1:15" x14ac:dyDescent="0.3">
      <c r="A112" s="1" t="s">
        <v>379</v>
      </c>
      <c r="B112" s="1" t="s">
        <v>13</v>
      </c>
      <c r="C112" s="1" t="s">
        <v>14</v>
      </c>
      <c r="D112" s="1" t="s">
        <v>15</v>
      </c>
      <c r="E112" s="1">
        <v>40</v>
      </c>
      <c r="F112" s="1" t="s">
        <v>25</v>
      </c>
      <c r="G112" s="1" t="s">
        <v>40</v>
      </c>
      <c r="H112" s="1" t="s">
        <v>380</v>
      </c>
      <c r="I112" s="1">
        <v>106100</v>
      </c>
      <c r="J112" s="1" t="s">
        <v>34</v>
      </c>
      <c r="K112" s="1" t="s">
        <v>381</v>
      </c>
      <c r="L112" s="1" t="s">
        <v>36</v>
      </c>
      <c r="M112" s="1" t="str">
        <f>_xlfn.XLOOKUP(Sheet1!F112,Departments!$A$2:$A$6,Departments!$B$2:$B$6)</f>
        <v>IT</v>
      </c>
      <c r="N112" s="1">
        <f>_xlfn.XLOOKUP(A112,Performance!$A$2:$A$501,Performance!$C$2:$C$501)</f>
        <v>5</v>
      </c>
      <c r="O112" s="1" cm="1">
        <f t="array" ref="O112">_xlfn.IFS(N112=5,I112+0.15*I112,N112=4,I112+I112*0.1,N112=3,I112+I112*0.07,N112&lt;3,I112+I112*0.05)</f>
        <v>122015</v>
      </c>
    </row>
    <row r="113" spans="1:15" x14ac:dyDescent="0.3">
      <c r="A113" s="1" t="s">
        <v>382</v>
      </c>
      <c r="B113" s="1" t="s">
        <v>13</v>
      </c>
      <c r="C113" s="1" t="s">
        <v>78</v>
      </c>
      <c r="D113" s="1" t="s">
        <v>24</v>
      </c>
      <c r="E113" s="1">
        <v>45</v>
      </c>
      <c r="F113" s="1" t="s">
        <v>16</v>
      </c>
      <c r="G113" s="1" t="s">
        <v>17</v>
      </c>
      <c r="H113" s="1" t="s">
        <v>383</v>
      </c>
      <c r="I113" s="1">
        <v>62840</v>
      </c>
      <c r="J113" s="1" t="s">
        <v>60</v>
      </c>
      <c r="K113" s="1" t="s">
        <v>384</v>
      </c>
      <c r="L113" s="1" t="s">
        <v>36</v>
      </c>
      <c r="M113" s="1" t="str">
        <f>_xlfn.XLOOKUP(Sheet1!F113,Departments!$A$2:$A$6,Departments!$B$2:$B$6)</f>
        <v>HR</v>
      </c>
      <c r="N113" s="1">
        <f>_xlfn.XLOOKUP(A113,Performance!$A$2:$A$501,Performance!$C$2:$C$501)</f>
        <v>2</v>
      </c>
      <c r="O113" s="1" cm="1">
        <f t="array" ref="O113">_xlfn.IFS(N113=5,I113+0.15*I113,N113=4,I113+I113*0.1,N113=3,I113+I113*0.07,N113&lt;3,I113+I113*0.05)</f>
        <v>65982</v>
      </c>
    </row>
    <row r="114" spans="1:15" x14ac:dyDescent="0.3">
      <c r="A114" s="1" t="s">
        <v>385</v>
      </c>
      <c r="B114" s="1" t="s">
        <v>71</v>
      </c>
      <c r="C114" s="1" t="s">
        <v>130</v>
      </c>
      <c r="D114" s="1" t="s">
        <v>24</v>
      </c>
      <c r="E114" s="1">
        <v>48</v>
      </c>
      <c r="F114" s="1" t="s">
        <v>16</v>
      </c>
      <c r="G114" s="1" t="s">
        <v>32</v>
      </c>
      <c r="H114" s="1" t="s">
        <v>386</v>
      </c>
      <c r="I114" s="1">
        <v>69569</v>
      </c>
      <c r="J114" s="1" t="s">
        <v>34</v>
      </c>
      <c r="K114" s="1" t="s">
        <v>387</v>
      </c>
      <c r="L114" s="1" t="s">
        <v>36</v>
      </c>
      <c r="M114" s="1" t="str">
        <f>_xlfn.XLOOKUP(Sheet1!F114,Departments!$A$2:$A$6,Departments!$B$2:$B$6)</f>
        <v>HR</v>
      </c>
      <c r="N114" s="1">
        <f>_xlfn.XLOOKUP(A114,Performance!$A$2:$A$501,Performance!$C$2:$C$501)</f>
        <v>5</v>
      </c>
      <c r="O114" s="1" cm="1">
        <f t="array" ref="O114">_xlfn.IFS(N114=5,I114+0.15*I114,N114=4,I114+I114*0.1,N114=3,I114+I114*0.07,N114&lt;3,I114+I114*0.05)</f>
        <v>80004.350000000006</v>
      </c>
    </row>
    <row r="115" spans="1:15" x14ac:dyDescent="0.3">
      <c r="A115" s="1" t="s">
        <v>388</v>
      </c>
      <c r="B115" s="1" t="s">
        <v>38</v>
      </c>
      <c r="C115" s="1" t="s">
        <v>95</v>
      </c>
      <c r="D115" s="1" t="s">
        <v>15</v>
      </c>
      <c r="E115" s="1">
        <v>23</v>
      </c>
      <c r="F115" s="1" t="s">
        <v>31</v>
      </c>
      <c r="G115" s="1" t="s">
        <v>17</v>
      </c>
      <c r="H115" s="1" t="s">
        <v>389</v>
      </c>
      <c r="I115" s="1">
        <v>109099</v>
      </c>
      <c r="J115" s="1" t="s">
        <v>80</v>
      </c>
      <c r="K115" s="1" t="s">
        <v>390</v>
      </c>
      <c r="L115" s="1" t="s">
        <v>21</v>
      </c>
      <c r="M115" s="1" t="str">
        <f>_xlfn.XLOOKUP(Sheet1!F115,Departments!$A$2:$A$6,Departments!$B$2:$B$6)</f>
        <v>Sales</v>
      </c>
      <c r="N115" s="1">
        <f>_xlfn.XLOOKUP(A115,Performance!$A$2:$A$501,Performance!$C$2:$C$501)</f>
        <v>3</v>
      </c>
      <c r="O115" s="1" cm="1">
        <f t="array" ref="O115">_xlfn.IFS(N115=5,I115+0.15*I115,N115=4,I115+I115*0.1,N115=3,I115+I115*0.07,N115&lt;3,I115+I115*0.05)</f>
        <v>116735.93</v>
      </c>
    </row>
    <row r="116" spans="1:15" x14ac:dyDescent="0.3">
      <c r="A116" s="1" t="s">
        <v>391</v>
      </c>
      <c r="B116" s="1" t="s">
        <v>54</v>
      </c>
      <c r="C116" s="1" t="s">
        <v>23</v>
      </c>
      <c r="D116" s="1" t="s">
        <v>15</v>
      </c>
      <c r="E116" s="1">
        <v>30</v>
      </c>
      <c r="F116" s="1" t="s">
        <v>25</v>
      </c>
      <c r="G116" s="1" t="s">
        <v>40</v>
      </c>
      <c r="H116" s="1" t="s">
        <v>392</v>
      </c>
      <c r="I116" s="1">
        <v>74368</v>
      </c>
      <c r="J116" s="1" t="s">
        <v>60</v>
      </c>
      <c r="K116" s="1" t="s">
        <v>393</v>
      </c>
      <c r="L116" s="1" t="s">
        <v>36</v>
      </c>
      <c r="M116" s="1" t="str">
        <f>_xlfn.XLOOKUP(Sheet1!F116,Departments!$A$2:$A$6,Departments!$B$2:$B$6)</f>
        <v>IT</v>
      </c>
      <c r="N116" s="1">
        <f>_xlfn.XLOOKUP(A116,Performance!$A$2:$A$501,Performance!$C$2:$C$501)</f>
        <v>1</v>
      </c>
      <c r="O116" s="1" cm="1">
        <f t="array" ref="O116">_xlfn.IFS(N116=5,I116+0.15*I116,N116=4,I116+I116*0.1,N116=3,I116+I116*0.07,N116&lt;3,I116+I116*0.05)</f>
        <v>78086.399999999994</v>
      </c>
    </row>
    <row r="117" spans="1:15" x14ac:dyDescent="0.3">
      <c r="A117" s="1" t="s">
        <v>394</v>
      </c>
      <c r="B117" s="1" t="s">
        <v>30</v>
      </c>
      <c r="C117" s="1" t="s">
        <v>130</v>
      </c>
      <c r="D117" s="1" t="s">
        <v>24</v>
      </c>
      <c r="E117" s="1">
        <v>58</v>
      </c>
      <c r="F117" s="1" t="s">
        <v>39</v>
      </c>
      <c r="G117" s="1" t="s">
        <v>32</v>
      </c>
      <c r="H117" s="1" t="s">
        <v>395</v>
      </c>
      <c r="I117" s="1">
        <v>111621</v>
      </c>
      <c r="J117" s="1" t="s">
        <v>60</v>
      </c>
      <c r="K117" s="1" t="s">
        <v>396</v>
      </c>
      <c r="L117" s="1" t="s">
        <v>21</v>
      </c>
      <c r="M117" s="1" t="str">
        <f>_xlfn.XLOOKUP(Sheet1!F117,Departments!$A$2:$A$6,Departments!$B$2:$B$6)</f>
        <v>Marketing</v>
      </c>
      <c r="N117" s="1">
        <f>_xlfn.XLOOKUP(A117,Performance!$A$2:$A$501,Performance!$C$2:$C$501)</f>
        <v>5</v>
      </c>
      <c r="O117" s="1" cm="1">
        <f t="array" ref="O117">_xlfn.IFS(N117=5,I117+0.15*I117,N117=4,I117+I117*0.1,N117=3,I117+I117*0.07,N117&lt;3,I117+I117*0.05)</f>
        <v>128364.15</v>
      </c>
    </row>
    <row r="118" spans="1:15" x14ac:dyDescent="0.3">
      <c r="A118" s="1" t="s">
        <v>397</v>
      </c>
      <c r="B118" s="1" t="s">
        <v>143</v>
      </c>
      <c r="C118" s="1" t="s">
        <v>83</v>
      </c>
      <c r="D118" s="1" t="s">
        <v>15</v>
      </c>
      <c r="E118" s="1">
        <v>32</v>
      </c>
      <c r="F118" s="1" t="s">
        <v>50</v>
      </c>
      <c r="G118" s="1" t="s">
        <v>32</v>
      </c>
      <c r="H118" s="1" t="s">
        <v>338</v>
      </c>
      <c r="I118" s="1">
        <v>82446</v>
      </c>
      <c r="J118" s="1" t="s">
        <v>65</v>
      </c>
      <c r="K118" s="1" t="s">
        <v>398</v>
      </c>
      <c r="L118" s="1" t="s">
        <v>21</v>
      </c>
      <c r="M118" s="1" t="str">
        <f>_xlfn.XLOOKUP(Sheet1!F118,Departments!$A$2:$A$6,Departments!$B$2:$B$6)</f>
        <v>Finance</v>
      </c>
      <c r="N118" s="1">
        <f>_xlfn.XLOOKUP(A118,Performance!$A$2:$A$501,Performance!$C$2:$C$501)</f>
        <v>1</v>
      </c>
      <c r="O118" s="1" cm="1">
        <f t="array" ref="O118">_xlfn.IFS(N118=5,I118+0.15*I118,N118=4,I118+I118*0.1,N118=3,I118+I118*0.07,N118&lt;3,I118+I118*0.05)</f>
        <v>86568.3</v>
      </c>
    </row>
    <row r="119" spans="1:15" x14ac:dyDescent="0.3">
      <c r="A119" s="1" t="s">
        <v>399</v>
      </c>
      <c r="B119" s="1" t="s">
        <v>143</v>
      </c>
      <c r="C119" s="1" t="s">
        <v>78</v>
      </c>
      <c r="D119" s="1" t="s">
        <v>24</v>
      </c>
      <c r="E119" s="1">
        <v>24</v>
      </c>
      <c r="F119" s="1" t="s">
        <v>31</v>
      </c>
      <c r="G119" s="1" t="s">
        <v>17</v>
      </c>
      <c r="H119" s="1" t="s">
        <v>400</v>
      </c>
      <c r="I119" s="1">
        <v>99200</v>
      </c>
      <c r="J119" s="1" t="s">
        <v>19</v>
      </c>
      <c r="K119" s="1" t="s">
        <v>401</v>
      </c>
      <c r="L119" s="1" t="s">
        <v>36</v>
      </c>
      <c r="M119" s="1" t="str">
        <f>_xlfn.XLOOKUP(Sheet1!F119,Departments!$A$2:$A$6,Departments!$B$2:$B$6)</f>
        <v>Sales</v>
      </c>
      <c r="N119" s="1">
        <f>_xlfn.XLOOKUP(A119,Performance!$A$2:$A$501,Performance!$C$2:$C$501)</f>
        <v>5</v>
      </c>
      <c r="O119" s="1" cm="1">
        <f t="array" ref="O119">_xlfn.IFS(N119=5,I119+0.15*I119,N119=4,I119+I119*0.1,N119=3,I119+I119*0.07,N119&lt;3,I119+I119*0.05)</f>
        <v>114080</v>
      </c>
    </row>
    <row r="120" spans="1:15" x14ac:dyDescent="0.3">
      <c r="A120" s="1" t="s">
        <v>402</v>
      </c>
      <c r="B120" s="1" t="s">
        <v>44</v>
      </c>
      <c r="C120" s="1" t="s">
        <v>95</v>
      </c>
      <c r="D120" s="1" t="s">
        <v>24</v>
      </c>
      <c r="E120" s="1">
        <v>36</v>
      </c>
      <c r="F120" s="1" t="s">
        <v>50</v>
      </c>
      <c r="G120" s="1" t="s">
        <v>26</v>
      </c>
      <c r="H120" s="1" t="s">
        <v>403</v>
      </c>
      <c r="I120" s="1">
        <v>56294</v>
      </c>
      <c r="J120" s="1" t="s">
        <v>60</v>
      </c>
      <c r="K120" s="1" t="s">
        <v>404</v>
      </c>
      <c r="L120" s="1" t="s">
        <v>36</v>
      </c>
      <c r="M120" s="1" t="str">
        <f>_xlfn.XLOOKUP(Sheet1!F120,Departments!$A$2:$A$6,Departments!$B$2:$B$6)</f>
        <v>Finance</v>
      </c>
      <c r="N120" s="1">
        <f>_xlfn.XLOOKUP(A120,Performance!$A$2:$A$501,Performance!$C$2:$C$501)</f>
        <v>2</v>
      </c>
      <c r="O120" s="1" cm="1">
        <f t="array" ref="O120">_xlfn.IFS(N120=5,I120+0.15*I120,N120=4,I120+I120*0.1,N120=3,I120+I120*0.07,N120&lt;3,I120+I120*0.05)</f>
        <v>59108.7</v>
      </c>
    </row>
    <row r="121" spans="1:15" x14ac:dyDescent="0.3">
      <c r="A121" s="1" t="s">
        <v>405</v>
      </c>
      <c r="B121" s="1" t="s">
        <v>44</v>
      </c>
      <c r="C121" s="1" t="s">
        <v>165</v>
      </c>
      <c r="D121" s="1" t="s">
        <v>15</v>
      </c>
      <c r="E121" s="1">
        <v>32</v>
      </c>
      <c r="F121" s="1" t="s">
        <v>50</v>
      </c>
      <c r="G121" s="1" t="s">
        <v>40</v>
      </c>
      <c r="H121" s="1" t="s">
        <v>406</v>
      </c>
      <c r="I121" s="1">
        <v>112759</v>
      </c>
      <c r="J121" s="1" t="s">
        <v>80</v>
      </c>
      <c r="K121" s="1" t="s">
        <v>407</v>
      </c>
      <c r="L121" s="1" t="s">
        <v>36</v>
      </c>
      <c r="M121" s="1" t="str">
        <f>_xlfn.XLOOKUP(Sheet1!F121,Departments!$A$2:$A$6,Departments!$B$2:$B$6)</f>
        <v>Finance</v>
      </c>
      <c r="N121" s="1">
        <f>_xlfn.XLOOKUP(A121,Performance!$A$2:$A$501,Performance!$C$2:$C$501)</f>
        <v>2</v>
      </c>
      <c r="O121" s="1" cm="1">
        <f t="array" ref="O121">_xlfn.IFS(N121=5,I121+0.15*I121,N121=4,I121+I121*0.1,N121=3,I121+I121*0.07,N121&lt;3,I121+I121*0.05)</f>
        <v>118396.95</v>
      </c>
    </row>
    <row r="122" spans="1:15" x14ac:dyDescent="0.3">
      <c r="A122" s="1" t="s">
        <v>408</v>
      </c>
      <c r="B122" s="1" t="s">
        <v>94</v>
      </c>
      <c r="C122" s="1" t="s">
        <v>45</v>
      </c>
      <c r="D122" s="1" t="s">
        <v>15</v>
      </c>
      <c r="E122" s="1">
        <v>47</v>
      </c>
      <c r="F122" s="1" t="s">
        <v>25</v>
      </c>
      <c r="G122" s="1" t="s">
        <v>40</v>
      </c>
      <c r="H122" s="1" t="s">
        <v>409</v>
      </c>
      <c r="I122" s="1">
        <v>70479</v>
      </c>
      <c r="J122" s="1" t="s">
        <v>34</v>
      </c>
      <c r="K122" s="1" t="s">
        <v>410</v>
      </c>
      <c r="L122" s="1" t="s">
        <v>21</v>
      </c>
      <c r="M122" s="1" t="str">
        <f>_xlfn.XLOOKUP(Sheet1!F122,Departments!$A$2:$A$6,Departments!$B$2:$B$6)</f>
        <v>IT</v>
      </c>
      <c r="N122" s="1">
        <f>_xlfn.XLOOKUP(A122,Performance!$A$2:$A$501,Performance!$C$2:$C$501)</f>
        <v>1</v>
      </c>
      <c r="O122" s="1" cm="1">
        <f t="array" ref="O122">_xlfn.IFS(N122=5,I122+0.15*I122,N122=4,I122+I122*0.1,N122=3,I122+I122*0.07,N122&lt;3,I122+I122*0.05)</f>
        <v>74002.95</v>
      </c>
    </row>
    <row r="123" spans="1:15" x14ac:dyDescent="0.3">
      <c r="A123" s="1" t="s">
        <v>411</v>
      </c>
      <c r="B123" s="1" t="s">
        <v>44</v>
      </c>
      <c r="C123" s="1" t="s">
        <v>63</v>
      </c>
      <c r="D123" s="1" t="s">
        <v>15</v>
      </c>
      <c r="E123" s="1">
        <v>42</v>
      </c>
      <c r="F123" s="1" t="s">
        <v>16</v>
      </c>
      <c r="G123" s="1" t="s">
        <v>26</v>
      </c>
      <c r="H123" s="1" t="s">
        <v>412</v>
      </c>
      <c r="I123" s="1">
        <v>52630</v>
      </c>
      <c r="J123" s="1" t="s">
        <v>60</v>
      </c>
      <c r="K123" s="1" t="s">
        <v>413</v>
      </c>
      <c r="L123" s="1" t="s">
        <v>21</v>
      </c>
      <c r="M123" s="1" t="str">
        <f>_xlfn.XLOOKUP(Sheet1!F123,Departments!$A$2:$A$6,Departments!$B$2:$B$6)</f>
        <v>HR</v>
      </c>
      <c r="N123" s="1">
        <f>_xlfn.XLOOKUP(A123,Performance!$A$2:$A$501,Performance!$C$2:$C$501)</f>
        <v>5</v>
      </c>
      <c r="O123" s="1" cm="1">
        <f t="array" ref="O123">_xlfn.IFS(N123=5,I123+0.15*I123,N123=4,I123+I123*0.1,N123=3,I123+I123*0.07,N123&lt;3,I123+I123*0.05)</f>
        <v>60524.5</v>
      </c>
    </row>
    <row r="124" spans="1:15" x14ac:dyDescent="0.3">
      <c r="A124" s="1" t="s">
        <v>414</v>
      </c>
      <c r="B124" s="1" t="s">
        <v>44</v>
      </c>
      <c r="C124" s="1" t="s">
        <v>130</v>
      </c>
      <c r="D124" s="1" t="s">
        <v>24</v>
      </c>
      <c r="E124" s="1">
        <v>27</v>
      </c>
      <c r="F124" s="1" t="s">
        <v>31</v>
      </c>
      <c r="G124" s="1" t="s">
        <v>32</v>
      </c>
      <c r="H124" s="1" t="s">
        <v>415</v>
      </c>
      <c r="I124" s="1">
        <v>78119</v>
      </c>
      <c r="J124" s="1" t="s">
        <v>60</v>
      </c>
      <c r="K124" s="1" t="s">
        <v>416</v>
      </c>
      <c r="L124" s="1" t="s">
        <v>21</v>
      </c>
      <c r="M124" s="1" t="str">
        <f>_xlfn.XLOOKUP(Sheet1!F124,Departments!$A$2:$A$6,Departments!$B$2:$B$6)</f>
        <v>Sales</v>
      </c>
      <c r="N124" s="1">
        <f>_xlfn.XLOOKUP(A124,Performance!$A$2:$A$501,Performance!$C$2:$C$501)</f>
        <v>4</v>
      </c>
      <c r="O124" s="1" cm="1">
        <f t="array" ref="O124">_xlfn.IFS(N124=5,I124+0.15*I124,N124=4,I124+I124*0.1,N124=3,I124+I124*0.07,N124&lt;3,I124+I124*0.05)</f>
        <v>85930.9</v>
      </c>
    </row>
    <row r="125" spans="1:15" x14ac:dyDescent="0.3">
      <c r="A125" s="1" t="s">
        <v>417</v>
      </c>
      <c r="B125" s="1" t="s">
        <v>44</v>
      </c>
      <c r="C125" s="1" t="s">
        <v>78</v>
      </c>
      <c r="D125" s="1" t="s">
        <v>15</v>
      </c>
      <c r="E125" s="1">
        <v>41</v>
      </c>
      <c r="F125" s="1" t="s">
        <v>25</v>
      </c>
      <c r="G125" s="1" t="s">
        <v>32</v>
      </c>
      <c r="H125" s="1" t="s">
        <v>418</v>
      </c>
      <c r="I125" s="1">
        <v>77100</v>
      </c>
      <c r="J125" s="1" t="s">
        <v>19</v>
      </c>
      <c r="K125" s="1" t="s">
        <v>419</v>
      </c>
      <c r="L125" s="1" t="s">
        <v>21</v>
      </c>
      <c r="M125" s="1" t="str">
        <f>_xlfn.XLOOKUP(Sheet1!F125,Departments!$A$2:$A$6,Departments!$B$2:$B$6)</f>
        <v>IT</v>
      </c>
      <c r="N125" s="1">
        <f>_xlfn.XLOOKUP(A125,Performance!$A$2:$A$501,Performance!$C$2:$C$501)</f>
        <v>4</v>
      </c>
      <c r="O125" s="1" cm="1">
        <f t="array" ref="O125">_xlfn.IFS(N125=5,I125+0.15*I125,N125=4,I125+I125*0.1,N125=3,I125+I125*0.07,N125&lt;3,I125+I125*0.05)</f>
        <v>84810</v>
      </c>
    </row>
    <row r="126" spans="1:15" x14ac:dyDescent="0.3">
      <c r="A126" s="1" t="s">
        <v>420</v>
      </c>
      <c r="B126" s="1" t="s">
        <v>38</v>
      </c>
      <c r="C126" s="1" t="s">
        <v>63</v>
      </c>
      <c r="D126" s="1" t="s">
        <v>15</v>
      </c>
      <c r="E126" s="1">
        <v>58</v>
      </c>
      <c r="F126" s="1" t="s">
        <v>31</v>
      </c>
      <c r="G126" s="1" t="s">
        <v>40</v>
      </c>
      <c r="H126" s="1" t="s">
        <v>421</v>
      </c>
      <c r="I126" s="1">
        <v>48296</v>
      </c>
      <c r="J126" s="1" t="s">
        <v>65</v>
      </c>
      <c r="K126" s="1" t="s">
        <v>422</v>
      </c>
      <c r="L126" s="1" t="s">
        <v>36</v>
      </c>
      <c r="M126" s="1" t="str">
        <f>_xlfn.XLOOKUP(Sheet1!F126,Departments!$A$2:$A$6,Departments!$B$2:$B$6)</f>
        <v>Sales</v>
      </c>
      <c r="N126" s="1">
        <f>_xlfn.XLOOKUP(A126,Performance!$A$2:$A$501,Performance!$C$2:$C$501)</f>
        <v>4</v>
      </c>
      <c r="O126" s="1" cm="1">
        <f t="array" ref="O126">_xlfn.IFS(N126=5,I126+0.15*I126,N126=4,I126+I126*0.1,N126=3,I126+I126*0.07,N126&lt;3,I126+I126*0.05)</f>
        <v>53125.599999999999</v>
      </c>
    </row>
    <row r="127" spans="1:15" x14ac:dyDescent="0.3">
      <c r="A127" s="1" t="s">
        <v>423</v>
      </c>
      <c r="B127" s="1" t="s">
        <v>54</v>
      </c>
      <c r="C127" s="1" t="s">
        <v>165</v>
      </c>
      <c r="D127" s="1" t="s">
        <v>24</v>
      </c>
      <c r="E127" s="1">
        <v>46</v>
      </c>
      <c r="F127" s="1" t="s">
        <v>50</v>
      </c>
      <c r="G127" s="1" t="s">
        <v>26</v>
      </c>
      <c r="H127" s="1" t="s">
        <v>424</v>
      </c>
      <c r="I127" s="1">
        <v>69026</v>
      </c>
      <c r="J127" s="1" t="s">
        <v>34</v>
      </c>
      <c r="K127" s="1" t="s">
        <v>425</v>
      </c>
      <c r="L127" s="1" t="s">
        <v>21</v>
      </c>
      <c r="M127" s="1" t="str">
        <f>_xlfn.XLOOKUP(Sheet1!F127,Departments!$A$2:$A$6,Departments!$B$2:$B$6)</f>
        <v>Finance</v>
      </c>
      <c r="N127" s="1">
        <f>_xlfn.XLOOKUP(A127,Performance!$A$2:$A$501,Performance!$C$2:$C$501)</f>
        <v>2</v>
      </c>
      <c r="O127" s="1" cm="1">
        <f t="array" ref="O127">_xlfn.IFS(N127=5,I127+0.15*I127,N127=4,I127+I127*0.1,N127=3,I127+I127*0.07,N127&lt;3,I127+I127*0.05)</f>
        <v>72477.3</v>
      </c>
    </row>
    <row r="128" spans="1:15" x14ac:dyDescent="0.3">
      <c r="A128" s="1" t="s">
        <v>426</v>
      </c>
      <c r="B128" s="1" t="s">
        <v>58</v>
      </c>
      <c r="C128" s="1" t="s">
        <v>23</v>
      </c>
      <c r="D128" s="1" t="s">
        <v>15</v>
      </c>
      <c r="E128" s="1">
        <v>29</v>
      </c>
      <c r="F128" s="1" t="s">
        <v>25</v>
      </c>
      <c r="G128" s="1" t="s">
        <v>26</v>
      </c>
      <c r="H128" s="1" t="s">
        <v>427</v>
      </c>
      <c r="I128" s="1">
        <v>97080</v>
      </c>
      <c r="J128" s="1" t="s">
        <v>80</v>
      </c>
      <c r="K128" s="1" t="s">
        <v>428</v>
      </c>
      <c r="L128" s="1" t="s">
        <v>21</v>
      </c>
      <c r="M128" s="1" t="str">
        <f>_xlfn.XLOOKUP(Sheet1!F128,Departments!$A$2:$A$6,Departments!$B$2:$B$6)</f>
        <v>IT</v>
      </c>
      <c r="N128" s="1">
        <f>_xlfn.XLOOKUP(A128,Performance!$A$2:$A$501,Performance!$C$2:$C$501)</f>
        <v>5</v>
      </c>
      <c r="O128" s="1" cm="1">
        <f t="array" ref="O128">_xlfn.IFS(N128=5,I128+0.15*I128,N128=4,I128+I128*0.1,N128=3,I128+I128*0.07,N128&lt;3,I128+I128*0.05)</f>
        <v>111642</v>
      </c>
    </row>
    <row r="129" spans="1:15" x14ac:dyDescent="0.3">
      <c r="A129" s="1" t="s">
        <v>429</v>
      </c>
      <c r="B129" s="1" t="s">
        <v>71</v>
      </c>
      <c r="C129" s="1" t="s">
        <v>130</v>
      </c>
      <c r="D129" s="1" t="s">
        <v>24</v>
      </c>
      <c r="E129" s="1">
        <v>26</v>
      </c>
      <c r="F129" s="1" t="s">
        <v>25</v>
      </c>
      <c r="G129" s="1" t="s">
        <v>32</v>
      </c>
      <c r="H129" s="1" t="s">
        <v>430</v>
      </c>
      <c r="I129" s="1">
        <v>71436</v>
      </c>
      <c r="J129" s="1" t="s">
        <v>34</v>
      </c>
      <c r="K129" s="1" t="s">
        <v>431</v>
      </c>
      <c r="L129" s="1" t="s">
        <v>36</v>
      </c>
      <c r="M129" s="1" t="str">
        <f>_xlfn.XLOOKUP(Sheet1!F129,Departments!$A$2:$A$6,Departments!$B$2:$B$6)</f>
        <v>IT</v>
      </c>
      <c r="N129" s="1">
        <f>_xlfn.XLOOKUP(A129,Performance!$A$2:$A$501,Performance!$C$2:$C$501)</f>
        <v>1</v>
      </c>
      <c r="O129" s="1" cm="1">
        <f t="array" ref="O129">_xlfn.IFS(N129=5,I129+0.15*I129,N129=4,I129+I129*0.1,N129=3,I129+I129*0.07,N129&lt;3,I129+I129*0.05)</f>
        <v>75007.8</v>
      </c>
    </row>
    <row r="130" spans="1:15" x14ac:dyDescent="0.3">
      <c r="A130" s="1" t="s">
        <v>432</v>
      </c>
      <c r="B130" s="1" t="s">
        <v>94</v>
      </c>
      <c r="C130" s="1" t="s">
        <v>63</v>
      </c>
      <c r="D130" s="1" t="s">
        <v>24</v>
      </c>
      <c r="E130" s="1">
        <v>44</v>
      </c>
      <c r="F130" s="1" t="s">
        <v>16</v>
      </c>
      <c r="G130" s="1" t="s">
        <v>32</v>
      </c>
      <c r="H130" s="1" t="s">
        <v>433</v>
      </c>
      <c r="I130" s="1">
        <v>87790</v>
      </c>
      <c r="J130" s="1" t="s">
        <v>80</v>
      </c>
      <c r="K130" s="1" t="s">
        <v>434</v>
      </c>
      <c r="L130" s="1" t="s">
        <v>21</v>
      </c>
      <c r="M130" s="1" t="str">
        <f>_xlfn.XLOOKUP(Sheet1!F130,Departments!$A$2:$A$6,Departments!$B$2:$B$6)</f>
        <v>HR</v>
      </c>
      <c r="N130" s="1">
        <f>_xlfn.XLOOKUP(A130,Performance!$A$2:$A$501,Performance!$C$2:$C$501)</f>
        <v>5</v>
      </c>
      <c r="O130" s="1" cm="1">
        <f t="array" ref="O130">_xlfn.IFS(N130=5,I130+0.15*I130,N130=4,I130+I130*0.1,N130=3,I130+I130*0.07,N130&lt;3,I130+I130*0.05)</f>
        <v>100958.5</v>
      </c>
    </row>
    <row r="131" spans="1:15" x14ac:dyDescent="0.3">
      <c r="A131" s="1" t="s">
        <v>435</v>
      </c>
      <c r="B131" s="1" t="s">
        <v>54</v>
      </c>
      <c r="C131" s="1" t="s">
        <v>63</v>
      </c>
      <c r="D131" s="1" t="s">
        <v>24</v>
      </c>
      <c r="E131" s="1">
        <v>59</v>
      </c>
      <c r="F131" s="1" t="s">
        <v>16</v>
      </c>
      <c r="G131" s="1" t="s">
        <v>108</v>
      </c>
      <c r="H131" s="1" t="s">
        <v>436</v>
      </c>
      <c r="I131" s="1">
        <v>119530</v>
      </c>
      <c r="J131" s="1" t="s">
        <v>80</v>
      </c>
      <c r="K131" s="1" t="s">
        <v>437</v>
      </c>
      <c r="L131" s="1" t="s">
        <v>21</v>
      </c>
      <c r="M131" s="1" t="str">
        <f>_xlfn.XLOOKUP(Sheet1!F131,Departments!$A$2:$A$6,Departments!$B$2:$B$6)</f>
        <v>HR</v>
      </c>
      <c r="N131" s="1">
        <f>_xlfn.XLOOKUP(A131,Performance!$A$2:$A$501,Performance!$C$2:$C$501)</f>
        <v>1</v>
      </c>
      <c r="O131" s="1" cm="1">
        <f t="array" ref="O131">_xlfn.IFS(N131=5,I131+0.15*I131,N131=4,I131+I131*0.1,N131=3,I131+I131*0.07,N131&lt;3,I131+I131*0.05)</f>
        <v>125506.5</v>
      </c>
    </row>
    <row r="132" spans="1:15" x14ac:dyDescent="0.3">
      <c r="A132" s="1" t="s">
        <v>438</v>
      </c>
      <c r="B132" s="1" t="s">
        <v>143</v>
      </c>
      <c r="C132" s="1" t="s">
        <v>14</v>
      </c>
      <c r="D132" s="1" t="s">
        <v>24</v>
      </c>
      <c r="E132" s="1">
        <v>37</v>
      </c>
      <c r="F132" s="1" t="s">
        <v>31</v>
      </c>
      <c r="G132" s="1" t="s">
        <v>108</v>
      </c>
      <c r="H132" s="1" t="s">
        <v>439</v>
      </c>
      <c r="I132" s="1">
        <v>100623</v>
      </c>
      <c r="J132" s="1" t="s">
        <v>34</v>
      </c>
      <c r="K132" s="1" t="s">
        <v>440</v>
      </c>
      <c r="L132" s="1" t="s">
        <v>21</v>
      </c>
      <c r="M132" s="1" t="str">
        <f>_xlfn.XLOOKUP(Sheet1!F132,Departments!$A$2:$A$6,Departments!$B$2:$B$6)</f>
        <v>Sales</v>
      </c>
      <c r="N132" s="1">
        <f>_xlfn.XLOOKUP(A132,Performance!$A$2:$A$501,Performance!$C$2:$C$501)</f>
        <v>5</v>
      </c>
      <c r="O132" s="1" cm="1">
        <f t="array" ref="O132">_xlfn.IFS(N132=5,I132+0.15*I132,N132=4,I132+I132*0.1,N132=3,I132+I132*0.07,N132&lt;3,I132+I132*0.05)</f>
        <v>115716.45</v>
      </c>
    </row>
    <row r="133" spans="1:15" x14ac:dyDescent="0.3">
      <c r="A133" s="1" t="s">
        <v>441</v>
      </c>
      <c r="B133" s="1" t="s">
        <v>44</v>
      </c>
      <c r="C133" s="1" t="s">
        <v>45</v>
      </c>
      <c r="D133" s="1" t="s">
        <v>24</v>
      </c>
      <c r="E133" s="1">
        <v>60</v>
      </c>
      <c r="F133" s="1" t="s">
        <v>31</v>
      </c>
      <c r="G133" s="1" t="s">
        <v>108</v>
      </c>
      <c r="H133" s="1" t="s">
        <v>442</v>
      </c>
      <c r="I133" s="1">
        <v>40317</v>
      </c>
      <c r="J133" s="1" t="s">
        <v>80</v>
      </c>
      <c r="K133" s="1" t="s">
        <v>443</v>
      </c>
      <c r="L133" s="1" t="s">
        <v>21</v>
      </c>
      <c r="M133" s="1" t="str">
        <f>_xlfn.XLOOKUP(Sheet1!F133,Departments!$A$2:$A$6,Departments!$B$2:$B$6)</f>
        <v>Sales</v>
      </c>
      <c r="N133" s="1">
        <f>_xlfn.XLOOKUP(A133,Performance!$A$2:$A$501,Performance!$C$2:$C$501)</f>
        <v>5</v>
      </c>
      <c r="O133" s="1" cm="1">
        <f t="array" ref="O133">_xlfn.IFS(N133=5,I133+0.15*I133,N133=4,I133+I133*0.1,N133=3,I133+I133*0.07,N133&lt;3,I133+I133*0.05)</f>
        <v>46364.55</v>
      </c>
    </row>
    <row r="134" spans="1:15" x14ac:dyDescent="0.3">
      <c r="A134" s="1" t="s">
        <v>444</v>
      </c>
      <c r="B134" s="1" t="s">
        <v>71</v>
      </c>
      <c r="C134" s="1" t="s">
        <v>165</v>
      </c>
      <c r="D134" s="1" t="s">
        <v>24</v>
      </c>
      <c r="E134" s="1">
        <v>51</v>
      </c>
      <c r="F134" s="1" t="s">
        <v>25</v>
      </c>
      <c r="G134" s="1" t="s">
        <v>108</v>
      </c>
      <c r="H134" s="1" t="s">
        <v>445</v>
      </c>
      <c r="I134" s="1">
        <v>87915</v>
      </c>
      <c r="J134" s="1" t="s">
        <v>60</v>
      </c>
      <c r="K134" s="1" t="s">
        <v>446</v>
      </c>
      <c r="L134" s="1" t="s">
        <v>21</v>
      </c>
      <c r="M134" s="1" t="str">
        <f>_xlfn.XLOOKUP(Sheet1!F134,Departments!$A$2:$A$6,Departments!$B$2:$B$6)</f>
        <v>IT</v>
      </c>
      <c r="N134" s="1">
        <f>_xlfn.XLOOKUP(A134,Performance!$A$2:$A$501,Performance!$C$2:$C$501)</f>
        <v>4</v>
      </c>
      <c r="O134" s="1" cm="1">
        <f t="array" ref="O134">_xlfn.IFS(N134=5,I134+0.15*I134,N134=4,I134+I134*0.1,N134=3,I134+I134*0.07,N134&lt;3,I134+I134*0.05)</f>
        <v>96706.5</v>
      </c>
    </row>
    <row r="135" spans="1:15" x14ac:dyDescent="0.3">
      <c r="A135" s="1" t="s">
        <v>447</v>
      </c>
      <c r="B135" s="1" t="s">
        <v>143</v>
      </c>
      <c r="C135" s="1" t="s">
        <v>14</v>
      </c>
      <c r="D135" s="1" t="s">
        <v>15</v>
      </c>
      <c r="E135" s="1">
        <v>49</v>
      </c>
      <c r="F135" s="1" t="s">
        <v>31</v>
      </c>
      <c r="G135" s="1" t="s">
        <v>108</v>
      </c>
      <c r="H135" s="1" t="s">
        <v>448</v>
      </c>
      <c r="I135" s="1">
        <v>102279</v>
      </c>
      <c r="J135" s="1" t="s">
        <v>60</v>
      </c>
      <c r="K135" s="1" t="s">
        <v>449</v>
      </c>
      <c r="L135" s="1" t="s">
        <v>36</v>
      </c>
      <c r="M135" s="1" t="str">
        <f>_xlfn.XLOOKUP(Sheet1!F135,Departments!$A$2:$A$6,Departments!$B$2:$B$6)</f>
        <v>Sales</v>
      </c>
      <c r="N135" s="1">
        <f>_xlfn.XLOOKUP(A135,Performance!$A$2:$A$501,Performance!$C$2:$C$501)</f>
        <v>2</v>
      </c>
      <c r="O135" s="1" cm="1">
        <f t="array" ref="O135">_xlfn.IFS(N135=5,I135+0.15*I135,N135=4,I135+I135*0.1,N135=3,I135+I135*0.07,N135&lt;3,I135+I135*0.05)</f>
        <v>107392.95</v>
      </c>
    </row>
    <row r="136" spans="1:15" x14ac:dyDescent="0.3">
      <c r="A136" s="1" t="s">
        <v>450</v>
      </c>
      <c r="B136" s="1" t="s">
        <v>71</v>
      </c>
      <c r="C136" s="1" t="s">
        <v>95</v>
      </c>
      <c r="D136" s="1" t="s">
        <v>24</v>
      </c>
      <c r="E136" s="1">
        <v>36</v>
      </c>
      <c r="F136" s="1" t="s">
        <v>31</v>
      </c>
      <c r="G136" s="1" t="s">
        <v>40</v>
      </c>
      <c r="H136" s="1" t="s">
        <v>451</v>
      </c>
      <c r="I136" s="1">
        <v>72887</v>
      </c>
      <c r="J136" s="1" t="s">
        <v>34</v>
      </c>
      <c r="K136" s="1" t="s">
        <v>452</v>
      </c>
      <c r="L136" s="1" t="s">
        <v>36</v>
      </c>
      <c r="M136" s="1" t="str">
        <f>_xlfn.XLOOKUP(Sheet1!F136,Departments!$A$2:$A$6,Departments!$B$2:$B$6)</f>
        <v>Sales</v>
      </c>
      <c r="N136" s="1">
        <f>_xlfn.XLOOKUP(A136,Performance!$A$2:$A$501,Performance!$C$2:$C$501)</f>
        <v>1</v>
      </c>
      <c r="O136" s="1" cm="1">
        <f t="array" ref="O136">_xlfn.IFS(N136=5,I136+0.15*I136,N136=4,I136+I136*0.1,N136=3,I136+I136*0.07,N136&lt;3,I136+I136*0.05)</f>
        <v>76531.350000000006</v>
      </c>
    </row>
    <row r="137" spans="1:15" x14ac:dyDescent="0.3">
      <c r="A137" s="1" t="s">
        <v>453</v>
      </c>
      <c r="B137" s="1" t="s">
        <v>38</v>
      </c>
      <c r="C137" s="1" t="s">
        <v>14</v>
      </c>
      <c r="D137" s="1" t="s">
        <v>15</v>
      </c>
      <c r="E137" s="1">
        <v>43</v>
      </c>
      <c r="F137" s="1" t="s">
        <v>16</v>
      </c>
      <c r="G137" s="1" t="s">
        <v>26</v>
      </c>
      <c r="H137" s="1" t="s">
        <v>454</v>
      </c>
      <c r="I137" s="1">
        <v>92793</v>
      </c>
      <c r="J137" s="1" t="s">
        <v>60</v>
      </c>
      <c r="K137" s="1" t="s">
        <v>455</v>
      </c>
      <c r="L137" s="1" t="s">
        <v>21</v>
      </c>
      <c r="M137" s="1" t="str">
        <f>_xlfn.XLOOKUP(Sheet1!F137,Departments!$A$2:$A$6,Departments!$B$2:$B$6)</f>
        <v>HR</v>
      </c>
      <c r="N137" s="1">
        <f>_xlfn.XLOOKUP(A137,Performance!$A$2:$A$501,Performance!$C$2:$C$501)</f>
        <v>2</v>
      </c>
      <c r="O137" s="1" cm="1">
        <f t="array" ref="O137">_xlfn.IFS(N137=5,I137+0.15*I137,N137=4,I137+I137*0.1,N137=3,I137+I137*0.07,N137&lt;3,I137+I137*0.05)</f>
        <v>97432.65</v>
      </c>
    </row>
    <row r="138" spans="1:15" x14ac:dyDescent="0.3">
      <c r="A138" s="1" t="s">
        <v>456</v>
      </c>
      <c r="B138" s="1" t="s">
        <v>94</v>
      </c>
      <c r="C138" s="1" t="s">
        <v>78</v>
      </c>
      <c r="D138" s="1" t="s">
        <v>24</v>
      </c>
      <c r="E138" s="1">
        <v>48</v>
      </c>
      <c r="F138" s="1" t="s">
        <v>39</v>
      </c>
      <c r="G138" s="1" t="s">
        <v>26</v>
      </c>
      <c r="H138" s="1" t="s">
        <v>457</v>
      </c>
      <c r="I138" s="1">
        <v>114316</v>
      </c>
      <c r="J138" s="1" t="s">
        <v>65</v>
      </c>
      <c r="K138" s="1" t="s">
        <v>458</v>
      </c>
      <c r="L138" s="1" t="s">
        <v>21</v>
      </c>
      <c r="M138" s="1" t="str">
        <f>_xlfn.XLOOKUP(Sheet1!F138,Departments!$A$2:$A$6,Departments!$B$2:$B$6)</f>
        <v>Marketing</v>
      </c>
      <c r="N138" s="1">
        <f>_xlfn.XLOOKUP(A138,Performance!$A$2:$A$501,Performance!$C$2:$C$501)</f>
        <v>3</v>
      </c>
      <c r="O138" s="1" cm="1">
        <f t="array" ref="O138">_xlfn.IFS(N138=5,I138+0.15*I138,N138=4,I138+I138*0.1,N138=3,I138+I138*0.07,N138&lt;3,I138+I138*0.05)</f>
        <v>122318.12</v>
      </c>
    </row>
    <row r="139" spans="1:15" x14ac:dyDescent="0.3">
      <c r="A139" s="1" t="s">
        <v>459</v>
      </c>
      <c r="B139" s="1" t="s">
        <v>38</v>
      </c>
      <c r="C139" s="1" t="s">
        <v>45</v>
      </c>
      <c r="D139" s="1" t="s">
        <v>24</v>
      </c>
      <c r="E139" s="1">
        <v>59</v>
      </c>
      <c r="F139" s="1" t="s">
        <v>39</v>
      </c>
      <c r="G139" s="1" t="s">
        <v>17</v>
      </c>
      <c r="H139" s="1" t="s">
        <v>460</v>
      </c>
      <c r="I139" s="1">
        <v>60835</v>
      </c>
      <c r="J139" s="1" t="s">
        <v>60</v>
      </c>
      <c r="K139" s="1" t="s">
        <v>461</v>
      </c>
      <c r="L139" s="1" t="s">
        <v>21</v>
      </c>
      <c r="M139" s="1" t="str">
        <f>_xlfn.XLOOKUP(Sheet1!F139,Departments!$A$2:$A$6,Departments!$B$2:$B$6)</f>
        <v>Marketing</v>
      </c>
      <c r="N139" s="1">
        <f>_xlfn.XLOOKUP(A139,Performance!$A$2:$A$501,Performance!$C$2:$C$501)</f>
        <v>1</v>
      </c>
      <c r="O139" s="1" cm="1">
        <f t="array" ref="O139">_xlfn.IFS(N139=5,I139+0.15*I139,N139=4,I139+I139*0.1,N139=3,I139+I139*0.07,N139&lt;3,I139+I139*0.05)</f>
        <v>63876.75</v>
      </c>
    </row>
    <row r="140" spans="1:15" x14ac:dyDescent="0.3">
      <c r="A140" s="1" t="s">
        <v>462</v>
      </c>
      <c r="B140" s="1" t="s">
        <v>49</v>
      </c>
      <c r="C140" s="1" t="s">
        <v>165</v>
      </c>
      <c r="D140" s="1" t="s">
        <v>24</v>
      </c>
      <c r="E140" s="1">
        <v>31</v>
      </c>
      <c r="F140" s="1" t="s">
        <v>31</v>
      </c>
      <c r="G140" s="1" t="s">
        <v>26</v>
      </c>
      <c r="H140" s="1" t="s">
        <v>463</v>
      </c>
      <c r="I140" s="1">
        <v>105179</v>
      </c>
      <c r="J140" s="1" t="s">
        <v>19</v>
      </c>
      <c r="K140" s="1" t="s">
        <v>464</v>
      </c>
      <c r="L140" s="1" t="s">
        <v>21</v>
      </c>
      <c r="M140" s="1" t="str">
        <f>_xlfn.XLOOKUP(Sheet1!F140,Departments!$A$2:$A$6,Departments!$B$2:$B$6)</f>
        <v>Sales</v>
      </c>
      <c r="N140" s="1">
        <f>_xlfn.XLOOKUP(A140,Performance!$A$2:$A$501,Performance!$C$2:$C$501)</f>
        <v>5</v>
      </c>
      <c r="O140" s="1" cm="1">
        <f t="array" ref="O140">_xlfn.IFS(N140=5,I140+0.15*I140,N140=4,I140+I140*0.1,N140=3,I140+I140*0.07,N140&lt;3,I140+I140*0.05)</f>
        <v>120955.85</v>
      </c>
    </row>
    <row r="141" spans="1:15" x14ac:dyDescent="0.3">
      <c r="A141" s="1" t="s">
        <v>465</v>
      </c>
      <c r="B141" s="1" t="s">
        <v>94</v>
      </c>
      <c r="C141" s="1" t="s">
        <v>165</v>
      </c>
      <c r="D141" s="1" t="s">
        <v>15</v>
      </c>
      <c r="E141" s="1">
        <v>48</v>
      </c>
      <c r="F141" s="1" t="s">
        <v>31</v>
      </c>
      <c r="G141" s="1" t="s">
        <v>40</v>
      </c>
      <c r="H141" s="1" t="s">
        <v>466</v>
      </c>
      <c r="I141" s="1">
        <v>109704</v>
      </c>
      <c r="J141" s="1" t="s">
        <v>80</v>
      </c>
      <c r="K141" s="1" t="s">
        <v>467</v>
      </c>
      <c r="L141" s="1" t="s">
        <v>36</v>
      </c>
      <c r="M141" s="1" t="str">
        <f>_xlfn.XLOOKUP(Sheet1!F141,Departments!$A$2:$A$6,Departments!$B$2:$B$6)</f>
        <v>Sales</v>
      </c>
      <c r="N141" s="1">
        <f>_xlfn.XLOOKUP(A141,Performance!$A$2:$A$501,Performance!$C$2:$C$501)</f>
        <v>2</v>
      </c>
      <c r="O141" s="1" cm="1">
        <f t="array" ref="O141">_xlfn.IFS(N141=5,I141+0.15*I141,N141=4,I141+I141*0.1,N141=3,I141+I141*0.07,N141&lt;3,I141+I141*0.05)</f>
        <v>115189.2</v>
      </c>
    </row>
    <row r="142" spans="1:15" x14ac:dyDescent="0.3">
      <c r="A142" s="1" t="s">
        <v>468</v>
      </c>
      <c r="B142" s="1" t="s">
        <v>54</v>
      </c>
      <c r="C142" s="1" t="s">
        <v>130</v>
      </c>
      <c r="D142" s="1" t="s">
        <v>15</v>
      </c>
      <c r="E142" s="1">
        <v>32</v>
      </c>
      <c r="F142" s="1" t="s">
        <v>39</v>
      </c>
      <c r="G142" s="1" t="s">
        <v>32</v>
      </c>
      <c r="H142" s="1" t="s">
        <v>469</v>
      </c>
      <c r="I142" s="1">
        <v>68125</v>
      </c>
      <c r="J142" s="1" t="s">
        <v>34</v>
      </c>
      <c r="K142" s="1" t="s">
        <v>470</v>
      </c>
      <c r="L142" s="1" t="s">
        <v>21</v>
      </c>
      <c r="M142" s="1" t="str">
        <f>_xlfn.XLOOKUP(Sheet1!F142,Departments!$A$2:$A$6,Departments!$B$2:$B$6)</f>
        <v>Marketing</v>
      </c>
      <c r="N142" s="1">
        <f>_xlfn.XLOOKUP(A142,Performance!$A$2:$A$501,Performance!$C$2:$C$501)</f>
        <v>3</v>
      </c>
      <c r="O142" s="1" cm="1">
        <f t="array" ref="O142">_xlfn.IFS(N142=5,I142+0.15*I142,N142=4,I142+I142*0.1,N142=3,I142+I142*0.07,N142&lt;3,I142+I142*0.05)</f>
        <v>72893.75</v>
      </c>
    </row>
    <row r="143" spans="1:15" x14ac:dyDescent="0.3">
      <c r="A143" s="1" t="s">
        <v>471</v>
      </c>
      <c r="B143" s="1" t="s">
        <v>38</v>
      </c>
      <c r="C143" s="1" t="s">
        <v>78</v>
      </c>
      <c r="D143" s="1" t="s">
        <v>15</v>
      </c>
      <c r="E143" s="1">
        <v>47</v>
      </c>
      <c r="F143" s="1" t="s">
        <v>31</v>
      </c>
      <c r="G143" s="1" t="s">
        <v>17</v>
      </c>
      <c r="H143" s="1" t="s">
        <v>472</v>
      </c>
      <c r="I143" s="1">
        <v>96812</v>
      </c>
      <c r="J143" s="1" t="s">
        <v>80</v>
      </c>
      <c r="K143" s="1" t="s">
        <v>473</v>
      </c>
      <c r="L143" s="1" t="s">
        <v>21</v>
      </c>
      <c r="M143" s="1" t="str">
        <f>_xlfn.XLOOKUP(Sheet1!F143,Departments!$A$2:$A$6,Departments!$B$2:$B$6)</f>
        <v>Sales</v>
      </c>
      <c r="N143" s="1">
        <f>_xlfn.XLOOKUP(A143,Performance!$A$2:$A$501,Performance!$C$2:$C$501)</f>
        <v>1</v>
      </c>
      <c r="O143" s="1" cm="1">
        <f t="array" ref="O143">_xlfn.IFS(N143=5,I143+0.15*I143,N143=4,I143+I143*0.1,N143=3,I143+I143*0.07,N143&lt;3,I143+I143*0.05)</f>
        <v>101652.6</v>
      </c>
    </row>
    <row r="144" spans="1:15" x14ac:dyDescent="0.3">
      <c r="A144" s="1" t="s">
        <v>474</v>
      </c>
      <c r="B144" s="1" t="s">
        <v>58</v>
      </c>
      <c r="C144" s="1" t="s">
        <v>165</v>
      </c>
      <c r="D144" s="1" t="s">
        <v>15</v>
      </c>
      <c r="E144" s="1">
        <v>47</v>
      </c>
      <c r="F144" s="1" t="s">
        <v>50</v>
      </c>
      <c r="G144" s="1" t="s">
        <v>26</v>
      </c>
      <c r="H144" s="1" t="s">
        <v>475</v>
      </c>
      <c r="I144" s="1">
        <v>116650</v>
      </c>
      <c r="J144" s="1" t="s">
        <v>65</v>
      </c>
      <c r="K144" s="1" t="s">
        <v>476</v>
      </c>
      <c r="L144" s="1" t="s">
        <v>36</v>
      </c>
      <c r="M144" s="1" t="str">
        <f>_xlfn.XLOOKUP(Sheet1!F144,Departments!$A$2:$A$6,Departments!$B$2:$B$6)</f>
        <v>Finance</v>
      </c>
      <c r="N144" s="1">
        <f>_xlfn.XLOOKUP(A144,Performance!$A$2:$A$501,Performance!$C$2:$C$501)</f>
        <v>3</v>
      </c>
      <c r="O144" s="1" cm="1">
        <f t="array" ref="O144">_xlfn.IFS(N144=5,I144+0.15*I144,N144=4,I144+I144*0.1,N144=3,I144+I144*0.07,N144&lt;3,I144+I144*0.05)</f>
        <v>124815.5</v>
      </c>
    </row>
    <row r="145" spans="1:15" x14ac:dyDescent="0.3">
      <c r="A145" s="1" t="s">
        <v>477</v>
      </c>
      <c r="B145" s="1" t="s">
        <v>71</v>
      </c>
      <c r="C145" s="1" t="s">
        <v>83</v>
      </c>
      <c r="D145" s="1" t="s">
        <v>24</v>
      </c>
      <c r="E145" s="1">
        <v>28</v>
      </c>
      <c r="F145" s="1" t="s">
        <v>39</v>
      </c>
      <c r="G145" s="1" t="s">
        <v>26</v>
      </c>
      <c r="H145" s="1" t="s">
        <v>478</v>
      </c>
      <c r="I145" s="1">
        <v>86592</v>
      </c>
      <c r="J145" s="1" t="s">
        <v>80</v>
      </c>
      <c r="K145" s="1" t="s">
        <v>479</v>
      </c>
      <c r="L145" s="1" t="s">
        <v>36</v>
      </c>
      <c r="M145" s="1" t="str">
        <f>_xlfn.XLOOKUP(Sheet1!F145,Departments!$A$2:$A$6,Departments!$B$2:$B$6)</f>
        <v>Marketing</v>
      </c>
      <c r="N145" s="1">
        <f>_xlfn.XLOOKUP(A145,Performance!$A$2:$A$501,Performance!$C$2:$C$501)</f>
        <v>1</v>
      </c>
      <c r="O145" s="1" cm="1">
        <f t="array" ref="O145">_xlfn.IFS(N145=5,I145+0.15*I145,N145=4,I145+I145*0.1,N145=3,I145+I145*0.07,N145&lt;3,I145+I145*0.05)</f>
        <v>90921.600000000006</v>
      </c>
    </row>
    <row r="146" spans="1:15" x14ac:dyDescent="0.3">
      <c r="A146" s="1" t="s">
        <v>480</v>
      </c>
      <c r="B146" s="1" t="s">
        <v>44</v>
      </c>
      <c r="C146" s="1" t="s">
        <v>23</v>
      </c>
      <c r="D146" s="1" t="s">
        <v>24</v>
      </c>
      <c r="E146" s="1">
        <v>57</v>
      </c>
      <c r="F146" s="1" t="s">
        <v>50</v>
      </c>
      <c r="G146" s="1" t="s">
        <v>26</v>
      </c>
      <c r="H146" s="1" t="s">
        <v>481</v>
      </c>
      <c r="I146" s="1">
        <v>78320</v>
      </c>
      <c r="J146" s="1" t="s">
        <v>34</v>
      </c>
      <c r="K146" s="1" t="s">
        <v>482</v>
      </c>
      <c r="L146" s="1" t="s">
        <v>21</v>
      </c>
      <c r="M146" s="1" t="str">
        <f>_xlfn.XLOOKUP(Sheet1!F146,Departments!$A$2:$A$6,Departments!$B$2:$B$6)</f>
        <v>Finance</v>
      </c>
      <c r="N146" s="1">
        <f>_xlfn.XLOOKUP(A146,Performance!$A$2:$A$501,Performance!$C$2:$C$501)</f>
        <v>1</v>
      </c>
      <c r="O146" s="1" cm="1">
        <f t="array" ref="O146">_xlfn.IFS(N146=5,I146+0.15*I146,N146=4,I146+I146*0.1,N146=3,I146+I146*0.07,N146&lt;3,I146+I146*0.05)</f>
        <v>82236</v>
      </c>
    </row>
    <row r="147" spans="1:15" x14ac:dyDescent="0.3">
      <c r="A147" s="1" t="s">
        <v>483</v>
      </c>
      <c r="B147" s="1" t="s">
        <v>30</v>
      </c>
      <c r="C147" s="1" t="s">
        <v>45</v>
      </c>
      <c r="D147" s="1" t="s">
        <v>24</v>
      </c>
      <c r="E147" s="1">
        <v>40</v>
      </c>
      <c r="F147" s="1" t="s">
        <v>16</v>
      </c>
      <c r="G147" s="1" t="s">
        <v>17</v>
      </c>
      <c r="H147" s="1" t="s">
        <v>484</v>
      </c>
      <c r="I147" s="1">
        <v>50627</v>
      </c>
      <c r="J147" s="1" t="s">
        <v>80</v>
      </c>
      <c r="K147" s="1" t="s">
        <v>485</v>
      </c>
      <c r="L147" s="1" t="s">
        <v>36</v>
      </c>
      <c r="M147" s="1" t="str">
        <f>_xlfn.XLOOKUP(Sheet1!F147,Departments!$A$2:$A$6,Departments!$B$2:$B$6)</f>
        <v>HR</v>
      </c>
      <c r="N147" s="1">
        <f>_xlfn.XLOOKUP(A147,Performance!$A$2:$A$501,Performance!$C$2:$C$501)</f>
        <v>3</v>
      </c>
      <c r="O147" s="1" cm="1">
        <f t="array" ref="O147">_xlfn.IFS(N147=5,I147+0.15*I147,N147=4,I147+I147*0.1,N147=3,I147+I147*0.07,N147&lt;3,I147+I147*0.05)</f>
        <v>54170.89</v>
      </c>
    </row>
    <row r="148" spans="1:15" x14ac:dyDescent="0.3">
      <c r="A148" s="1" t="s">
        <v>486</v>
      </c>
      <c r="B148" s="1" t="s">
        <v>38</v>
      </c>
      <c r="C148" s="1" t="s">
        <v>95</v>
      </c>
      <c r="D148" s="1" t="s">
        <v>24</v>
      </c>
      <c r="E148" s="1">
        <v>47</v>
      </c>
      <c r="F148" s="1" t="s">
        <v>25</v>
      </c>
      <c r="G148" s="1" t="s">
        <v>26</v>
      </c>
      <c r="H148" s="1" t="s">
        <v>487</v>
      </c>
      <c r="I148" s="1">
        <v>84212</v>
      </c>
      <c r="J148" s="1" t="s">
        <v>34</v>
      </c>
      <c r="K148" s="1" t="s">
        <v>488</v>
      </c>
      <c r="L148" s="1" t="s">
        <v>36</v>
      </c>
      <c r="M148" s="1" t="str">
        <f>_xlfn.XLOOKUP(Sheet1!F148,Departments!$A$2:$A$6,Departments!$B$2:$B$6)</f>
        <v>IT</v>
      </c>
      <c r="N148" s="1">
        <f>_xlfn.XLOOKUP(A148,Performance!$A$2:$A$501,Performance!$C$2:$C$501)</f>
        <v>5</v>
      </c>
      <c r="O148" s="1" cm="1">
        <f t="array" ref="O148">_xlfn.IFS(N148=5,I148+0.15*I148,N148=4,I148+I148*0.1,N148=3,I148+I148*0.07,N148&lt;3,I148+I148*0.05)</f>
        <v>96843.8</v>
      </c>
    </row>
    <row r="149" spans="1:15" x14ac:dyDescent="0.3">
      <c r="A149" s="1" t="s">
        <v>489</v>
      </c>
      <c r="B149" s="1" t="s">
        <v>54</v>
      </c>
      <c r="C149" s="1" t="s">
        <v>63</v>
      </c>
      <c r="D149" s="1" t="s">
        <v>15</v>
      </c>
      <c r="E149" s="1">
        <v>53</v>
      </c>
      <c r="F149" s="1" t="s">
        <v>50</v>
      </c>
      <c r="G149" s="1" t="s">
        <v>32</v>
      </c>
      <c r="H149" s="1" t="s">
        <v>490</v>
      </c>
      <c r="I149" s="1">
        <v>98718</v>
      </c>
      <c r="J149" s="1" t="s">
        <v>34</v>
      </c>
      <c r="K149" s="1" t="s">
        <v>491</v>
      </c>
      <c r="L149" s="1" t="s">
        <v>21</v>
      </c>
      <c r="M149" s="1" t="str">
        <f>_xlfn.XLOOKUP(Sheet1!F149,Departments!$A$2:$A$6,Departments!$B$2:$B$6)</f>
        <v>Finance</v>
      </c>
      <c r="N149" s="1">
        <f>_xlfn.XLOOKUP(A149,Performance!$A$2:$A$501,Performance!$C$2:$C$501)</f>
        <v>5</v>
      </c>
      <c r="O149" s="1" cm="1">
        <f t="array" ref="O149">_xlfn.IFS(N149=5,I149+0.15*I149,N149=4,I149+I149*0.1,N149=3,I149+I149*0.07,N149&lt;3,I149+I149*0.05)</f>
        <v>113525.7</v>
      </c>
    </row>
    <row r="150" spans="1:15" x14ac:dyDescent="0.3">
      <c r="A150" s="1" t="s">
        <v>492</v>
      </c>
      <c r="B150" s="1" t="s">
        <v>143</v>
      </c>
      <c r="C150" s="1" t="s">
        <v>23</v>
      </c>
      <c r="D150" s="1" t="s">
        <v>24</v>
      </c>
      <c r="E150" s="1">
        <v>22</v>
      </c>
      <c r="F150" s="1" t="s">
        <v>16</v>
      </c>
      <c r="G150" s="1" t="s">
        <v>26</v>
      </c>
      <c r="H150" s="1" t="s">
        <v>193</v>
      </c>
      <c r="I150" s="1">
        <v>35307</v>
      </c>
      <c r="J150" s="1" t="s">
        <v>80</v>
      </c>
      <c r="K150" s="1" t="s">
        <v>493</v>
      </c>
      <c r="L150" s="1" t="s">
        <v>36</v>
      </c>
      <c r="M150" s="1" t="str">
        <f>_xlfn.XLOOKUP(Sheet1!F150,Departments!$A$2:$A$6,Departments!$B$2:$B$6)</f>
        <v>HR</v>
      </c>
      <c r="N150" s="1">
        <f>_xlfn.XLOOKUP(A150,Performance!$A$2:$A$501,Performance!$C$2:$C$501)</f>
        <v>4</v>
      </c>
      <c r="O150" s="1" cm="1">
        <f t="array" ref="O150">_xlfn.IFS(N150=5,I150+0.15*I150,N150=4,I150+I150*0.1,N150=3,I150+I150*0.07,N150&lt;3,I150+I150*0.05)</f>
        <v>38837.699999999997</v>
      </c>
    </row>
    <row r="151" spans="1:15" x14ac:dyDescent="0.3">
      <c r="A151" s="1" t="s">
        <v>494</v>
      </c>
      <c r="B151" s="1" t="s">
        <v>30</v>
      </c>
      <c r="C151" s="1" t="s">
        <v>130</v>
      </c>
      <c r="D151" s="1" t="s">
        <v>15</v>
      </c>
      <c r="E151" s="1">
        <v>54</v>
      </c>
      <c r="F151" s="1" t="s">
        <v>25</v>
      </c>
      <c r="G151" s="1" t="s">
        <v>108</v>
      </c>
      <c r="H151" s="1" t="s">
        <v>495</v>
      </c>
      <c r="I151" s="1">
        <v>92735</v>
      </c>
      <c r="J151" s="1" t="s">
        <v>60</v>
      </c>
      <c r="K151" s="1" t="s">
        <v>496</v>
      </c>
      <c r="L151" s="1" t="s">
        <v>36</v>
      </c>
      <c r="M151" s="1" t="str">
        <f>_xlfn.XLOOKUP(Sheet1!F151,Departments!$A$2:$A$6,Departments!$B$2:$B$6)</f>
        <v>IT</v>
      </c>
      <c r="N151" s="1">
        <f>_xlfn.XLOOKUP(A151,Performance!$A$2:$A$501,Performance!$C$2:$C$501)</f>
        <v>1</v>
      </c>
      <c r="O151" s="1" cm="1">
        <f t="array" ref="O151">_xlfn.IFS(N151=5,I151+0.15*I151,N151=4,I151+I151*0.1,N151=3,I151+I151*0.07,N151&lt;3,I151+I151*0.05)</f>
        <v>97371.75</v>
      </c>
    </row>
    <row r="152" spans="1:15" x14ac:dyDescent="0.3">
      <c r="A152" s="1" t="s">
        <v>497</v>
      </c>
      <c r="B152" s="1" t="s">
        <v>94</v>
      </c>
      <c r="C152" s="1" t="s">
        <v>14</v>
      </c>
      <c r="D152" s="1" t="s">
        <v>24</v>
      </c>
      <c r="E152" s="1">
        <v>45</v>
      </c>
      <c r="F152" s="1" t="s">
        <v>50</v>
      </c>
      <c r="G152" s="1" t="s">
        <v>17</v>
      </c>
      <c r="H152" s="1" t="s">
        <v>498</v>
      </c>
      <c r="I152" s="1">
        <v>55679</v>
      </c>
      <c r="J152" s="1" t="s">
        <v>60</v>
      </c>
      <c r="K152" s="1" t="s">
        <v>499</v>
      </c>
      <c r="L152" s="1" t="s">
        <v>36</v>
      </c>
      <c r="M152" s="1" t="str">
        <f>_xlfn.XLOOKUP(Sheet1!F152,Departments!$A$2:$A$6,Departments!$B$2:$B$6)</f>
        <v>Finance</v>
      </c>
      <c r="N152" s="1">
        <f>_xlfn.XLOOKUP(A152,Performance!$A$2:$A$501,Performance!$C$2:$C$501)</f>
        <v>2</v>
      </c>
      <c r="O152" s="1" cm="1">
        <f t="array" ref="O152">_xlfn.IFS(N152=5,I152+0.15*I152,N152=4,I152+I152*0.1,N152=3,I152+I152*0.07,N152&lt;3,I152+I152*0.05)</f>
        <v>58462.95</v>
      </c>
    </row>
    <row r="153" spans="1:15" x14ac:dyDescent="0.3">
      <c r="A153" s="1" t="s">
        <v>500</v>
      </c>
      <c r="B153" s="1" t="s">
        <v>38</v>
      </c>
      <c r="C153" s="1" t="s">
        <v>90</v>
      </c>
      <c r="D153" s="1" t="s">
        <v>15</v>
      </c>
      <c r="E153" s="1">
        <v>25</v>
      </c>
      <c r="F153" s="1" t="s">
        <v>25</v>
      </c>
      <c r="G153" s="1" t="s">
        <v>32</v>
      </c>
      <c r="H153" s="1" t="s">
        <v>501</v>
      </c>
      <c r="I153" s="1">
        <v>94614</v>
      </c>
      <c r="J153" s="1" t="s">
        <v>34</v>
      </c>
      <c r="K153" s="1" t="s">
        <v>502</v>
      </c>
      <c r="L153" s="1" t="s">
        <v>21</v>
      </c>
      <c r="M153" s="1" t="str">
        <f>_xlfn.XLOOKUP(Sheet1!F153,Departments!$A$2:$A$6,Departments!$B$2:$B$6)</f>
        <v>IT</v>
      </c>
      <c r="N153" s="1">
        <f>_xlfn.XLOOKUP(A153,Performance!$A$2:$A$501,Performance!$C$2:$C$501)</f>
        <v>5</v>
      </c>
      <c r="O153" s="1" cm="1">
        <f t="array" ref="O153">_xlfn.IFS(N153=5,I153+0.15*I153,N153=4,I153+I153*0.1,N153=3,I153+I153*0.07,N153&lt;3,I153+I153*0.05)</f>
        <v>108806.1</v>
      </c>
    </row>
    <row r="154" spans="1:15" x14ac:dyDescent="0.3">
      <c r="A154" s="1" t="s">
        <v>503</v>
      </c>
      <c r="B154" s="1" t="s">
        <v>30</v>
      </c>
      <c r="C154" s="1" t="s">
        <v>90</v>
      </c>
      <c r="D154" s="1" t="s">
        <v>24</v>
      </c>
      <c r="E154" s="1">
        <v>53</v>
      </c>
      <c r="F154" s="1" t="s">
        <v>31</v>
      </c>
      <c r="G154" s="1" t="s">
        <v>40</v>
      </c>
      <c r="H154" s="1" t="s">
        <v>504</v>
      </c>
      <c r="I154" s="1">
        <v>102516</v>
      </c>
      <c r="J154" s="1" t="s">
        <v>34</v>
      </c>
      <c r="K154" s="1" t="s">
        <v>505</v>
      </c>
      <c r="L154" s="1" t="s">
        <v>21</v>
      </c>
      <c r="M154" s="1" t="str">
        <f>_xlfn.XLOOKUP(Sheet1!F154,Departments!$A$2:$A$6,Departments!$B$2:$B$6)</f>
        <v>Sales</v>
      </c>
      <c r="N154" s="1">
        <f>_xlfn.XLOOKUP(A154,Performance!$A$2:$A$501,Performance!$C$2:$C$501)</f>
        <v>5</v>
      </c>
      <c r="O154" s="1" cm="1">
        <f t="array" ref="O154">_xlfn.IFS(N154=5,I154+0.15*I154,N154=4,I154+I154*0.1,N154=3,I154+I154*0.07,N154&lt;3,I154+I154*0.05)</f>
        <v>117893.4</v>
      </c>
    </row>
    <row r="155" spans="1:15" x14ac:dyDescent="0.3">
      <c r="A155" s="1" t="s">
        <v>506</v>
      </c>
      <c r="B155" s="1" t="s">
        <v>49</v>
      </c>
      <c r="C155" s="1" t="s">
        <v>90</v>
      </c>
      <c r="D155" s="1" t="s">
        <v>24</v>
      </c>
      <c r="E155" s="1">
        <v>48</v>
      </c>
      <c r="F155" s="1" t="s">
        <v>31</v>
      </c>
      <c r="G155" s="1" t="s">
        <v>17</v>
      </c>
      <c r="H155" s="1" t="s">
        <v>507</v>
      </c>
      <c r="I155" s="1">
        <v>47666</v>
      </c>
      <c r="J155" s="1" t="s">
        <v>80</v>
      </c>
      <c r="K155" s="1" t="s">
        <v>508</v>
      </c>
      <c r="L155" s="1" t="s">
        <v>36</v>
      </c>
      <c r="M155" s="1" t="str">
        <f>_xlfn.XLOOKUP(Sheet1!F155,Departments!$A$2:$A$6,Departments!$B$2:$B$6)</f>
        <v>Sales</v>
      </c>
      <c r="N155" s="1">
        <f>_xlfn.XLOOKUP(A155,Performance!$A$2:$A$501,Performance!$C$2:$C$501)</f>
        <v>2</v>
      </c>
      <c r="O155" s="1" cm="1">
        <f t="array" ref="O155">_xlfn.IFS(N155=5,I155+0.15*I155,N155=4,I155+I155*0.1,N155=3,I155+I155*0.07,N155&lt;3,I155+I155*0.05)</f>
        <v>50049.3</v>
      </c>
    </row>
    <row r="156" spans="1:15" x14ac:dyDescent="0.3">
      <c r="A156" s="1" t="s">
        <v>509</v>
      </c>
      <c r="B156" s="1" t="s">
        <v>54</v>
      </c>
      <c r="C156" s="1" t="s">
        <v>23</v>
      </c>
      <c r="D156" s="1" t="s">
        <v>15</v>
      </c>
      <c r="E156" s="1">
        <v>27</v>
      </c>
      <c r="F156" s="1" t="s">
        <v>16</v>
      </c>
      <c r="G156" s="1" t="s">
        <v>40</v>
      </c>
      <c r="H156" s="1" t="s">
        <v>510</v>
      </c>
      <c r="I156" s="1">
        <v>72710</v>
      </c>
      <c r="J156" s="1" t="s">
        <v>80</v>
      </c>
      <c r="K156" s="1" t="s">
        <v>511</v>
      </c>
      <c r="L156" s="1" t="s">
        <v>36</v>
      </c>
      <c r="M156" s="1" t="str">
        <f>_xlfn.XLOOKUP(Sheet1!F156,Departments!$A$2:$A$6,Departments!$B$2:$B$6)</f>
        <v>HR</v>
      </c>
      <c r="N156" s="1">
        <f>_xlfn.XLOOKUP(A156,Performance!$A$2:$A$501,Performance!$C$2:$C$501)</f>
        <v>2</v>
      </c>
      <c r="O156" s="1" cm="1">
        <f t="array" ref="O156">_xlfn.IFS(N156=5,I156+0.15*I156,N156=4,I156+I156*0.1,N156=3,I156+I156*0.07,N156&lt;3,I156+I156*0.05)</f>
        <v>76345.5</v>
      </c>
    </row>
    <row r="157" spans="1:15" x14ac:dyDescent="0.3">
      <c r="A157" s="1" t="s">
        <v>512</v>
      </c>
      <c r="B157" s="1" t="s">
        <v>71</v>
      </c>
      <c r="C157" s="1" t="s">
        <v>23</v>
      </c>
      <c r="D157" s="1" t="s">
        <v>24</v>
      </c>
      <c r="E157" s="1">
        <v>22</v>
      </c>
      <c r="F157" s="1" t="s">
        <v>25</v>
      </c>
      <c r="G157" s="1" t="s">
        <v>108</v>
      </c>
      <c r="H157" s="1" t="s">
        <v>513</v>
      </c>
      <c r="I157" s="1">
        <v>60944</v>
      </c>
      <c r="J157" s="1" t="s">
        <v>65</v>
      </c>
      <c r="K157" s="1" t="s">
        <v>514</v>
      </c>
      <c r="L157" s="1" t="s">
        <v>36</v>
      </c>
      <c r="M157" s="1" t="str">
        <f>_xlfn.XLOOKUP(Sheet1!F157,Departments!$A$2:$A$6,Departments!$B$2:$B$6)</f>
        <v>IT</v>
      </c>
      <c r="N157" s="1">
        <f>_xlfn.XLOOKUP(A157,Performance!$A$2:$A$501,Performance!$C$2:$C$501)</f>
        <v>3</v>
      </c>
      <c r="O157" s="1" cm="1">
        <f t="array" ref="O157">_xlfn.IFS(N157=5,I157+0.15*I157,N157=4,I157+I157*0.1,N157=3,I157+I157*0.07,N157&lt;3,I157+I157*0.05)</f>
        <v>65210.080000000002</v>
      </c>
    </row>
    <row r="158" spans="1:15" x14ac:dyDescent="0.3">
      <c r="A158" s="1" t="s">
        <v>515</v>
      </c>
      <c r="B158" s="1" t="s">
        <v>54</v>
      </c>
      <c r="C158" s="1" t="s">
        <v>78</v>
      </c>
      <c r="D158" s="1" t="s">
        <v>15</v>
      </c>
      <c r="E158" s="1">
        <v>39</v>
      </c>
      <c r="F158" s="1" t="s">
        <v>50</v>
      </c>
      <c r="G158" s="1" t="s">
        <v>32</v>
      </c>
      <c r="H158" s="1" t="s">
        <v>516</v>
      </c>
      <c r="I158" s="1">
        <v>87181</v>
      </c>
      <c r="J158" s="1" t="s">
        <v>60</v>
      </c>
      <c r="K158" s="1" t="s">
        <v>517</v>
      </c>
      <c r="L158" s="1" t="s">
        <v>21</v>
      </c>
      <c r="M158" s="1" t="str">
        <f>_xlfn.XLOOKUP(Sheet1!F158,Departments!$A$2:$A$6,Departments!$B$2:$B$6)</f>
        <v>Finance</v>
      </c>
      <c r="N158" s="1">
        <f>_xlfn.XLOOKUP(A158,Performance!$A$2:$A$501,Performance!$C$2:$C$501)</f>
        <v>5</v>
      </c>
      <c r="O158" s="1" cm="1">
        <f t="array" ref="O158">_xlfn.IFS(N158=5,I158+0.15*I158,N158=4,I158+I158*0.1,N158=3,I158+I158*0.07,N158&lt;3,I158+I158*0.05)</f>
        <v>100258.15</v>
      </c>
    </row>
    <row r="159" spans="1:15" x14ac:dyDescent="0.3">
      <c r="A159" s="1" t="s">
        <v>518</v>
      </c>
      <c r="B159" s="1" t="s">
        <v>71</v>
      </c>
      <c r="C159" s="1" t="s">
        <v>63</v>
      </c>
      <c r="D159" s="1" t="s">
        <v>15</v>
      </c>
      <c r="E159" s="1">
        <v>42</v>
      </c>
      <c r="F159" s="1" t="s">
        <v>31</v>
      </c>
      <c r="G159" s="1" t="s">
        <v>32</v>
      </c>
      <c r="H159" s="1" t="s">
        <v>519</v>
      </c>
      <c r="I159" s="1">
        <v>65659</v>
      </c>
      <c r="J159" s="1" t="s">
        <v>65</v>
      </c>
      <c r="K159" s="1" t="s">
        <v>520</v>
      </c>
      <c r="L159" s="1" t="s">
        <v>36</v>
      </c>
      <c r="M159" s="1" t="str">
        <f>_xlfn.XLOOKUP(Sheet1!F159,Departments!$A$2:$A$6,Departments!$B$2:$B$6)</f>
        <v>Sales</v>
      </c>
      <c r="N159" s="1">
        <f>_xlfn.XLOOKUP(A159,Performance!$A$2:$A$501,Performance!$C$2:$C$501)</f>
        <v>3</v>
      </c>
      <c r="O159" s="1" cm="1">
        <f t="array" ref="O159">_xlfn.IFS(N159=5,I159+0.15*I159,N159=4,I159+I159*0.1,N159=3,I159+I159*0.07,N159&lt;3,I159+I159*0.05)</f>
        <v>70255.13</v>
      </c>
    </row>
    <row r="160" spans="1:15" x14ac:dyDescent="0.3">
      <c r="A160" s="1" t="s">
        <v>521</v>
      </c>
      <c r="B160" s="1" t="s">
        <v>49</v>
      </c>
      <c r="C160" s="1" t="s">
        <v>78</v>
      </c>
      <c r="D160" s="1" t="s">
        <v>24</v>
      </c>
      <c r="E160" s="1">
        <v>46</v>
      </c>
      <c r="F160" s="1" t="s">
        <v>50</v>
      </c>
      <c r="G160" s="1" t="s">
        <v>32</v>
      </c>
      <c r="H160" s="1" t="s">
        <v>522</v>
      </c>
      <c r="I160" s="1">
        <v>100538</v>
      </c>
      <c r="J160" s="1" t="s">
        <v>65</v>
      </c>
      <c r="K160" s="1" t="s">
        <v>523</v>
      </c>
      <c r="L160" s="1" t="s">
        <v>21</v>
      </c>
      <c r="M160" s="1" t="str">
        <f>_xlfn.XLOOKUP(Sheet1!F160,Departments!$A$2:$A$6,Departments!$B$2:$B$6)</f>
        <v>Finance</v>
      </c>
      <c r="N160" s="1">
        <f>_xlfn.XLOOKUP(A160,Performance!$A$2:$A$501,Performance!$C$2:$C$501)</f>
        <v>5</v>
      </c>
      <c r="O160" s="1" cm="1">
        <f t="array" ref="O160">_xlfn.IFS(N160=5,I160+0.15*I160,N160=4,I160+I160*0.1,N160=3,I160+I160*0.07,N160&lt;3,I160+I160*0.05)</f>
        <v>115618.7</v>
      </c>
    </row>
    <row r="161" spans="1:15" x14ac:dyDescent="0.3">
      <c r="A161" s="1" t="s">
        <v>524</v>
      </c>
      <c r="B161" s="1" t="s">
        <v>71</v>
      </c>
      <c r="C161" s="1" t="s">
        <v>165</v>
      </c>
      <c r="D161" s="1" t="s">
        <v>24</v>
      </c>
      <c r="E161" s="1">
        <v>49</v>
      </c>
      <c r="F161" s="1" t="s">
        <v>50</v>
      </c>
      <c r="G161" s="1" t="s">
        <v>32</v>
      </c>
      <c r="H161" s="1" t="s">
        <v>525</v>
      </c>
      <c r="I161" s="1">
        <v>109819</v>
      </c>
      <c r="J161" s="1" t="s">
        <v>19</v>
      </c>
      <c r="K161" s="1" t="s">
        <v>526</v>
      </c>
      <c r="L161" s="1" t="s">
        <v>21</v>
      </c>
      <c r="M161" s="1" t="str">
        <f>_xlfn.XLOOKUP(Sheet1!F161,Departments!$A$2:$A$6,Departments!$B$2:$B$6)</f>
        <v>Finance</v>
      </c>
      <c r="N161" s="1">
        <f>_xlfn.XLOOKUP(A161,Performance!$A$2:$A$501,Performance!$C$2:$C$501)</f>
        <v>4</v>
      </c>
      <c r="O161" s="1" cm="1">
        <f t="array" ref="O161">_xlfn.IFS(N161=5,I161+0.15*I161,N161=4,I161+I161*0.1,N161=3,I161+I161*0.07,N161&lt;3,I161+I161*0.05)</f>
        <v>120800.9</v>
      </c>
    </row>
    <row r="162" spans="1:15" x14ac:dyDescent="0.3">
      <c r="A162" s="1" t="s">
        <v>527</v>
      </c>
      <c r="B162" s="1" t="s">
        <v>38</v>
      </c>
      <c r="C162" s="1" t="s">
        <v>14</v>
      </c>
      <c r="D162" s="1" t="s">
        <v>15</v>
      </c>
      <c r="E162" s="1">
        <v>24</v>
      </c>
      <c r="F162" s="1" t="s">
        <v>31</v>
      </c>
      <c r="G162" s="1" t="s">
        <v>40</v>
      </c>
      <c r="H162" s="1" t="s">
        <v>528</v>
      </c>
      <c r="I162" s="1">
        <v>113747</v>
      </c>
      <c r="J162" s="1" t="s">
        <v>60</v>
      </c>
      <c r="K162" s="1" t="s">
        <v>529</v>
      </c>
      <c r="L162" s="1" t="s">
        <v>21</v>
      </c>
      <c r="M162" s="1" t="str">
        <f>_xlfn.XLOOKUP(Sheet1!F162,Departments!$A$2:$A$6,Departments!$B$2:$B$6)</f>
        <v>Sales</v>
      </c>
      <c r="N162" s="1">
        <f>_xlfn.XLOOKUP(A162,Performance!$A$2:$A$501,Performance!$C$2:$C$501)</f>
        <v>3</v>
      </c>
      <c r="O162" s="1" cm="1">
        <f t="array" ref="O162">_xlfn.IFS(N162=5,I162+0.15*I162,N162=4,I162+I162*0.1,N162=3,I162+I162*0.07,N162&lt;3,I162+I162*0.05)</f>
        <v>121709.29000000001</v>
      </c>
    </row>
    <row r="163" spans="1:15" x14ac:dyDescent="0.3">
      <c r="A163" s="1" t="s">
        <v>530</v>
      </c>
      <c r="B163" s="1" t="s">
        <v>94</v>
      </c>
      <c r="C163" s="1" t="s">
        <v>45</v>
      </c>
      <c r="D163" s="1" t="s">
        <v>24</v>
      </c>
      <c r="E163" s="1">
        <v>51</v>
      </c>
      <c r="F163" s="1" t="s">
        <v>50</v>
      </c>
      <c r="G163" s="1" t="s">
        <v>26</v>
      </c>
      <c r="H163" s="1" t="s">
        <v>258</v>
      </c>
      <c r="I163" s="1">
        <v>103468</v>
      </c>
      <c r="J163" s="1" t="s">
        <v>65</v>
      </c>
      <c r="K163" s="1" t="s">
        <v>531</v>
      </c>
      <c r="L163" s="1" t="s">
        <v>21</v>
      </c>
      <c r="M163" s="1" t="str">
        <f>_xlfn.XLOOKUP(Sheet1!F163,Departments!$A$2:$A$6,Departments!$B$2:$B$6)</f>
        <v>Finance</v>
      </c>
      <c r="N163" s="1">
        <f>_xlfn.XLOOKUP(A163,Performance!$A$2:$A$501,Performance!$C$2:$C$501)</f>
        <v>4</v>
      </c>
      <c r="O163" s="1" cm="1">
        <f t="array" ref="O163">_xlfn.IFS(N163=5,I163+0.15*I163,N163=4,I163+I163*0.1,N163=3,I163+I163*0.07,N163&lt;3,I163+I163*0.05)</f>
        <v>113814.8</v>
      </c>
    </row>
    <row r="164" spans="1:15" x14ac:dyDescent="0.3">
      <c r="A164" s="1" t="s">
        <v>532</v>
      </c>
      <c r="B164" s="1" t="s">
        <v>30</v>
      </c>
      <c r="C164" s="1" t="s">
        <v>90</v>
      </c>
      <c r="D164" s="1" t="s">
        <v>24</v>
      </c>
      <c r="E164" s="1">
        <v>22</v>
      </c>
      <c r="F164" s="1" t="s">
        <v>31</v>
      </c>
      <c r="G164" s="1" t="s">
        <v>32</v>
      </c>
      <c r="H164" s="1" t="s">
        <v>533</v>
      </c>
      <c r="I164" s="1">
        <v>55327</v>
      </c>
      <c r="J164" s="1" t="s">
        <v>65</v>
      </c>
      <c r="K164" s="1" t="s">
        <v>534</v>
      </c>
      <c r="L164" s="1" t="s">
        <v>36</v>
      </c>
      <c r="M164" s="1" t="str">
        <f>_xlfn.XLOOKUP(Sheet1!F164,Departments!$A$2:$A$6,Departments!$B$2:$B$6)</f>
        <v>Sales</v>
      </c>
      <c r="N164" s="1">
        <f>_xlfn.XLOOKUP(A164,Performance!$A$2:$A$501,Performance!$C$2:$C$501)</f>
        <v>4</v>
      </c>
      <c r="O164" s="1" cm="1">
        <f t="array" ref="O164">_xlfn.IFS(N164=5,I164+0.15*I164,N164=4,I164+I164*0.1,N164=3,I164+I164*0.07,N164&lt;3,I164+I164*0.05)</f>
        <v>60859.7</v>
      </c>
    </row>
    <row r="165" spans="1:15" x14ac:dyDescent="0.3">
      <c r="A165" s="1" t="s">
        <v>535</v>
      </c>
      <c r="B165" s="1" t="s">
        <v>49</v>
      </c>
      <c r="C165" s="1" t="s">
        <v>45</v>
      </c>
      <c r="D165" s="1" t="s">
        <v>24</v>
      </c>
      <c r="E165" s="1">
        <v>43</v>
      </c>
      <c r="F165" s="1" t="s">
        <v>31</v>
      </c>
      <c r="G165" s="1" t="s">
        <v>26</v>
      </c>
      <c r="H165" s="1" t="s">
        <v>536</v>
      </c>
      <c r="I165" s="1">
        <v>89628</v>
      </c>
      <c r="J165" s="1" t="s">
        <v>60</v>
      </c>
      <c r="K165" s="1" t="s">
        <v>537</v>
      </c>
      <c r="L165" s="1" t="s">
        <v>21</v>
      </c>
      <c r="M165" s="1" t="str">
        <f>_xlfn.XLOOKUP(Sheet1!F165,Departments!$A$2:$A$6,Departments!$B$2:$B$6)</f>
        <v>Sales</v>
      </c>
      <c r="N165" s="1">
        <f>_xlfn.XLOOKUP(A165,Performance!$A$2:$A$501,Performance!$C$2:$C$501)</f>
        <v>3</v>
      </c>
      <c r="O165" s="1" cm="1">
        <f t="array" ref="O165">_xlfn.IFS(N165=5,I165+0.15*I165,N165=4,I165+I165*0.1,N165=3,I165+I165*0.07,N165&lt;3,I165+I165*0.05)</f>
        <v>95901.96</v>
      </c>
    </row>
    <row r="166" spans="1:15" x14ac:dyDescent="0.3">
      <c r="A166" s="1" t="s">
        <v>538</v>
      </c>
      <c r="B166" s="1" t="s">
        <v>44</v>
      </c>
      <c r="C166" s="1" t="s">
        <v>78</v>
      </c>
      <c r="D166" s="1" t="s">
        <v>15</v>
      </c>
      <c r="E166" s="1">
        <v>25</v>
      </c>
      <c r="F166" s="1" t="s">
        <v>50</v>
      </c>
      <c r="G166" s="1" t="s">
        <v>108</v>
      </c>
      <c r="H166" s="1" t="s">
        <v>539</v>
      </c>
      <c r="I166" s="1">
        <v>98304</v>
      </c>
      <c r="J166" s="1" t="s">
        <v>80</v>
      </c>
      <c r="K166" s="1" t="s">
        <v>540</v>
      </c>
      <c r="L166" s="1" t="s">
        <v>36</v>
      </c>
      <c r="M166" s="1" t="str">
        <f>_xlfn.XLOOKUP(Sheet1!F166,Departments!$A$2:$A$6,Departments!$B$2:$B$6)</f>
        <v>Finance</v>
      </c>
      <c r="N166" s="1">
        <f>_xlfn.XLOOKUP(A166,Performance!$A$2:$A$501,Performance!$C$2:$C$501)</f>
        <v>5</v>
      </c>
      <c r="O166" s="1" cm="1">
        <f t="array" ref="O166">_xlfn.IFS(N166=5,I166+0.15*I166,N166=4,I166+I166*0.1,N166=3,I166+I166*0.07,N166&lt;3,I166+I166*0.05)</f>
        <v>113049.60000000001</v>
      </c>
    </row>
    <row r="167" spans="1:15" x14ac:dyDescent="0.3">
      <c r="A167" s="1" t="s">
        <v>541</v>
      </c>
      <c r="B167" s="1" t="s">
        <v>54</v>
      </c>
      <c r="C167" s="1" t="s">
        <v>90</v>
      </c>
      <c r="D167" s="1" t="s">
        <v>15</v>
      </c>
      <c r="E167" s="1">
        <v>50</v>
      </c>
      <c r="F167" s="1" t="s">
        <v>16</v>
      </c>
      <c r="G167" s="1" t="s">
        <v>26</v>
      </c>
      <c r="H167" s="1" t="s">
        <v>542</v>
      </c>
      <c r="I167" s="1">
        <v>116611</v>
      </c>
      <c r="J167" s="1" t="s">
        <v>65</v>
      </c>
      <c r="K167" s="1" t="s">
        <v>543</v>
      </c>
      <c r="L167" s="1" t="s">
        <v>36</v>
      </c>
      <c r="M167" s="1" t="str">
        <f>_xlfn.XLOOKUP(Sheet1!F167,Departments!$A$2:$A$6,Departments!$B$2:$B$6)</f>
        <v>HR</v>
      </c>
      <c r="N167" s="1">
        <f>_xlfn.XLOOKUP(A167,Performance!$A$2:$A$501,Performance!$C$2:$C$501)</f>
        <v>2</v>
      </c>
      <c r="O167" s="1" cm="1">
        <f t="array" ref="O167">_xlfn.IFS(N167=5,I167+0.15*I167,N167=4,I167+I167*0.1,N167=3,I167+I167*0.07,N167&lt;3,I167+I167*0.05)</f>
        <v>122441.55</v>
      </c>
    </row>
    <row r="168" spans="1:15" x14ac:dyDescent="0.3">
      <c r="A168" s="1" t="s">
        <v>544</v>
      </c>
      <c r="B168" s="1" t="s">
        <v>38</v>
      </c>
      <c r="C168" s="1" t="s">
        <v>78</v>
      </c>
      <c r="D168" s="1" t="s">
        <v>24</v>
      </c>
      <c r="E168" s="1">
        <v>41</v>
      </c>
      <c r="F168" s="1" t="s">
        <v>39</v>
      </c>
      <c r="G168" s="1" t="s">
        <v>17</v>
      </c>
      <c r="H168" s="1" t="s">
        <v>545</v>
      </c>
      <c r="I168" s="1">
        <v>45748</v>
      </c>
      <c r="J168" s="1" t="s">
        <v>19</v>
      </c>
      <c r="K168" s="1" t="s">
        <v>546</v>
      </c>
      <c r="L168" s="1" t="s">
        <v>36</v>
      </c>
      <c r="M168" s="1" t="str">
        <f>_xlfn.XLOOKUP(Sheet1!F168,Departments!$A$2:$A$6,Departments!$B$2:$B$6)</f>
        <v>Marketing</v>
      </c>
      <c r="N168" s="1">
        <f>_xlfn.XLOOKUP(A168,Performance!$A$2:$A$501,Performance!$C$2:$C$501)</f>
        <v>1</v>
      </c>
      <c r="O168" s="1" cm="1">
        <f t="array" ref="O168">_xlfn.IFS(N168=5,I168+0.15*I168,N168=4,I168+I168*0.1,N168=3,I168+I168*0.07,N168&lt;3,I168+I168*0.05)</f>
        <v>48035.4</v>
      </c>
    </row>
    <row r="169" spans="1:15" x14ac:dyDescent="0.3">
      <c r="A169" s="1" t="s">
        <v>547</v>
      </c>
      <c r="B169" s="1" t="s">
        <v>54</v>
      </c>
      <c r="C169" s="1" t="s">
        <v>83</v>
      </c>
      <c r="D169" s="1" t="s">
        <v>24</v>
      </c>
      <c r="E169" s="1">
        <v>48</v>
      </c>
      <c r="F169" s="1" t="s">
        <v>39</v>
      </c>
      <c r="G169" s="1" t="s">
        <v>32</v>
      </c>
      <c r="H169" s="1" t="s">
        <v>548</v>
      </c>
      <c r="I169" s="1">
        <v>45767</v>
      </c>
      <c r="J169" s="1" t="s">
        <v>80</v>
      </c>
      <c r="K169" s="1" t="s">
        <v>549</v>
      </c>
      <c r="L169" s="1" t="s">
        <v>36</v>
      </c>
      <c r="M169" s="1" t="str">
        <f>_xlfn.XLOOKUP(Sheet1!F169,Departments!$A$2:$A$6,Departments!$B$2:$B$6)</f>
        <v>Marketing</v>
      </c>
      <c r="N169" s="1">
        <f>_xlfn.XLOOKUP(A169,Performance!$A$2:$A$501,Performance!$C$2:$C$501)</f>
        <v>2</v>
      </c>
      <c r="O169" s="1" cm="1">
        <f t="array" ref="O169">_xlfn.IFS(N169=5,I169+0.15*I169,N169=4,I169+I169*0.1,N169=3,I169+I169*0.07,N169&lt;3,I169+I169*0.05)</f>
        <v>48055.35</v>
      </c>
    </row>
    <row r="170" spans="1:15" x14ac:dyDescent="0.3">
      <c r="A170" s="1" t="s">
        <v>550</v>
      </c>
      <c r="B170" s="1" t="s">
        <v>58</v>
      </c>
      <c r="C170" s="1" t="s">
        <v>45</v>
      </c>
      <c r="D170" s="1" t="s">
        <v>24</v>
      </c>
      <c r="E170" s="1">
        <v>49</v>
      </c>
      <c r="F170" s="1" t="s">
        <v>50</v>
      </c>
      <c r="G170" s="1" t="s">
        <v>108</v>
      </c>
      <c r="H170" s="1" t="s">
        <v>551</v>
      </c>
      <c r="I170" s="1">
        <v>63927</v>
      </c>
      <c r="J170" s="1" t="s">
        <v>34</v>
      </c>
      <c r="K170" s="1" t="s">
        <v>552</v>
      </c>
      <c r="L170" s="1" t="s">
        <v>36</v>
      </c>
      <c r="M170" s="1" t="str">
        <f>_xlfn.XLOOKUP(Sheet1!F170,Departments!$A$2:$A$6,Departments!$B$2:$B$6)</f>
        <v>Finance</v>
      </c>
      <c r="N170" s="1">
        <f>_xlfn.XLOOKUP(A170,Performance!$A$2:$A$501,Performance!$C$2:$C$501)</f>
        <v>2</v>
      </c>
      <c r="O170" s="1" cm="1">
        <f t="array" ref="O170">_xlfn.IFS(N170=5,I170+0.15*I170,N170=4,I170+I170*0.1,N170=3,I170+I170*0.07,N170&lt;3,I170+I170*0.05)</f>
        <v>67123.350000000006</v>
      </c>
    </row>
    <row r="171" spans="1:15" x14ac:dyDescent="0.3">
      <c r="A171" s="1" t="s">
        <v>553</v>
      </c>
      <c r="B171" s="1" t="s">
        <v>71</v>
      </c>
      <c r="C171" s="1" t="s">
        <v>23</v>
      </c>
      <c r="D171" s="1" t="s">
        <v>24</v>
      </c>
      <c r="E171" s="1">
        <v>46</v>
      </c>
      <c r="F171" s="1" t="s">
        <v>16</v>
      </c>
      <c r="G171" s="1" t="s">
        <v>108</v>
      </c>
      <c r="H171" s="1" t="s">
        <v>554</v>
      </c>
      <c r="I171" s="1">
        <v>116657</v>
      </c>
      <c r="J171" s="1" t="s">
        <v>60</v>
      </c>
      <c r="K171" s="1" t="s">
        <v>555</v>
      </c>
      <c r="L171" s="1" t="s">
        <v>36</v>
      </c>
      <c r="M171" s="1" t="str">
        <f>_xlfn.XLOOKUP(Sheet1!F171,Departments!$A$2:$A$6,Departments!$B$2:$B$6)</f>
        <v>HR</v>
      </c>
      <c r="N171" s="1">
        <f>_xlfn.XLOOKUP(A171,Performance!$A$2:$A$501,Performance!$C$2:$C$501)</f>
        <v>1</v>
      </c>
      <c r="O171" s="1" cm="1">
        <f t="array" ref="O171">_xlfn.IFS(N171=5,I171+0.15*I171,N171=4,I171+I171*0.1,N171=3,I171+I171*0.07,N171&lt;3,I171+I171*0.05)</f>
        <v>122489.85</v>
      </c>
    </row>
    <row r="172" spans="1:15" x14ac:dyDescent="0.3">
      <c r="A172" s="1" t="s">
        <v>556</v>
      </c>
      <c r="B172" s="1" t="s">
        <v>13</v>
      </c>
      <c r="C172" s="1" t="s">
        <v>90</v>
      </c>
      <c r="D172" s="1" t="s">
        <v>24</v>
      </c>
      <c r="E172" s="1">
        <v>49</v>
      </c>
      <c r="F172" s="1" t="s">
        <v>25</v>
      </c>
      <c r="G172" s="1" t="s">
        <v>26</v>
      </c>
      <c r="H172" s="1" t="s">
        <v>557</v>
      </c>
      <c r="I172" s="1">
        <v>35376</v>
      </c>
      <c r="J172" s="1" t="s">
        <v>34</v>
      </c>
      <c r="K172" s="1" t="s">
        <v>558</v>
      </c>
      <c r="L172" s="1" t="s">
        <v>36</v>
      </c>
      <c r="M172" s="1" t="str">
        <f>_xlfn.XLOOKUP(Sheet1!F172,Departments!$A$2:$A$6,Departments!$B$2:$B$6)</f>
        <v>IT</v>
      </c>
      <c r="N172" s="1">
        <f>_xlfn.XLOOKUP(A172,Performance!$A$2:$A$501,Performance!$C$2:$C$501)</f>
        <v>5</v>
      </c>
      <c r="O172" s="1" cm="1">
        <f t="array" ref="O172">_xlfn.IFS(N172=5,I172+0.15*I172,N172=4,I172+I172*0.1,N172=3,I172+I172*0.07,N172&lt;3,I172+I172*0.05)</f>
        <v>40682.400000000001</v>
      </c>
    </row>
    <row r="173" spans="1:15" x14ac:dyDescent="0.3">
      <c r="A173" s="1" t="s">
        <v>559</v>
      </c>
      <c r="B173" s="1" t="s">
        <v>143</v>
      </c>
      <c r="C173" s="1" t="s">
        <v>63</v>
      </c>
      <c r="D173" s="1" t="s">
        <v>24</v>
      </c>
      <c r="E173" s="1">
        <v>44</v>
      </c>
      <c r="F173" s="1" t="s">
        <v>25</v>
      </c>
      <c r="G173" s="1" t="s">
        <v>108</v>
      </c>
      <c r="H173" s="1" t="s">
        <v>560</v>
      </c>
      <c r="I173" s="1">
        <v>37908</v>
      </c>
      <c r="J173" s="1" t="s">
        <v>65</v>
      </c>
      <c r="K173" s="1" t="s">
        <v>561</v>
      </c>
      <c r="L173" s="1" t="s">
        <v>21</v>
      </c>
      <c r="M173" s="1" t="str">
        <f>_xlfn.XLOOKUP(Sheet1!F173,Departments!$A$2:$A$6,Departments!$B$2:$B$6)</f>
        <v>IT</v>
      </c>
      <c r="N173" s="1">
        <f>_xlfn.XLOOKUP(A173,Performance!$A$2:$A$501,Performance!$C$2:$C$501)</f>
        <v>5</v>
      </c>
      <c r="O173" s="1" cm="1">
        <f t="array" ref="O173">_xlfn.IFS(N173=5,I173+0.15*I173,N173=4,I173+I173*0.1,N173=3,I173+I173*0.07,N173&lt;3,I173+I173*0.05)</f>
        <v>43594.2</v>
      </c>
    </row>
    <row r="174" spans="1:15" x14ac:dyDescent="0.3">
      <c r="A174" s="1" t="s">
        <v>562</v>
      </c>
      <c r="B174" s="1" t="s">
        <v>58</v>
      </c>
      <c r="C174" s="1" t="s">
        <v>63</v>
      </c>
      <c r="D174" s="1" t="s">
        <v>24</v>
      </c>
      <c r="E174" s="1">
        <v>59</v>
      </c>
      <c r="F174" s="1" t="s">
        <v>16</v>
      </c>
      <c r="G174" s="1" t="s">
        <v>17</v>
      </c>
      <c r="H174" s="1" t="s">
        <v>563</v>
      </c>
      <c r="I174" s="1">
        <v>106205</v>
      </c>
      <c r="J174" s="1" t="s">
        <v>34</v>
      </c>
      <c r="K174" s="1" t="s">
        <v>564</v>
      </c>
      <c r="L174" s="1" t="s">
        <v>21</v>
      </c>
      <c r="M174" s="1" t="str">
        <f>_xlfn.XLOOKUP(Sheet1!F174,Departments!$A$2:$A$6,Departments!$B$2:$B$6)</f>
        <v>HR</v>
      </c>
      <c r="N174" s="1">
        <f>_xlfn.XLOOKUP(A174,Performance!$A$2:$A$501,Performance!$C$2:$C$501)</f>
        <v>3</v>
      </c>
      <c r="O174" s="1" cm="1">
        <f t="array" ref="O174">_xlfn.IFS(N174=5,I174+0.15*I174,N174=4,I174+I174*0.1,N174=3,I174+I174*0.07,N174&lt;3,I174+I174*0.05)</f>
        <v>113639.35</v>
      </c>
    </row>
    <row r="175" spans="1:15" x14ac:dyDescent="0.3">
      <c r="A175" s="1" t="s">
        <v>565</v>
      </c>
      <c r="B175" s="1" t="s">
        <v>94</v>
      </c>
      <c r="C175" s="1" t="s">
        <v>130</v>
      </c>
      <c r="D175" s="1" t="s">
        <v>15</v>
      </c>
      <c r="E175" s="1">
        <v>29</v>
      </c>
      <c r="F175" s="1" t="s">
        <v>39</v>
      </c>
      <c r="G175" s="1" t="s">
        <v>108</v>
      </c>
      <c r="H175" s="1" t="s">
        <v>566</v>
      </c>
      <c r="I175" s="1">
        <v>101504</v>
      </c>
      <c r="J175" s="1" t="s">
        <v>80</v>
      </c>
      <c r="K175" s="1" t="s">
        <v>567</v>
      </c>
      <c r="L175" s="1" t="s">
        <v>21</v>
      </c>
      <c r="M175" s="1" t="str">
        <f>_xlfn.XLOOKUP(Sheet1!F175,Departments!$A$2:$A$6,Departments!$B$2:$B$6)</f>
        <v>Marketing</v>
      </c>
      <c r="N175" s="1">
        <f>_xlfn.XLOOKUP(A175,Performance!$A$2:$A$501,Performance!$C$2:$C$501)</f>
        <v>1</v>
      </c>
      <c r="O175" s="1" cm="1">
        <f t="array" ref="O175">_xlfn.IFS(N175=5,I175+0.15*I175,N175=4,I175+I175*0.1,N175=3,I175+I175*0.07,N175&lt;3,I175+I175*0.05)</f>
        <v>106579.2</v>
      </c>
    </row>
    <row r="176" spans="1:15" x14ac:dyDescent="0.3">
      <c r="A176" s="1" t="s">
        <v>568</v>
      </c>
      <c r="B176" s="1" t="s">
        <v>54</v>
      </c>
      <c r="C176" s="1" t="s">
        <v>63</v>
      </c>
      <c r="D176" s="1" t="s">
        <v>15</v>
      </c>
      <c r="E176" s="1">
        <v>48</v>
      </c>
      <c r="F176" s="1" t="s">
        <v>16</v>
      </c>
      <c r="G176" s="1" t="s">
        <v>108</v>
      </c>
      <c r="H176" s="1" t="s">
        <v>569</v>
      </c>
      <c r="I176" s="1">
        <v>36710</v>
      </c>
      <c r="J176" s="1" t="s">
        <v>34</v>
      </c>
      <c r="K176" s="1" t="s">
        <v>570</v>
      </c>
      <c r="L176" s="1" t="s">
        <v>21</v>
      </c>
      <c r="M176" s="1" t="str">
        <f>_xlfn.XLOOKUP(Sheet1!F176,Departments!$A$2:$A$6,Departments!$B$2:$B$6)</f>
        <v>HR</v>
      </c>
      <c r="N176" s="1">
        <f>_xlfn.XLOOKUP(A176,Performance!$A$2:$A$501,Performance!$C$2:$C$501)</f>
        <v>1</v>
      </c>
      <c r="O176" s="1" cm="1">
        <f t="array" ref="O176">_xlfn.IFS(N176=5,I176+0.15*I176,N176=4,I176+I176*0.1,N176=3,I176+I176*0.07,N176&lt;3,I176+I176*0.05)</f>
        <v>38545.5</v>
      </c>
    </row>
    <row r="177" spans="1:15" x14ac:dyDescent="0.3">
      <c r="A177" s="1" t="s">
        <v>571</v>
      </c>
      <c r="B177" s="1" t="s">
        <v>143</v>
      </c>
      <c r="C177" s="1" t="s">
        <v>83</v>
      </c>
      <c r="D177" s="1" t="s">
        <v>15</v>
      </c>
      <c r="E177" s="1">
        <v>58</v>
      </c>
      <c r="F177" s="1" t="s">
        <v>16</v>
      </c>
      <c r="G177" s="1" t="s">
        <v>32</v>
      </c>
      <c r="H177" s="1" t="s">
        <v>572</v>
      </c>
      <c r="I177" s="1">
        <v>78149</v>
      </c>
      <c r="J177" s="1" t="s">
        <v>19</v>
      </c>
      <c r="K177" s="1" t="s">
        <v>573</v>
      </c>
      <c r="L177" s="1" t="s">
        <v>36</v>
      </c>
      <c r="M177" s="1" t="str">
        <f>_xlfn.XLOOKUP(Sheet1!F177,Departments!$A$2:$A$6,Departments!$B$2:$B$6)</f>
        <v>HR</v>
      </c>
      <c r="N177" s="1">
        <f>_xlfn.XLOOKUP(A177,Performance!$A$2:$A$501,Performance!$C$2:$C$501)</f>
        <v>5</v>
      </c>
      <c r="O177" s="1" cm="1">
        <f t="array" ref="O177">_xlfn.IFS(N177=5,I177+0.15*I177,N177=4,I177+I177*0.1,N177=3,I177+I177*0.07,N177&lt;3,I177+I177*0.05)</f>
        <v>89871.35</v>
      </c>
    </row>
    <row r="178" spans="1:15" x14ac:dyDescent="0.3">
      <c r="A178" s="1" t="s">
        <v>574</v>
      </c>
      <c r="B178" s="1" t="s">
        <v>54</v>
      </c>
      <c r="C178" s="1" t="s">
        <v>90</v>
      </c>
      <c r="D178" s="1" t="s">
        <v>15</v>
      </c>
      <c r="E178" s="1">
        <v>57</v>
      </c>
      <c r="F178" s="1" t="s">
        <v>31</v>
      </c>
      <c r="G178" s="1" t="s">
        <v>32</v>
      </c>
      <c r="H178" s="1" t="s">
        <v>575</v>
      </c>
      <c r="I178" s="1">
        <v>93998</v>
      </c>
      <c r="J178" s="1" t="s">
        <v>19</v>
      </c>
      <c r="K178" s="1" t="s">
        <v>576</v>
      </c>
      <c r="L178" s="1" t="s">
        <v>36</v>
      </c>
      <c r="M178" s="1" t="str">
        <f>_xlfn.XLOOKUP(Sheet1!F178,Departments!$A$2:$A$6,Departments!$B$2:$B$6)</f>
        <v>Sales</v>
      </c>
      <c r="N178" s="1">
        <f>_xlfn.XLOOKUP(A178,Performance!$A$2:$A$501,Performance!$C$2:$C$501)</f>
        <v>4</v>
      </c>
      <c r="O178" s="1" cm="1">
        <f t="array" ref="O178">_xlfn.IFS(N178=5,I178+0.15*I178,N178=4,I178+I178*0.1,N178=3,I178+I178*0.07,N178&lt;3,I178+I178*0.05)</f>
        <v>103397.8</v>
      </c>
    </row>
    <row r="179" spans="1:15" x14ac:dyDescent="0.3">
      <c r="A179" s="1" t="s">
        <v>577</v>
      </c>
      <c r="B179" s="1" t="s">
        <v>58</v>
      </c>
      <c r="C179" s="1" t="s">
        <v>78</v>
      </c>
      <c r="D179" s="1" t="s">
        <v>24</v>
      </c>
      <c r="E179" s="1">
        <v>50</v>
      </c>
      <c r="F179" s="1" t="s">
        <v>16</v>
      </c>
      <c r="G179" s="1" t="s">
        <v>40</v>
      </c>
      <c r="H179" s="1" t="s">
        <v>578</v>
      </c>
      <c r="I179" s="1">
        <v>47599</v>
      </c>
      <c r="J179" s="1" t="s">
        <v>80</v>
      </c>
      <c r="K179" s="1" t="s">
        <v>579</v>
      </c>
      <c r="L179" s="1" t="s">
        <v>21</v>
      </c>
      <c r="M179" s="1" t="str">
        <f>_xlfn.XLOOKUP(Sheet1!F179,Departments!$A$2:$A$6,Departments!$B$2:$B$6)</f>
        <v>HR</v>
      </c>
      <c r="N179" s="1">
        <f>_xlfn.XLOOKUP(A179,Performance!$A$2:$A$501,Performance!$C$2:$C$501)</f>
        <v>3</v>
      </c>
      <c r="O179" s="1" cm="1">
        <f t="array" ref="O179">_xlfn.IFS(N179=5,I179+0.15*I179,N179=4,I179+I179*0.1,N179=3,I179+I179*0.07,N179&lt;3,I179+I179*0.05)</f>
        <v>50930.93</v>
      </c>
    </row>
    <row r="180" spans="1:15" x14ac:dyDescent="0.3">
      <c r="A180" s="1" t="s">
        <v>580</v>
      </c>
      <c r="B180" s="1" t="s">
        <v>54</v>
      </c>
      <c r="C180" s="1" t="s">
        <v>45</v>
      </c>
      <c r="D180" s="1" t="s">
        <v>15</v>
      </c>
      <c r="E180" s="1">
        <v>32</v>
      </c>
      <c r="F180" s="1" t="s">
        <v>50</v>
      </c>
      <c r="G180" s="1" t="s">
        <v>26</v>
      </c>
      <c r="H180" s="1" t="s">
        <v>581</v>
      </c>
      <c r="I180" s="1">
        <v>82412</v>
      </c>
      <c r="J180" s="1" t="s">
        <v>65</v>
      </c>
      <c r="K180" s="1" t="s">
        <v>582</v>
      </c>
      <c r="L180" s="1" t="s">
        <v>36</v>
      </c>
      <c r="M180" s="1" t="str">
        <f>_xlfn.XLOOKUP(Sheet1!F180,Departments!$A$2:$A$6,Departments!$B$2:$B$6)</f>
        <v>Finance</v>
      </c>
      <c r="N180" s="1">
        <f>_xlfn.XLOOKUP(A180,Performance!$A$2:$A$501,Performance!$C$2:$C$501)</f>
        <v>4</v>
      </c>
      <c r="O180" s="1" cm="1">
        <f t="array" ref="O180">_xlfn.IFS(N180=5,I180+0.15*I180,N180=4,I180+I180*0.1,N180=3,I180+I180*0.07,N180&lt;3,I180+I180*0.05)</f>
        <v>90653.2</v>
      </c>
    </row>
    <row r="181" spans="1:15" x14ac:dyDescent="0.3">
      <c r="A181" s="1" t="s">
        <v>583</v>
      </c>
      <c r="B181" s="1" t="s">
        <v>30</v>
      </c>
      <c r="C181" s="1" t="s">
        <v>78</v>
      </c>
      <c r="D181" s="1" t="s">
        <v>24</v>
      </c>
      <c r="E181" s="1">
        <v>52</v>
      </c>
      <c r="F181" s="1" t="s">
        <v>31</v>
      </c>
      <c r="G181" s="1" t="s">
        <v>17</v>
      </c>
      <c r="H181" s="1" t="s">
        <v>584</v>
      </c>
      <c r="I181" s="1">
        <v>82496</v>
      </c>
      <c r="J181" s="1" t="s">
        <v>65</v>
      </c>
      <c r="K181" s="1" t="s">
        <v>585</v>
      </c>
      <c r="L181" s="1" t="s">
        <v>21</v>
      </c>
      <c r="M181" s="1" t="str">
        <f>_xlfn.XLOOKUP(Sheet1!F181,Departments!$A$2:$A$6,Departments!$B$2:$B$6)</f>
        <v>Sales</v>
      </c>
      <c r="N181" s="1">
        <f>_xlfn.XLOOKUP(A181,Performance!$A$2:$A$501,Performance!$C$2:$C$501)</f>
        <v>2</v>
      </c>
      <c r="O181" s="1" cm="1">
        <f t="array" ref="O181">_xlfn.IFS(N181=5,I181+0.15*I181,N181=4,I181+I181*0.1,N181=3,I181+I181*0.07,N181&lt;3,I181+I181*0.05)</f>
        <v>86620.800000000003</v>
      </c>
    </row>
    <row r="182" spans="1:15" x14ac:dyDescent="0.3">
      <c r="A182" s="1" t="s">
        <v>586</v>
      </c>
      <c r="B182" s="1" t="s">
        <v>49</v>
      </c>
      <c r="C182" s="1" t="s">
        <v>130</v>
      </c>
      <c r="D182" s="1" t="s">
        <v>15</v>
      </c>
      <c r="E182" s="1">
        <v>60</v>
      </c>
      <c r="F182" s="1" t="s">
        <v>31</v>
      </c>
      <c r="G182" s="1" t="s">
        <v>26</v>
      </c>
      <c r="H182" s="1" t="s">
        <v>587</v>
      </c>
      <c r="I182" s="1">
        <v>51231</v>
      </c>
      <c r="J182" s="1" t="s">
        <v>65</v>
      </c>
      <c r="K182" s="1" t="s">
        <v>588</v>
      </c>
      <c r="L182" s="1" t="s">
        <v>36</v>
      </c>
      <c r="M182" s="1" t="str">
        <f>_xlfn.XLOOKUP(Sheet1!F182,Departments!$A$2:$A$6,Departments!$B$2:$B$6)</f>
        <v>Sales</v>
      </c>
      <c r="N182" s="1">
        <f>_xlfn.XLOOKUP(A182,Performance!$A$2:$A$501,Performance!$C$2:$C$501)</f>
        <v>2</v>
      </c>
      <c r="O182" s="1" cm="1">
        <f t="array" ref="O182">_xlfn.IFS(N182=5,I182+0.15*I182,N182=4,I182+I182*0.1,N182=3,I182+I182*0.07,N182&lt;3,I182+I182*0.05)</f>
        <v>53792.55</v>
      </c>
    </row>
    <row r="183" spans="1:15" x14ac:dyDescent="0.3">
      <c r="A183" s="1" t="s">
        <v>589</v>
      </c>
      <c r="B183" s="1" t="s">
        <v>143</v>
      </c>
      <c r="C183" s="1" t="s">
        <v>14</v>
      </c>
      <c r="D183" s="1" t="s">
        <v>15</v>
      </c>
      <c r="E183" s="1">
        <v>48</v>
      </c>
      <c r="F183" s="1" t="s">
        <v>50</v>
      </c>
      <c r="G183" s="1" t="s">
        <v>26</v>
      </c>
      <c r="H183" s="1" t="s">
        <v>590</v>
      </c>
      <c r="I183" s="1">
        <v>119053</v>
      </c>
      <c r="J183" s="1" t="s">
        <v>19</v>
      </c>
      <c r="K183" s="1" t="s">
        <v>591</v>
      </c>
      <c r="L183" s="1" t="s">
        <v>21</v>
      </c>
      <c r="M183" s="1" t="str">
        <f>_xlfn.XLOOKUP(Sheet1!F183,Departments!$A$2:$A$6,Departments!$B$2:$B$6)</f>
        <v>Finance</v>
      </c>
      <c r="N183" s="1">
        <f>_xlfn.XLOOKUP(A183,Performance!$A$2:$A$501,Performance!$C$2:$C$501)</f>
        <v>4</v>
      </c>
      <c r="O183" s="1" cm="1">
        <f t="array" ref="O183">_xlfn.IFS(N183=5,I183+0.15*I183,N183=4,I183+I183*0.1,N183=3,I183+I183*0.07,N183&lt;3,I183+I183*0.05)</f>
        <v>130958.3</v>
      </c>
    </row>
    <row r="184" spans="1:15" x14ac:dyDescent="0.3">
      <c r="A184" s="1" t="s">
        <v>592</v>
      </c>
      <c r="B184" s="1" t="s">
        <v>71</v>
      </c>
      <c r="C184" s="1" t="s">
        <v>83</v>
      </c>
      <c r="D184" s="1" t="s">
        <v>24</v>
      </c>
      <c r="E184" s="1">
        <v>60</v>
      </c>
      <c r="F184" s="1" t="s">
        <v>31</v>
      </c>
      <c r="G184" s="1" t="s">
        <v>17</v>
      </c>
      <c r="H184" s="1" t="s">
        <v>593</v>
      </c>
      <c r="I184" s="1">
        <v>111243</v>
      </c>
      <c r="J184" s="1" t="s">
        <v>19</v>
      </c>
      <c r="K184" s="1" t="s">
        <v>594</v>
      </c>
      <c r="L184" s="1" t="s">
        <v>21</v>
      </c>
      <c r="M184" s="1" t="str">
        <f>_xlfn.XLOOKUP(Sheet1!F184,Departments!$A$2:$A$6,Departments!$B$2:$B$6)</f>
        <v>Sales</v>
      </c>
      <c r="N184" s="1">
        <f>_xlfn.XLOOKUP(A184,Performance!$A$2:$A$501,Performance!$C$2:$C$501)</f>
        <v>4</v>
      </c>
      <c r="O184" s="1" cm="1">
        <f t="array" ref="O184">_xlfn.IFS(N184=5,I184+0.15*I184,N184=4,I184+I184*0.1,N184=3,I184+I184*0.07,N184&lt;3,I184+I184*0.05)</f>
        <v>122367.3</v>
      </c>
    </row>
    <row r="185" spans="1:15" x14ac:dyDescent="0.3">
      <c r="A185" s="1" t="s">
        <v>595</v>
      </c>
      <c r="B185" s="1" t="s">
        <v>143</v>
      </c>
      <c r="C185" s="1" t="s">
        <v>63</v>
      </c>
      <c r="D185" s="1" t="s">
        <v>15</v>
      </c>
      <c r="E185" s="1">
        <v>55</v>
      </c>
      <c r="F185" s="1" t="s">
        <v>25</v>
      </c>
      <c r="G185" s="1" t="s">
        <v>17</v>
      </c>
      <c r="H185" s="1" t="s">
        <v>596</v>
      </c>
      <c r="I185" s="1">
        <v>73063</v>
      </c>
      <c r="J185" s="1" t="s">
        <v>80</v>
      </c>
      <c r="K185" s="1" t="s">
        <v>597</v>
      </c>
      <c r="L185" s="1" t="s">
        <v>21</v>
      </c>
      <c r="M185" s="1" t="str">
        <f>_xlfn.XLOOKUP(Sheet1!F185,Departments!$A$2:$A$6,Departments!$B$2:$B$6)</f>
        <v>IT</v>
      </c>
      <c r="N185" s="1">
        <f>_xlfn.XLOOKUP(A185,Performance!$A$2:$A$501,Performance!$C$2:$C$501)</f>
        <v>1</v>
      </c>
      <c r="O185" s="1" cm="1">
        <f t="array" ref="O185">_xlfn.IFS(N185=5,I185+0.15*I185,N185=4,I185+I185*0.1,N185=3,I185+I185*0.07,N185&lt;3,I185+I185*0.05)</f>
        <v>76716.149999999994</v>
      </c>
    </row>
    <row r="186" spans="1:15" x14ac:dyDescent="0.3">
      <c r="A186" s="1" t="s">
        <v>598</v>
      </c>
      <c r="B186" s="1" t="s">
        <v>143</v>
      </c>
      <c r="C186" s="1" t="s">
        <v>45</v>
      </c>
      <c r="D186" s="1" t="s">
        <v>24</v>
      </c>
      <c r="E186" s="1">
        <v>35</v>
      </c>
      <c r="F186" s="1" t="s">
        <v>39</v>
      </c>
      <c r="G186" s="1" t="s">
        <v>17</v>
      </c>
      <c r="H186" s="1" t="s">
        <v>427</v>
      </c>
      <c r="I186" s="1">
        <v>71247</v>
      </c>
      <c r="J186" s="1" t="s">
        <v>19</v>
      </c>
      <c r="K186" s="1" t="s">
        <v>599</v>
      </c>
      <c r="L186" s="1" t="s">
        <v>36</v>
      </c>
      <c r="M186" s="1" t="str">
        <f>_xlfn.XLOOKUP(Sheet1!F186,Departments!$A$2:$A$6,Departments!$B$2:$B$6)</f>
        <v>Marketing</v>
      </c>
      <c r="N186" s="1">
        <f>_xlfn.XLOOKUP(A186,Performance!$A$2:$A$501,Performance!$C$2:$C$501)</f>
        <v>4</v>
      </c>
      <c r="O186" s="1" cm="1">
        <f t="array" ref="O186">_xlfn.IFS(N186=5,I186+0.15*I186,N186=4,I186+I186*0.1,N186=3,I186+I186*0.07,N186&lt;3,I186+I186*0.05)</f>
        <v>78371.7</v>
      </c>
    </row>
    <row r="187" spans="1:15" x14ac:dyDescent="0.3">
      <c r="A187" s="1" t="s">
        <v>600</v>
      </c>
      <c r="B187" s="1" t="s">
        <v>38</v>
      </c>
      <c r="C187" s="1" t="s">
        <v>130</v>
      </c>
      <c r="D187" s="1" t="s">
        <v>24</v>
      </c>
      <c r="E187" s="1">
        <v>41</v>
      </c>
      <c r="F187" s="1" t="s">
        <v>31</v>
      </c>
      <c r="G187" s="1" t="s">
        <v>26</v>
      </c>
      <c r="H187" s="1" t="s">
        <v>601</v>
      </c>
      <c r="I187" s="1">
        <v>67422</v>
      </c>
      <c r="J187" s="1" t="s">
        <v>65</v>
      </c>
      <c r="K187" s="1" t="s">
        <v>602</v>
      </c>
      <c r="L187" s="1" t="s">
        <v>36</v>
      </c>
      <c r="M187" s="1" t="str">
        <f>_xlfn.XLOOKUP(Sheet1!F187,Departments!$A$2:$A$6,Departments!$B$2:$B$6)</f>
        <v>Sales</v>
      </c>
      <c r="N187" s="1">
        <f>_xlfn.XLOOKUP(A187,Performance!$A$2:$A$501,Performance!$C$2:$C$501)</f>
        <v>2</v>
      </c>
      <c r="O187" s="1" cm="1">
        <f t="array" ref="O187">_xlfn.IFS(N187=5,I187+0.15*I187,N187=4,I187+I187*0.1,N187=3,I187+I187*0.07,N187&lt;3,I187+I187*0.05)</f>
        <v>70793.100000000006</v>
      </c>
    </row>
    <row r="188" spans="1:15" x14ac:dyDescent="0.3">
      <c r="A188" s="1" t="s">
        <v>603</v>
      </c>
      <c r="B188" s="1" t="s">
        <v>30</v>
      </c>
      <c r="C188" s="1" t="s">
        <v>63</v>
      </c>
      <c r="D188" s="1" t="s">
        <v>15</v>
      </c>
      <c r="E188" s="1">
        <v>26</v>
      </c>
      <c r="F188" s="1" t="s">
        <v>25</v>
      </c>
      <c r="G188" s="1" t="s">
        <v>32</v>
      </c>
      <c r="H188" s="1" t="s">
        <v>201</v>
      </c>
      <c r="I188" s="1">
        <v>110628</v>
      </c>
      <c r="J188" s="1" t="s">
        <v>65</v>
      </c>
      <c r="K188" s="1" t="s">
        <v>604</v>
      </c>
      <c r="L188" s="1" t="s">
        <v>36</v>
      </c>
      <c r="M188" s="1" t="str">
        <f>_xlfn.XLOOKUP(Sheet1!F188,Departments!$A$2:$A$6,Departments!$B$2:$B$6)</f>
        <v>IT</v>
      </c>
      <c r="N188" s="1">
        <f>_xlfn.XLOOKUP(A188,Performance!$A$2:$A$501,Performance!$C$2:$C$501)</f>
        <v>3</v>
      </c>
      <c r="O188" s="1" cm="1">
        <f t="array" ref="O188">_xlfn.IFS(N188=5,I188+0.15*I188,N188=4,I188+I188*0.1,N188=3,I188+I188*0.07,N188&lt;3,I188+I188*0.05)</f>
        <v>118371.96</v>
      </c>
    </row>
    <row r="189" spans="1:15" x14ac:dyDescent="0.3">
      <c r="A189" s="1" t="s">
        <v>605</v>
      </c>
      <c r="B189" s="1" t="s">
        <v>49</v>
      </c>
      <c r="C189" s="1" t="s">
        <v>165</v>
      </c>
      <c r="D189" s="1" t="s">
        <v>15</v>
      </c>
      <c r="E189" s="1">
        <v>48</v>
      </c>
      <c r="F189" s="1" t="s">
        <v>39</v>
      </c>
      <c r="G189" s="1" t="s">
        <v>17</v>
      </c>
      <c r="H189" s="1" t="s">
        <v>606</v>
      </c>
      <c r="I189" s="1">
        <v>96540</v>
      </c>
      <c r="J189" s="1" t="s">
        <v>34</v>
      </c>
      <c r="K189" s="1" t="s">
        <v>607</v>
      </c>
      <c r="L189" s="1" t="s">
        <v>36</v>
      </c>
      <c r="M189" s="1" t="str">
        <f>_xlfn.XLOOKUP(Sheet1!F189,Departments!$A$2:$A$6,Departments!$B$2:$B$6)</f>
        <v>Marketing</v>
      </c>
      <c r="N189" s="1">
        <f>_xlfn.XLOOKUP(A189,Performance!$A$2:$A$501,Performance!$C$2:$C$501)</f>
        <v>3</v>
      </c>
      <c r="O189" s="1" cm="1">
        <f t="array" ref="O189">_xlfn.IFS(N189=5,I189+0.15*I189,N189=4,I189+I189*0.1,N189=3,I189+I189*0.07,N189&lt;3,I189+I189*0.05)</f>
        <v>103297.8</v>
      </c>
    </row>
    <row r="190" spans="1:15" x14ac:dyDescent="0.3">
      <c r="A190" s="1" t="s">
        <v>608</v>
      </c>
      <c r="B190" s="1" t="s">
        <v>54</v>
      </c>
      <c r="C190" s="1" t="s">
        <v>78</v>
      </c>
      <c r="D190" s="1" t="s">
        <v>15</v>
      </c>
      <c r="E190" s="1">
        <v>49</v>
      </c>
      <c r="F190" s="1" t="s">
        <v>39</v>
      </c>
      <c r="G190" s="1" t="s">
        <v>17</v>
      </c>
      <c r="H190" s="1" t="s">
        <v>609</v>
      </c>
      <c r="I190" s="1">
        <v>76991</v>
      </c>
      <c r="J190" s="1" t="s">
        <v>60</v>
      </c>
      <c r="K190" s="1" t="s">
        <v>610</v>
      </c>
      <c r="L190" s="1" t="s">
        <v>21</v>
      </c>
      <c r="M190" s="1" t="str">
        <f>_xlfn.XLOOKUP(Sheet1!F190,Departments!$A$2:$A$6,Departments!$B$2:$B$6)</f>
        <v>Marketing</v>
      </c>
      <c r="N190" s="1">
        <f>_xlfn.XLOOKUP(A190,Performance!$A$2:$A$501,Performance!$C$2:$C$501)</f>
        <v>5</v>
      </c>
      <c r="O190" s="1" cm="1">
        <f t="array" ref="O190">_xlfn.IFS(N190=5,I190+0.15*I190,N190=4,I190+I190*0.1,N190=3,I190+I190*0.07,N190&lt;3,I190+I190*0.05)</f>
        <v>88539.65</v>
      </c>
    </row>
    <row r="191" spans="1:15" x14ac:dyDescent="0.3">
      <c r="A191" s="1" t="s">
        <v>611</v>
      </c>
      <c r="B191" s="1" t="s">
        <v>58</v>
      </c>
      <c r="C191" s="1" t="s">
        <v>130</v>
      </c>
      <c r="D191" s="1" t="s">
        <v>24</v>
      </c>
      <c r="E191" s="1">
        <v>26</v>
      </c>
      <c r="F191" s="1" t="s">
        <v>31</v>
      </c>
      <c r="G191" s="1" t="s">
        <v>17</v>
      </c>
      <c r="H191" s="1" t="s">
        <v>612</v>
      </c>
      <c r="I191" s="1">
        <v>92562</v>
      </c>
      <c r="J191" s="1" t="s">
        <v>34</v>
      </c>
      <c r="K191" s="1" t="s">
        <v>613</v>
      </c>
      <c r="L191" s="1" t="s">
        <v>36</v>
      </c>
      <c r="M191" s="1" t="str">
        <f>_xlfn.XLOOKUP(Sheet1!F191,Departments!$A$2:$A$6,Departments!$B$2:$B$6)</f>
        <v>Sales</v>
      </c>
      <c r="N191" s="1">
        <f>_xlfn.XLOOKUP(A191,Performance!$A$2:$A$501,Performance!$C$2:$C$501)</f>
        <v>5</v>
      </c>
      <c r="O191" s="1" cm="1">
        <f t="array" ref="O191">_xlfn.IFS(N191=5,I191+0.15*I191,N191=4,I191+I191*0.1,N191=3,I191+I191*0.07,N191&lt;3,I191+I191*0.05)</f>
        <v>106446.3</v>
      </c>
    </row>
    <row r="192" spans="1:15" x14ac:dyDescent="0.3">
      <c r="A192" s="1" t="s">
        <v>614</v>
      </c>
      <c r="B192" s="1" t="s">
        <v>143</v>
      </c>
      <c r="C192" s="1" t="s">
        <v>165</v>
      </c>
      <c r="D192" s="1" t="s">
        <v>15</v>
      </c>
      <c r="E192" s="1">
        <v>51</v>
      </c>
      <c r="F192" s="1" t="s">
        <v>31</v>
      </c>
      <c r="G192" s="1" t="s">
        <v>40</v>
      </c>
      <c r="H192" s="1" t="s">
        <v>615</v>
      </c>
      <c r="I192" s="1">
        <v>102983</v>
      </c>
      <c r="J192" s="1" t="s">
        <v>34</v>
      </c>
      <c r="K192" s="1" t="s">
        <v>616</v>
      </c>
      <c r="L192" s="1" t="s">
        <v>36</v>
      </c>
      <c r="M192" s="1" t="str">
        <f>_xlfn.XLOOKUP(Sheet1!F192,Departments!$A$2:$A$6,Departments!$B$2:$B$6)</f>
        <v>Sales</v>
      </c>
      <c r="N192" s="1">
        <f>_xlfn.XLOOKUP(A192,Performance!$A$2:$A$501,Performance!$C$2:$C$501)</f>
        <v>2</v>
      </c>
      <c r="O192" s="1" cm="1">
        <f t="array" ref="O192">_xlfn.IFS(N192=5,I192+0.15*I192,N192=4,I192+I192*0.1,N192=3,I192+I192*0.07,N192&lt;3,I192+I192*0.05)</f>
        <v>108132.15</v>
      </c>
    </row>
    <row r="193" spans="1:15" x14ac:dyDescent="0.3">
      <c r="A193" s="1" t="s">
        <v>617</v>
      </c>
      <c r="B193" s="1" t="s">
        <v>143</v>
      </c>
      <c r="C193" s="1" t="s">
        <v>95</v>
      </c>
      <c r="D193" s="1" t="s">
        <v>24</v>
      </c>
      <c r="E193" s="1">
        <v>23</v>
      </c>
      <c r="F193" s="1" t="s">
        <v>16</v>
      </c>
      <c r="G193" s="1" t="s">
        <v>32</v>
      </c>
      <c r="H193" s="1" t="s">
        <v>618</v>
      </c>
      <c r="I193" s="1">
        <v>114420</v>
      </c>
      <c r="J193" s="1" t="s">
        <v>19</v>
      </c>
      <c r="K193" s="1" t="s">
        <v>619</v>
      </c>
      <c r="L193" s="1" t="s">
        <v>21</v>
      </c>
      <c r="M193" s="1" t="str">
        <f>_xlfn.XLOOKUP(Sheet1!F193,Departments!$A$2:$A$6,Departments!$B$2:$B$6)</f>
        <v>HR</v>
      </c>
      <c r="N193" s="1">
        <f>_xlfn.XLOOKUP(A193,Performance!$A$2:$A$501,Performance!$C$2:$C$501)</f>
        <v>3</v>
      </c>
      <c r="O193" s="1" cm="1">
        <f t="array" ref="O193">_xlfn.IFS(N193=5,I193+0.15*I193,N193=4,I193+I193*0.1,N193=3,I193+I193*0.07,N193&lt;3,I193+I193*0.05)</f>
        <v>122429.4</v>
      </c>
    </row>
    <row r="194" spans="1:15" x14ac:dyDescent="0.3">
      <c r="A194" s="1" t="s">
        <v>620</v>
      </c>
      <c r="B194" s="1" t="s">
        <v>30</v>
      </c>
      <c r="C194" s="1" t="s">
        <v>165</v>
      </c>
      <c r="D194" s="1" t="s">
        <v>15</v>
      </c>
      <c r="E194" s="1">
        <v>58</v>
      </c>
      <c r="F194" s="1" t="s">
        <v>50</v>
      </c>
      <c r="G194" s="1" t="s">
        <v>32</v>
      </c>
      <c r="H194" s="1" t="s">
        <v>621</v>
      </c>
      <c r="I194" s="1">
        <v>108419</v>
      </c>
      <c r="J194" s="1" t="s">
        <v>60</v>
      </c>
      <c r="K194" s="1" t="s">
        <v>622</v>
      </c>
      <c r="L194" s="1" t="s">
        <v>21</v>
      </c>
      <c r="M194" s="1" t="str">
        <f>_xlfn.XLOOKUP(Sheet1!F194,Departments!$A$2:$A$6,Departments!$B$2:$B$6)</f>
        <v>Finance</v>
      </c>
      <c r="N194" s="1">
        <f>_xlfn.XLOOKUP(A194,Performance!$A$2:$A$501,Performance!$C$2:$C$501)</f>
        <v>3</v>
      </c>
      <c r="O194" s="1" cm="1">
        <f t="array" ref="O194">_xlfn.IFS(N194=5,I194+0.15*I194,N194=4,I194+I194*0.1,N194=3,I194+I194*0.07,N194&lt;3,I194+I194*0.05)</f>
        <v>116008.33</v>
      </c>
    </row>
    <row r="195" spans="1:15" x14ac:dyDescent="0.3">
      <c r="A195" s="1" t="s">
        <v>623</v>
      </c>
      <c r="B195" s="1" t="s">
        <v>94</v>
      </c>
      <c r="C195" s="1" t="s">
        <v>45</v>
      </c>
      <c r="D195" s="1" t="s">
        <v>24</v>
      </c>
      <c r="E195" s="1">
        <v>54</v>
      </c>
      <c r="F195" s="1" t="s">
        <v>31</v>
      </c>
      <c r="G195" s="1" t="s">
        <v>108</v>
      </c>
      <c r="H195" s="1" t="s">
        <v>624</v>
      </c>
      <c r="I195" s="1">
        <v>100498</v>
      </c>
      <c r="J195" s="1" t="s">
        <v>65</v>
      </c>
      <c r="K195" s="1" t="s">
        <v>625</v>
      </c>
      <c r="L195" s="1" t="s">
        <v>36</v>
      </c>
      <c r="M195" s="1" t="str">
        <f>_xlfn.XLOOKUP(Sheet1!F195,Departments!$A$2:$A$6,Departments!$B$2:$B$6)</f>
        <v>Sales</v>
      </c>
      <c r="N195" s="1">
        <f>_xlfn.XLOOKUP(A195,Performance!$A$2:$A$501,Performance!$C$2:$C$501)</f>
        <v>3</v>
      </c>
      <c r="O195" s="1" cm="1">
        <f t="array" ref="O195">_xlfn.IFS(N195=5,I195+0.15*I195,N195=4,I195+I195*0.1,N195=3,I195+I195*0.07,N195&lt;3,I195+I195*0.05)</f>
        <v>107532.86</v>
      </c>
    </row>
    <row r="196" spans="1:15" x14ac:dyDescent="0.3">
      <c r="A196" s="1" t="s">
        <v>626</v>
      </c>
      <c r="B196" s="1" t="s">
        <v>13</v>
      </c>
      <c r="C196" s="1" t="s">
        <v>165</v>
      </c>
      <c r="D196" s="1" t="s">
        <v>24</v>
      </c>
      <c r="E196" s="1">
        <v>48</v>
      </c>
      <c r="F196" s="1" t="s">
        <v>25</v>
      </c>
      <c r="G196" s="1" t="s">
        <v>17</v>
      </c>
      <c r="H196" s="1" t="s">
        <v>627</v>
      </c>
      <c r="I196" s="1">
        <v>62004</v>
      </c>
      <c r="J196" s="1" t="s">
        <v>65</v>
      </c>
      <c r="K196" s="1" t="s">
        <v>628</v>
      </c>
      <c r="L196" s="1" t="s">
        <v>21</v>
      </c>
      <c r="M196" s="1" t="str">
        <f>_xlfn.XLOOKUP(Sheet1!F196,Departments!$A$2:$A$6,Departments!$B$2:$B$6)</f>
        <v>IT</v>
      </c>
      <c r="N196" s="1">
        <f>_xlfn.XLOOKUP(A196,Performance!$A$2:$A$501,Performance!$C$2:$C$501)</f>
        <v>2</v>
      </c>
      <c r="O196" s="1" cm="1">
        <f t="array" ref="O196">_xlfn.IFS(N196=5,I196+0.15*I196,N196=4,I196+I196*0.1,N196=3,I196+I196*0.07,N196&lt;3,I196+I196*0.05)</f>
        <v>65104.2</v>
      </c>
    </row>
    <row r="197" spans="1:15" x14ac:dyDescent="0.3">
      <c r="A197" s="1" t="s">
        <v>629</v>
      </c>
      <c r="B197" s="1" t="s">
        <v>58</v>
      </c>
      <c r="C197" s="1" t="s">
        <v>83</v>
      </c>
      <c r="D197" s="1" t="s">
        <v>24</v>
      </c>
      <c r="E197" s="1">
        <v>46</v>
      </c>
      <c r="F197" s="1" t="s">
        <v>39</v>
      </c>
      <c r="G197" s="1" t="s">
        <v>26</v>
      </c>
      <c r="H197" s="1" t="s">
        <v>630</v>
      </c>
      <c r="I197" s="1">
        <v>37033</v>
      </c>
      <c r="J197" s="1" t="s">
        <v>60</v>
      </c>
      <c r="K197" s="1" t="s">
        <v>631</v>
      </c>
      <c r="L197" s="1" t="s">
        <v>36</v>
      </c>
      <c r="M197" s="1" t="str">
        <f>_xlfn.XLOOKUP(Sheet1!F197,Departments!$A$2:$A$6,Departments!$B$2:$B$6)</f>
        <v>Marketing</v>
      </c>
      <c r="N197" s="1">
        <f>_xlfn.XLOOKUP(A197,Performance!$A$2:$A$501,Performance!$C$2:$C$501)</f>
        <v>3</v>
      </c>
      <c r="O197" s="1" cm="1">
        <f t="array" ref="O197">_xlfn.IFS(N197=5,I197+0.15*I197,N197=4,I197+I197*0.1,N197=3,I197+I197*0.07,N197&lt;3,I197+I197*0.05)</f>
        <v>39625.31</v>
      </c>
    </row>
    <row r="198" spans="1:15" x14ac:dyDescent="0.3">
      <c r="A198" s="1" t="s">
        <v>632</v>
      </c>
      <c r="B198" s="1" t="s">
        <v>13</v>
      </c>
      <c r="C198" s="1" t="s">
        <v>63</v>
      </c>
      <c r="D198" s="1" t="s">
        <v>24</v>
      </c>
      <c r="E198" s="1">
        <v>25</v>
      </c>
      <c r="F198" s="1" t="s">
        <v>39</v>
      </c>
      <c r="G198" s="1" t="s">
        <v>108</v>
      </c>
      <c r="H198" s="1" t="s">
        <v>633</v>
      </c>
      <c r="I198" s="1">
        <v>58062</v>
      </c>
      <c r="J198" s="1" t="s">
        <v>34</v>
      </c>
      <c r="K198" s="1" t="s">
        <v>634</v>
      </c>
      <c r="L198" s="1" t="s">
        <v>21</v>
      </c>
      <c r="M198" s="1" t="str">
        <f>_xlfn.XLOOKUP(Sheet1!F198,Departments!$A$2:$A$6,Departments!$B$2:$B$6)</f>
        <v>Marketing</v>
      </c>
      <c r="N198" s="1">
        <f>_xlfn.XLOOKUP(A198,Performance!$A$2:$A$501,Performance!$C$2:$C$501)</f>
        <v>2</v>
      </c>
      <c r="O198" s="1" cm="1">
        <f t="array" ref="O198">_xlfn.IFS(N198=5,I198+0.15*I198,N198=4,I198+I198*0.1,N198=3,I198+I198*0.07,N198&lt;3,I198+I198*0.05)</f>
        <v>60965.1</v>
      </c>
    </row>
    <row r="199" spans="1:15" x14ac:dyDescent="0.3">
      <c r="A199" s="1" t="s">
        <v>635</v>
      </c>
      <c r="B199" s="1" t="s">
        <v>44</v>
      </c>
      <c r="C199" s="1" t="s">
        <v>130</v>
      </c>
      <c r="D199" s="1" t="s">
        <v>15</v>
      </c>
      <c r="E199" s="1">
        <v>29</v>
      </c>
      <c r="F199" s="1" t="s">
        <v>16</v>
      </c>
      <c r="G199" s="1" t="s">
        <v>40</v>
      </c>
      <c r="H199" s="1" t="s">
        <v>261</v>
      </c>
      <c r="I199" s="1">
        <v>49357</v>
      </c>
      <c r="J199" s="1" t="s">
        <v>60</v>
      </c>
      <c r="K199" s="1" t="s">
        <v>636</v>
      </c>
      <c r="L199" s="1" t="s">
        <v>21</v>
      </c>
      <c r="M199" s="1" t="str">
        <f>_xlfn.XLOOKUP(Sheet1!F199,Departments!$A$2:$A$6,Departments!$B$2:$B$6)</f>
        <v>HR</v>
      </c>
      <c r="N199" s="1">
        <f>_xlfn.XLOOKUP(A199,Performance!$A$2:$A$501,Performance!$C$2:$C$501)</f>
        <v>2</v>
      </c>
      <c r="O199" s="1" cm="1">
        <f t="array" ref="O199">_xlfn.IFS(N199=5,I199+0.15*I199,N199=4,I199+I199*0.1,N199=3,I199+I199*0.07,N199&lt;3,I199+I199*0.05)</f>
        <v>51824.85</v>
      </c>
    </row>
    <row r="200" spans="1:15" x14ac:dyDescent="0.3">
      <c r="A200" s="1" t="s">
        <v>637</v>
      </c>
      <c r="B200" s="1" t="s">
        <v>71</v>
      </c>
      <c r="C200" s="1" t="s">
        <v>90</v>
      </c>
      <c r="D200" s="1" t="s">
        <v>15</v>
      </c>
      <c r="E200" s="1">
        <v>54</v>
      </c>
      <c r="F200" s="1" t="s">
        <v>31</v>
      </c>
      <c r="G200" s="1" t="s">
        <v>26</v>
      </c>
      <c r="H200" s="1" t="s">
        <v>638</v>
      </c>
      <c r="I200" s="1">
        <v>59758</v>
      </c>
      <c r="J200" s="1" t="s">
        <v>34</v>
      </c>
      <c r="K200" s="1" t="s">
        <v>639</v>
      </c>
      <c r="L200" s="1" t="s">
        <v>36</v>
      </c>
      <c r="M200" s="1" t="str">
        <f>_xlfn.XLOOKUP(Sheet1!F200,Departments!$A$2:$A$6,Departments!$B$2:$B$6)</f>
        <v>Sales</v>
      </c>
      <c r="N200" s="1">
        <f>_xlfn.XLOOKUP(A200,Performance!$A$2:$A$501,Performance!$C$2:$C$501)</f>
        <v>5</v>
      </c>
      <c r="O200" s="1" cm="1">
        <f t="array" ref="O200">_xlfn.IFS(N200=5,I200+0.15*I200,N200=4,I200+I200*0.1,N200=3,I200+I200*0.07,N200&lt;3,I200+I200*0.05)</f>
        <v>68721.7</v>
      </c>
    </row>
    <row r="201" spans="1:15" x14ac:dyDescent="0.3">
      <c r="A201" s="1" t="s">
        <v>640</v>
      </c>
      <c r="B201" s="1" t="s">
        <v>94</v>
      </c>
      <c r="C201" s="1" t="s">
        <v>165</v>
      </c>
      <c r="D201" s="1" t="s">
        <v>24</v>
      </c>
      <c r="E201" s="1">
        <v>37</v>
      </c>
      <c r="F201" s="1" t="s">
        <v>50</v>
      </c>
      <c r="G201" s="1" t="s">
        <v>17</v>
      </c>
      <c r="H201" s="1" t="s">
        <v>641</v>
      </c>
      <c r="I201" s="1">
        <v>45788</v>
      </c>
      <c r="J201" s="1" t="s">
        <v>80</v>
      </c>
      <c r="K201" s="1" t="s">
        <v>642</v>
      </c>
      <c r="L201" s="1" t="s">
        <v>36</v>
      </c>
      <c r="M201" s="1" t="str">
        <f>_xlfn.XLOOKUP(Sheet1!F201,Departments!$A$2:$A$6,Departments!$B$2:$B$6)</f>
        <v>Finance</v>
      </c>
      <c r="N201" s="1">
        <f>_xlfn.XLOOKUP(A201,Performance!$A$2:$A$501,Performance!$C$2:$C$501)</f>
        <v>1</v>
      </c>
      <c r="O201" s="1" cm="1">
        <f t="array" ref="O201">_xlfn.IFS(N201=5,I201+0.15*I201,N201=4,I201+I201*0.1,N201=3,I201+I201*0.07,N201&lt;3,I201+I201*0.05)</f>
        <v>48077.4</v>
      </c>
    </row>
    <row r="202" spans="1:15" x14ac:dyDescent="0.3">
      <c r="A202" s="1" t="s">
        <v>643</v>
      </c>
      <c r="B202" s="1" t="s">
        <v>30</v>
      </c>
      <c r="C202" s="1" t="s">
        <v>23</v>
      </c>
      <c r="D202" s="1" t="s">
        <v>24</v>
      </c>
      <c r="E202" s="1">
        <v>28</v>
      </c>
      <c r="F202" s="1" t="s">
        <v>16</v>
      </c>
      <c r="G202" s="1" t="s">
        <v>32</v>
      </c>
      <c r="H202" s="1" t="s">
        <v>644</v>
      </c>
      <c r="I202" s="1">
        <v>38862</v>
      </c>
      <c r="J202" s="1" t="s">
        <v>65</v>
      </c>
      <c r="K202" s="1" t="s">
        <v>645</v>
      </c>
      <c r="L202" s="1" t="s">
        <v>36</v>
      </c>
      <c r="M202" s="1" t="str">
        <f>_xlfn.XLOOKUP(Sheet1!F202,Departments!$A$2:$A$6,Departments!$B$2:$B$6)</f>
        <v>HR</v>
      </c>
      <c r="N202" s="1">
        <f>_xlfn.XLOOKUP(A202,Performance!$A$2:$A$501,Performance!$C$2:$C$501)</f>
        <v>3</v>
      </c>
      <c r="O202" s="1" cm="1">
        <f t="array" ref="O202">_xlfn.IFS(N202=5,I202+0.15*I202,N202=4,I202+I202*0.1,N202=3,I202+I202*0.07,N202&lt;3,I202+I202*0.05)</f>
        <v>41582.339999999997</v>
      </c>
    </row>
    <row r="203" spans="1:15" x14ac:dyDescent="0.3">
      <c r="A203" s="1" t="s">
        <v>646</v>
      </c>
      <c r="B203" s="1" t="s">
        <v>44</v>
      </c>
      <c r="C203" s="1" t="s">
        <v>165</v>
      </c>
      <c r="D203" s="1" t="s">
        <v>24</v>
      </c>
      <c r="E203" s="1">
        <v>48</v>
      </c>
      <c r="F203" s="1" t="s">
        <v>25</v>
      </c>
      <c r="G203" s="1" t="s">
        <v>40</v>
      </c>
      <c r="H203" s="1" t="s">
        <v>647</v>
      </c>
      <c r="I203" s="1">
        <v>76132</v>
      </c>
      <c r="J203" s="1" t="s">
        <v>19</v>
      </c>
      <c r="K203" s="1" t="s">
        <v>648</v>
      </c>
      <c r="L203" s="1" t="s">
        <v>36</v>
      </c>
      <c r="M203" s="1" t="str">
        <f>_xlfn.XLOOKUP(Sheet1!F203,Departments!$A$2:$A$6,Departments!$B$2:$B$6)</f>
        <v>IT</v>
      </c>
      <c r="N203" s="1">
        <f>_xlfn.XLOOKUP(A203,Performance!$A$2:$A$501,Performance!$C$2:$C$501)</f>
        <v>2</v>
      </c>
      <c r="O203" s="1" cm="1">
        <f t="array" ref="O203">_xlfn.IFS(N203=5,I203+0.15*I203,N203=4,I203+I203*0.1,N203=3,I203+I203*0.07,N203&lt;3,I203+I203*0.05)</f>
        <v>79938.600000000006</v>
      </c>
    </row>
    <row r="204" spans="1:15" x14ac:dyDescent="0.3">
      <c r="A204" s="1" t="s">
        <v>649</v>
      </c>
      <c r="B204" s="1" t="s">
        <v>30</v>
      </c>
      <c r="C204" s="1" t="s">
        <v>78</v>
      </c>
      <c r="D204" s="1" t="s">
        <v>24</v>
      </c>
      <c r="E204" s="1">
        <v>49</v>
      </c>
      <c r="F204" s="1" t="s">
        <v>25</v>
      </c>
      <c r="G204" s="1" t="s">
        <v>17</v>
      </c>
      <c r="H204" s="1" t="s">
        <v>650</v>
      </c>
      <c r="I204" s="1">
        <v>56773</v>
      </c>
      <c r="J204" s="1" t="s">
        <v>80</v>
      </c>
      <c r="K204" s="1" t="s">
        <v>651</v>
      </c>
      <c r="L204" s="1" t="s">
        <v>21</v>
      </c>
      <c r="M204" s="1" t="str">
        <f>_xlfn.XLOOKUP(Sheet1!F204,Departments!$A$2:$A$6,Departments!$B$2:$B$6)</f>
        <v>IT</v>
      </c>
      <c r="N204" s="1">
        <f>_xlfn.XLOOKUP(A204,Performance!$A$2:$A$501,Performance!$C$2:$C$501)</f>
        <v>2</v>
      </c>
      <c r="O204" s="1" cm="1">
        <f t="array" ref="O204">_xlfn.IFS(N204=5,I204+0.15*I204,N204=4,I204+I204*0.1,N204=3,I204+I204*0.07,N204&lt;3,I204+I204*0.05)</f>
        <v>59611.65</v>
      </c>
    </row>
    <row r="205" spans="1:15" x14ac:dyDescent="0.3">
      <c r="A205" s="1" t="s">
        <v>652</v>
      </c>
      <c r="B205" s="1" t="s">
        <v>30</v>
      </c>
      <c r="C205" s="1" t="s">
        <v>23</v>
      </c>
      <c r="D205" s="1" t="s">
        <v>15</v>
      </c>
      <c r="E205" s="1">
        <v>25</v>
      </c>
      <c r="F205" s="1" t="s">
        <v>16</v>
      </c>
      <c r="G205" s="1" t="s">
        <v>40</v>
      </c>
      <c r="H205" s="1" t="s">
        <v>653</v>
      </c>
      <c r="I205" s="1">
        <v>84117</v>
      </c>
      <c r="J205" s="1" t="s">
        <v>80</v>
      </c>
      <c r="K205" s="1" t="s">
        <v>654</v>
      </c>
      <c r="L205" s="1" t="s">
        <v>36</v>
      </c>
      <c r="M205" s="1" t="str">
        <f>_xlfn.XLOOKUP(Sheet1!F205,Departments!$A$2:$A$6,Departments!$B$2:$B$6)</f>
        <v>HR</v>
      </c>
      <c r="N205" s="1">
        <f>_xlfn.XLOOKUP(A205,Performance!$A$2:$A$501,Performance!$C$2:$C$501)</f>
        <v>4</v>
      </c>
      <c r="O205" s="1" cm="1">
        <f t="array" ref="O205">_xlfn.IFS(N205=5,I205+0.15*I205,N205=4,I205+I205*0.1,N205=3,I205+I205*0.07,N205&lt;3,I205+I205*0.05)</f>
        <v>92528.7</v>
      </c>
    </row>
    <row r="206" spans="1:15" x14ac:dyDescent="0.3">
      <c r="A206" s="1" t="s">
        <v>655</v>
      </c>
      <c r="B206" s="1" t="s">
        <v>58</v>
      </c>
      <c r="C206" s="1" t="s">
        <v>45</v>
      </c>
      <c r="D206" s="1" t="s">
        <v>24</v>
      </c>
      <c r="E206" s="1">
        <v>41</v>
      </c>
      <c r="F206" s="1" t="s">
        <v>16</v>
      </c>
      <c r="G206" s="1" t="s">
        <v>26</v>
      </c>
      <c r="H206" s="1" t="s">
        <v>656</v>
      </c>
      <c r="I206" s="1">
        <v>111999</v>
      </c>
      <c r="J206" s="1" t="s">
        <v>80</v>
      </c>
      <c r="K206" s="1" t="s">
        <v>657</v>
      </c>
      <c r="L206" s="1" t="s">
        <v>36</v>
      </c>
      <c r="M206" s="1" t="str">
        <f>_xlfn.XLOOKUP(Sheet1!F206,Departments!$A$2:$A$6,Departments!$B$2:$B$6)</f>
        <v>HR</v>
      </c>
      <c r="N206" s="1">
        <f>_xlfn.XLOOKUP(A206,Performance!$A$2:$A$501,Performance!$C$2:$C$501)</f>
        <v>4</v>
      </c>
      <c r="O206" s="1" cm="1">
        <f t="array" ref="O206">_xlfn.IFS(N206=5,I206+0.15*I206,N206=4,I206+I206*0.1,N206=3,I206+I206*0.07,N206&lt;3,I206+I206*0.05)</f>
        <v>123198.9</v>
      </c>
    </row>
    <row r="207" spans="1:15" x14ac:dyDescent="0.3">
      <c r="A207" s="1" t="s">
        <v>658</v>
      </c>
      <c r="B207" s="1" t="s">
        <v>13</v>
      </c>
      <c r="C207" s="1" t="s">
        <v>45</v>
      </c>
      <c r="D207" s="1" t="s">
        <v>15</v>
      </c>
      <c r="E207" s="1">
        <v>23</v>
      </c>
      <c r="F207" s="1" t="s">
        <v>16</v>
      </c>
      <c r="G207" s="1" t="s">
        <v>40</v>
      </c>
      <c r="H207" s="1" t="s">
        <v>472</v>
      </c>
      <c r="I207" s="1">
        <v>93395</v>
      </c>
      <c r="J207" s="1" t="s">
        <v>65</v>
      </c>
      <c r="K207" s="1" t="s">
        <v>659</v>
      </c>
      <c r="L207" s="1" t="s">
        <v>21</v>
      </c>
      <c r="M207" s="1" t="str">
        <f>_xlfn.XLOOKUP(Sheet1!F207,Departments!$A$2:$A$6,Departments!$B$2:$B$6)</f>
        <v>HR</v>
      </c>
      <c r="N207" s="1">
        <f>_xlfn.XLOOKUP(A207,Performance!$A$2:$A$501,Performance!$C$2:$C$501)</f>
        <v>1</v>
      </c>
      <c r="O207" s="1" cm="1">
        <f t="array" ref="O207">_xlfn.IFS(N207=5,I207+0.15*I207,N207=4,I207+I207*0.1,N207=3,I207+I207*0.07,N207&lt;3,I207+I207*0.05)</f>
        <v>98064.75</v>
      </c>
    </row>
    <row r="208" spans="1:15" x14ac:dyDescent="0.3">
      <c r="A208" s="1" t="s">
        <v>660</v>
      </c>
      <c r="B208" s="1" t="s">
        <v>13</v>
      </c>
      <c r="C208" s="1" t="s">
        <v>14</v>
      </c>
      <c r="D208" s="1" t="s">
        <v>15</v>
      </c>
      <c r="E208" s="1">
        <v>42</v>
      </c>
      <c r="F208" s="1" t="s">
        <v>31</v>
      </c>
      <c r="G208" s="1" t="s">
        <v>108</v>
      </c>
      <c r="H208" s="1" t="s">
        <v>661</v>
      </c>
      <c r="I208" s="1">
        <v>91944</v>
      </c>
      <c r="J208" s="1" t="s">
        <v>60</v>
      </c>
      <c r="K208" s="1" t="s">
        <v>662</v>
      </c>
      <c r="L208" s="1" t="s">
        <v>21</v>
      </c>
      <c r="M208" s="1" t="str">
        <f>_xlfn.XLOOKUP(Sheet1!F208,Departments!$A$2:$A$6,Departments!$B$2:$B$6)</f>
        <v>Sales</v>
      </c>
      <c r="N208" s="1">
        <f>_xlfn.XLOOKUP(A208,Performance!$A$2:$A$501,Performance!$C$2:$C$501)</f>
        <v>3</v>
      </c>
      <c r="O208" s="1" cm="1">
        <f t="array" ref="O208">_xlfn.IFS(N208=5,I208+0.15*I208,N208=4,I208+I208*0.1,N208=3,I208+I208*0.07,N208&lt;3,I208+I208*0.05)</f>
        <v>98380.08</v>
      </c>
    </row>
    <row r="209" spans="1:15" x14ac:dyDescent="0.3">
      <c r="A209" s="1" t="s">
        <v>663</v>
      </c>
      <c r="B209" s="1" t="s">
        <v>71</v>
      </c>
      <c r="C209" s="1" t="s">
        <v>63</v>
      </c>
      <c r="D209" s="1" t="s">
        <v>24</v>
      </c>
      <c r="E209" s="1">
        <v>33</v>
      </c>
      <c r="F209" s="1" t="s">
        <v>39</v>
      </c>
      <c r="G209" s="1" t="s">
        <v>40</v>
      </c>
      <c r="H209" s="1" t="s">
        <v>664</v>
      </c>
      <c r="I209" s="1">
        <v>115357</v>
      </c>
      <c r="J209" s="1" t="s">
        <v>19</v>
      </c>
      <c r="K209" s="1" t="s">
        <v>665</v>
      </c>
      <c r="L209" s="1" t="s">
        <v>36</v>
      </c>
      <c r="M209" s="1" t="str">
        <f>_xlfn.XLOOKUP(Sheet1!F209,Departments!$A$2:$A$6,Departments!$B$2:$B$6)</f>
        <v>Marketing</v>
      </c>
      <c r="N209" s="1">
        <f>_xlfn.XLOOKUP(A209,Performance!$A$2:$A$501,Performance!$C$2:$C$501)</f>
        <v>3</v>
      </c>
      <c r="O209" s="1" cm="1">
        <f t="array" ref="O209">_xlfn.IFS(N209=5,I209+0.15*I209,N209=4,I209+I209*0.1,N209=3,I209+I209*0.07,N209&lt;3,I209+I209*0.05)</f>
        <v>123431.99</v>
      </c>
    </row>
    <row r="210" spans="1:15" x14ac:dyDescent="0.3">
      <c r="A210" s="1" t="s">
        <v>666</v>
      </c>
      <c r="B210" s="1" t="s">
        <v>30</v>
      </c>
      <c r="C210" s="1" t="s">
        <v>14</v>
      </c>
      <c r="D210" s="1" t="s">
        <v>15</v>
      </c>
      <c r="E210" s="1">
        <v>40</v>
      </c>
      <c r="F210" s="1" t="s">
        <v>16</v>
      </c>
      <c r="G210" s="1" t="s">
        <v>108</v>
      </c>
      <c r="H210" s="1" t="s">
        <v>633</v>
      </c>
      <c r="I210" s="1">
        <v>103876</v>
      </c>
      <c r="J210" s="1" t="s">
        <v>80</v>
      </c>
      <c r="K210" s="1" t="s">
        <v>667</v>
      </c>
      <c r="L210" s="1" t="s">
        <v>36</v>
      </c>
      <c r="M210" s="1" t="str">
        <f>_xlfn.XLOOKUP(Sheet1!F210,Departments!$A$2:$A$6,Departments!$B$2:$B$6)</f>
        <v>HR</v>
      </c>
      <c r="N210" s="1">
        <f>_xlfn.XLOOKUP(A210,Performance!$A$2:$A$501,Performance!$C$2:$C$501)</f>
        <v>2</v>
      </c>
      <c r="O210" s="1" cm="1">
        <f t="array" ref="O210">_xlfn.IFS(N210=5,I210+0.15*I210,N210=4,I210+I210*0.1,N210=3,I210+I210*0.07,N210&lt;3,I210+I210*0.05)</f>
        <v>109069.8</v>
      </c>
    </row>
    <row r="211" spans="1:15" x14ac:dyDescent="0.3">
      <c r="A211" s="1" t="s">
        <v>668</v>
      </c>
      <c r="B211" s="1" t="s">
        <v>38</v>
      </c>
      <c r="C211" s="1" t="s">
        <v>165</v>
      </c>
      <c r="D211" s="1" t="s">
        <v>15</v>
      </c>
      <c r="E211" s="1">
        <v>42</v>
      </c>
      <c r="F211" s="1" t="s">
        <v>16</v>
      </c>
      <c r="G211" s="1" t="s">
        <v>108</v>
      </c>
      <c r="H211" s="1" t="s">
        <v>669</v>
      </c>
      <c r="I211" s="1">
        <v>106174</v>
      </c>
      <c r="J211" s="1" t="s">
        <v>65</v>
      </c>
      <c r="K211" s="1" t="s">
        <v>670</v>
      </c>
      <c r="L211" s="1" t="s">
        <v>21</v>
      </c>
      <c r="M211" s="1" t="str">
        <f>_xlfn.XLOOKUP(Sheet1!F211,Departments!$A$2:$A$6,Departments!$B$2:$B$6)</f>
        <v>HR</v>
      </c>
      <c r="N211" s="1">
        <f>_xlfn.XLOOKUP(A211,Performance!$A$2:$A$501,Performance!$C$2:$C$501)</f>
        <v>5</v>
      </c>
      <c r="O211" s="1" cm="1">
        <f t="array" ref="O211">_xlfn.IFS(N211=5,I211+0.15*I211,N211=4,I211+I211*0.1,N211=3,I211+I211*0.07,N211&lt;3,I211+I211*0.05)</f>
        <v>122100.1</v>
      </c>
    </row>
    <row r="212" spans="1:15" x14ac:dyDescent="0.3">
      <c r="A212" s="1" t="s">
        <v>671</v>
      </c>
      <c r="B212" s="1" t="s">
        <v>94</v>
      </c>
      <c r="C212" s="1" t="s">
        <v>45</v>
      </c>
      <c r="D212" s="1" t="s">
        <v>15</v>
      </c>
      <c r="E212" s="1">
        <v>29</v>
      </c>
      <c r="F212" s="1" t="s">
        <v>31</v>
      </c>
      <c r="G212" s="1" t="s">
        <v>40</v>
      </c>
      <c r="H212" s="1" t="s">
        <v>672</v>
      </c>
      <c r="I212" s="1">
        <v>80612</v>
      </c>
      <c r="J212" s="1" t="s">
        <v>65</v>
      </c>
      <c r="K212" s="1" t="s">
        <v>673</v>
      </c>
      <c r="L212" s="1" t="s">
        <v>21</v>
      </c>
      <c r="M212" s="1" t="str">
        <f>_xlfn.XLOOKUP(Sheet1!F212,Departments!$A$2:$A$6,Departments!$B$2:$B$6)</f>
        <v>Sales</v>
      </c>
      <c r="N212" s="1">
        <f>_xlfn.XLOOKUP(A212,Performance!$A$2:$A$501,Performance!$C$2:$C$501)</f>
        <v>1</v>
      </c>
      <c r="O212" s="1" cm="1">
        <f t="array" ref="O212">_xlfn.IFS(N212=5,I212+0.15*I212,N212=4,I212+I212*0.1,N212=3,I212+I212*0.07,N212&lt;3,I212+I212*0.05)</f>
        <v>84642.6</v>
      </c>
    </row>
    <row r="213" spans="1:15" x14ac:dyDescent="0.3">
      <c r="A213" s="1" t="s">
        <v>674</v>
      </c>
      <c r="B213" s="1" t="s">
        <v>143</v>
      </c>
      <c r="C213" s="1" t="s">
        <v>23</v>
      </c>
      <c r="D213" s="1" t="s">
        <v>15</v>
      </c>
      <c r="E213" s="1">
        <v>55</v>
      </c>
      <c r="F213" s="1" t="s">
        <v>31</v>
      </c>
      <c r="G213" s="1" t="s">
        <v>40</v>
      </c>
      <c r="H213" s="1" t="s">
        <v>675</v>
      </c>
      <c r="I213" s="1">
        <v>103478</v>
      </c>
      <c r="J213" s="1" t="s">
        <v>65</v>
      </c>
      <c r="K213" s="1" t="s">
        <v>676</v>
      </c>
      <c r="L213" s="1" t="s">
        <v>21</v>
      </c>
      <c r="M213" s="1" t="str">
        <f>_xlfn.XLOOKUP(Sheet1!F213,Departments!$A$2:$A$6,Departments!$B$2:$B$6)</f>
        <v>Sales</v>
      </c>
      <c r="N213" s="1">
        <f>_xlfn.XLOOKUP(A213,Performance!$A$2:$A$501,Performance!$C$2:$C$501)</f>
        <v>4</v>
      </c>
      <c r="O213" s="1" cm="1">
        <f t="array" ref="O213">_xlfn.IFS(N213=5,I213+0.15*I213,N213=4,I213+I213*0.1,N213=3,I213+I213*0.07,N213&lt;3,I213+I213*0.05)</f>
        <v>113825.8</v>
      </c>
    </row>
    <row r="214" spans="1:15" x14ac:dyDescent="0.3">
      <c r="A214" s="1" t="s">
        <v>677</v>
      </c>
      <c r="B214" s="1" t="s">
        <v>30</v>
      </c>
      <c r="C214" s="1" t="s">
        <v>78</v>
      </c>
      <c r="D214" s="1" t="s">
        <v>15</v>
      </c>
      <c r="E214" s="1">
        <v>59</v>
      </c>
      <c r="F214" s="1" t="s">
        <v>16</v>
      </c>
      <c r="G214" s="1" t="s">
        <v>32</v>
      </c>
      <c r="H214" s="1" t="s">
        <v>678</v>
      </c>
      <c r="I214" s="1">
        <v>38205</v>
      </c>
      <c r="J214" s="1" t="s">
        <v>80</v>
      </c>
      <c r="K214" s="1" t="s">
        <v>679</v>
      </c>
      <c r="L214" s="1" t="s">
        <v>36</v>
      </c>
      <c r="M214" s="1" t="str">
        <f>_xlfn.XLOOKUP(Sheet1!F214,Departments!$A$2:$A$6,Departments!$B$2:$B$6)</f>
        <v>HR</v>
      </c>
      <c r="N214" s="1">
        <f>_xlfn.XLOOKUP(A214,Performance!$A$2:$A$501,Performance!$C$2:$C$501)</f>
        <v>3</v>
      </c>
      <c r="O214" s="1" cm="1">
        <f t="array" ref="O214">_xlfn.IFS(N214=5,I214+0.15*I214,N214=4,I214+I214*0.1,N214=3,I214+I214*0.07,N214&lt;3,I214+I214*0.05)</f>
        <v>40879.35</v>
      </c>
    </row>
    <row r="215" spans="1:15" x14ac:dyDescent="0.3">
      <c r="A215" s="1" t="s">
        <v>680</v>
      </c>
      <c r="B215" s="1" t="s">
        <v>49</v>
      </c>
      <c r="C215" s="1" t="s">
        <v>130</v>
      </c>
      <c r="D215" s="1" t="s">
        <v>15</v>
      </c>
      <c r="E215" s="1">
        <v>46</v>
      </c>
      <c r="F215" s="1" t="s">
        <v>25</v>
      </c>
      <c r="G215" s="1" t="s">
        <v>108</v>
      </c>
      <c r="H215" s="1" t="s">
        <v>681</v>
      </c>
      <c r="I215" s="1">
        <v>53141</v>
      </c>
      <c r="J215" s="1" t="s">
        <v>34</v>
      </c>
      <c r="K215" s="1" t="s">
        <v>682</v>
      </c>
      <c r="L215" s="1" t="s">
        <v>36</v>
      </c>
      <c r="M215" s="1" t="str">
        <f>_xlfn.XLOOKUP(Sheet1!F215,Departments!$A$2:$A$6,Departments!$B$2:$B$6)</f>
        <v>IT</v>
      </c>
      <c r="N215" s="1">
        <f>_xlfn.XLOOKUP(A215,Performance!$A$2:$A$501,Performance!$C$2:$C$501)</f>
        <v>3</v>
      </c>
      <c r="O215" s="1" cm="1">
        <f t="array" ref="O215">_xlfn.IFS(N215=5,I215+0.15*I215,N215=4,I215+I215*0.1,N215=3,I215+I215*0.07,N215&lt;3,I215+I215*0.05)</f>
        <v>56860.87</v>
      </c>
    </row>
    <row r="216" spans="1:15" x14ac:dyDescent="0.3">
      <c r="A216" s="1" t="s">
        <v>683</v>
      </c>
      <c r="B216" s="1" t="s">
        <v>38</v>
      </c>
      <c r="C216" s="1" t="s">
        <v>63</v>
      </c>
      <c r="D216" s="1" t="s">
        <v>24</v>
      </c>
      <c r="E216" s="1">
        <v>27</v>
      </c>
      <c r="F216" s="1" t="s">
        <v>25</v>
      </c>
      <c r="G216" s="1" t="s">
        <v>108</v>
      </c>
      <c r="H216" s="1" t="s">
        <v>684</v>
      </c>
      <c r="I216" s="1">
        <v>70180</v>
      </c>
      <c r="J216" s="1" t="s">
        <v>34</v>
      </c>
      <c r="K216" s="1" t="s">
        <v>685</v>
      </c>
      <c r="L216" s="1" t="s">
        <v>21</v>
      </c>
      <c r="M216" s="1" t="str">
        <f>_xlfn.XLOOKUP(Sheet1!F216,Departments!$A$2:$A$6,Departments!$B$2:$B$6)</f>
        <v>IT</v>
      </c>
      <c r="N216" s="1">
        <f>_xlfn.XLOOKUP(A216,Performance!$A$2:$A$501,Performance!$C$2:$C$501)</f>
        <v>5</v>
      </c>
      <c r="O216" s="1" cm="1">
        <f t="array" ref="O216">_xlfn.IFS(N216=5,I216+0.15*I216,N216=4,I216+I216*0.1,N216=3,I216+I216*0.07,N216&lt;3,I216+I216*0.05)</f>
        <v>80707</v>
      </c>
    </row>
    <row r="217" spans="1:15" x14ac:dyDescent="0.3">
      <c r="A217" s="1" t="s">
        <v>686</v>
      </c>
      <c r="B217" s="1" t="s">
        <v>38</v>
      </c>
      <c r="C217" s="1" t="s">
        <v>45</v>
      </c>
      <c r="D217" s="1" t="s">
        <v>15</v>
      </c>
      <c r="E217" s="1">
        <v>29</v>
      </c>
      <c r="F217" s="1" t="s">
        <v>50</v>
      </c>
      <c r="G217" s="1" t="s">
        <v>26</v>
      </c>
      <c r="H217" s="1" t="s">
        <v>687</v>
      </c>
      <c r="I217" s="1">
        <v>48946</v>
      </c>
      <c r="J217" s="1" t="s">
        <v>60</v>
      </c>
      <c r="K217" s="1" t="s">
        <v>688</v>
      </c>
      <c r="L217" s="1" t="s">
        <v>36</v>
      </c>
      <c r="M217" s="1" t="str">
        <f>_xlfn.XLOOKUP(Sheet1!F217,Departments!$A$2:$A$6,Departments!$B$2:$B$6)</f>
        <v>Finance</v>
      </c>
      <c r="N217" s="1">
        <f>_xlfn.XLOOKUP(A217,Performance!$A$2:$A$501,Performance!$C$2:$C$501)</f>
        <v>3</v>
      </c>
      <c r="O217" s="1" cm="1">
        <f t="array" ref="O217">_xlfn.IFS(N217=5,I217+0.15*I217,N217=4,I217+I217*0.1,N217=3,I217+I217*0.07,N217&lt;3,I217+I217*0.05)</f>
        <v>52372.22</v>
      </c>
    </row>
    <row r="218" spans="1:15" x14ac:dyDescent="0.3">
      <c r="A218" s="1" t="s">
        <v>689</v>
      </c>
      <c r="B218" s="1" t="s">
        <v>94</v>
      </c>
      <c r="C218" s="1" t="s">
        <v>78</v>
      </c>
      <c r="D218" s="1" t="s">
        <v>24</v>
      </c>
      <c r="E218" s="1">
        <v>38</v>
      </c>
      <c r="F218" s="1" t="s">
        <v>31</v>
      </c>
      <c r="G218" s="1" t="s">
        <v>32</v>
      </c>
      <c r="H218" s="1" t="s">
        <v>178</v>
      </c>
      <c r="I218" s="1">
        <v>107342</v>
      </c>
      <c r="J218" s="1" t="s">
        <v>80</v>
      </c>
      <c r="K218" s="1" t="s">
        <v>690</v>
      </c>
      <c r="L218" s="1" t="s">
        <v>21</v>
      </c>
      <c r="M218" s="1" t="str">
        <f>_xlfn.XLOOKUP(Sheet1!F218,Departments!$A$2:$A$6,Departments!$B$2:$B$6)</f>
        <v>Sales</v>
      </c>
      <c r="N218" s="1">
        <f>_xlfn.XLOOKUP(A218,Performance!$A$2:$A$501,Performance!$C$2:$C$501)</f>
        <v>1</v>
      </c>
      <c r="O218" s="1" cm="1">
        <f t="array" ref="O218">_xlfn.IFS(N218=5,I218+0.15*I218,N218=4,I218+I218*0.1,N218=3,I218+I218*0.07,N218&lt;3,I218+I218*0.05)</f>
        <v>112709.1</v>
      </c>
    </row>
    <row r="219" spans="1:15" x14ac:dyDescent="0.3">
      <c r="A219" s="1" t="s">
        <v>691</v>
      </c>
      <c r="B219" s="1" t="s">
        <v>30</v>
      </c>
      <c r="C219" s="1" t="s">
        <v>130</v>
      </c>
      <c r="D219" s="1" t="s">
        <v>24</v>
      </c>
      <c r="E219" s="1">
        <v>58</v>
      </c>
      <c r="F219" s="1" t="s">
        <v>31</v>
      </c>
      <c r="G219" s="1" t="s">
        <v>108</v>
      </c>
      <c r="H219" s="1" t="s">
        <v>692</v>
      </c>
      <c r="I219" s="1">
        <v>45973</v>
      </c>
      <c r="J219" s="1" t="s">
        <v>65</v>
      </c>
      <c r="K219" s="1" t="s">
        <v>693</v>
      </c>
      <c r="L219" s="1" t="s">
        <v>36</v>
      </c>
      <c r="M219" s="1" t="str">
        <f>_xlfn.XLOOKUP(Sheet1!F219,Departments!$A$2:$A$6,Departments!$B$2:$B$6)</f>
        <v>Sales</v>
      </c>
      <c r="N219" s="1">
        <f>_xlfn.XLOOKUP(A219,Performance!$A$2:$A$501,Performance!$C$2:$C$501)</f>
        <v>3</v>
      </c>
      <c r="O219" s="1" cm="1">
        <f t="array" ref="O219">_xlfn.IFS(N219=5,I219+0.15*I219,N219=4,I219+I219*0.1,N219=3,I219+I219*0.07,N219&lt;3,I219+I219*0.05)</f>
        <v>49191.11</v>
      </c>
    </row>
    <row r="220" spans="1:15" x14ac:dyDescent="0.3">
      <c r="A220" s="1" t="s">
        <v>694</v>
      </c>
      <c r="B220" s="1" t="s">
        <v>38</v>
      </c>
      <c r="C220" s="1" t="s">
        <v>83</v>
      </c>
      <c r="D220" s="1" t="s">
        <v>15</v>
      </c>
      <c r="E220" s="1">
        <v>26</v>
      </c>
      <c r="F220" s="1" t="s">
        <v>39</v>
      </c>
      <c r="G220" s="1" t="s">
        <v>26</v>
      </c>
      <c r="H220" s="1" t="s">
        <v>695</v>
      </c>
      <c r="I220" s="1">
        <v>49800</v>
      </c>
      <c r="J220" s="1" t="s">
        <v>60</v>
      </c>
      <c r="K220" s="1" t="s">
        <v>696</v>
      </c>
      <c r="L220" s="1" t="s">
        <v>36</v>
      </c>
      <c r="M220" s="1" t="str">
        <f>_xlfn.XLOOKUP(Sheet1!F220,Departments!$A$2:$A$6,Departments!$B$2:$B$6)</f>
        <v>Marketing</v>
      </c>
      <c r="N220" s="1">
        <f>_xlfn.XLOOKUP(A220,Performance!$A$2:$A$501,Performance!$C$2:$C$501)</f>
        <v>5</v>
      </c>
      <c r="O220" s="1" cm="1">
        <f t="array" ref="O220">_xlfn.IFS(N220=5,I220+0.15*I220,N220=4,I220+I220*0.1,N220=3,I220+I220*0.07,N220&lt;3,I220+I220*0.05)</f>
        <v>57270</v>
      </c>
    </row>
    <row r="221" spans="1:15" x14ac:dyDescent="0.3">
      <c r="A221" s="1" t="s">
        <v>697</v>
      </c>
      <c r="B221" s="1" t="s">
        <v>143</v>
      </c>
      <c r="C221" s="1" t="s">
        <v>23</v>
      </c>
      <c r="D221" s="1" t="s">
        <v>24</v>
      </c>
      <c r="E221" s="1">
        <v>25</v>
      </c>
      <c r="F221" s="1" t="s">
        <v>50</v>
      </c>
      <c r="G221" s="1" t="s">
        <v>32</v>
      </c>
      <c r="H221" s="1" t="s">
        <v>424</v>
      </c>
      <c r="I221" s="1">
        <v>39237</v>
      </c>
      <c r="J221" s="1" t="s">
        <v>34</v>
      </c>
      <c r="K221" s="1" t="s">
        <v>698</v>
      </c>
      <c r="L221" s="1" t="s">
        <v>36</v>
      </c>
      <c r="M221" s="1" t="str">
        <f>_xlfn.XLOOKUP(Sheet1!F221,Departments!$A$2:$A$6,Departments!$B$2:$B$6)</f>
        <v>Finance</v>
      </c>
      <c r="N221" s="1">
        <f>_xlfn.XLOOKUP(A221,Performance!$A$2:$A$501,Performance!$C$2:$C$501)</f>
        <v>2</v>
      </c>
      <c r="O221" s="1" cm="1">
        <f t="array" ref="O221">_xlfn.IFS(N221=5,I221+0.15*I221,N221=4,I221+I221*0.1,N221=3,I221+I221*0.07,N221&lt;3,I221+I221*0.05)</f>
        <v>41198.85</v>
      </c>
    </row>
    <row r="222" spans="1:15" x14ac:dyDescent="0.3">
      <c r="A222" s="1" t="s">
        <v>699</v>
      </c>
      <c r="B222" s="1" t="s">
        <v>13</v>
      </c>
      <c r="C222" s="1" t="s">
        <v>90</v>
      </c>
      <c r="D222" s="1" t="s">
        <v>15</v>
      </c>
      <c r="E222" s="1">
        <v>54</v>
      </c>
      <c r="F222" s="1" t="s">
        <v>39</v>
      </c>
      <c r="G222" s="1" t="s">
        <v>32</v>
      </c>
      <c r="H222" s="1" t="s">
        <v>618</v>
      </c>
      <c r="I222" s="1">
        <v>69777</v>
      </c>
      <c r="J222" s="1" t="s">
        <v>19</v>
      </c>
      <c r="K222" s="1" t="s">
        <v>700</v>
      </c>
      <c r="L222" s="1" t="s">
        <v>21</v>
      </c>
      <c r="M222" s="1" t="str">
        <f>_xlfn.XLOOKUP(Sheet1!F222,Departments!$A$2:$A$6,Departments!$B$2:$B$6)</f>
        <v>Marketing</v>
      </c>
      <c r="N222" s="1">
        <f>_xlfn.XLOOKUP(A222,Performance!$A$2:$A$501,Performance!$C$2:$C$501)</f>
        <v>5</v>
      </c>
      <c r="O222" s="1" cm="1">
        <f t="array" ref="O222">_xlfn.IFS(N222=5,I222+0.15*I222,N222=4,I222+I222*0.1,N222=3,I222+I222*0.07,N222&lt;3,I222+I222*0.05)</f>
        <v>80243.55</v>
      </c>
    </row>
    <row r="223" spans="1:15" x14ac:dyDescent="0.3">
      <c r="A223" s="1" t="s">
        <v>701</v>
      </c>
      <c r="B223" s="1" t="s">
        <v>13</v>
      </c>
      <c r="C223" s="1" t="s">
        <v>83</v>
      </c>
      <c r="D223" s="1" t="s">
        <v>24</v>
      </c>
      <c r="E223" s="1">
        <v>24</v>
      </c>
      <c r="F223" s="1" t="s">
        <v>50</v>
      </c>
      <c r="G223" s="1" t="s">
        <v>26</v>
      </c>
      <c r="H223" s="1" t="s">
        <v>702</v>
      </c>
      <c r="I223" s="1">
        <v>45012</v>
      </c>
      <c r="J223" s="1" t="s">
        <v>34</v>
      </c>
      <c r="K223" s="1" t="s">
        <v>703</v>
      </c>
      <c r="L223" s="1" t="s">
        <v>36</v>
      </c>
      <c r="M223" s="1" t="str">
        <f>_xlfn.XLOOKUP(Sheet1!F223,Departments!$A$2:$A$6,Departments!$B$2:$B$6)</f>
        <v>Finance</v>
      </c>
      <c r="N223" s="1">
        <f>_xlfn.XLOOKUP(A223,Performance!$A$2:$A$501,Performance!$C$2:$C$501)</f>
        <v>5</v>
      </c>
      <c r="O223" s="1" cm="1">
        <f t="array" ref="O223">_xlfn.IFS(N223=5,I223+0.15*I223,N223=4,I223+I223*0.1,N223=3,I223+I223*0.07,N223&lt;3,I223+I223*0.05)</f>
        <v>51763.8</v>
      </c>
    </row>
    <row r="224" spans="1:15" x14ac:dyDescent="0.3">
      <c r="A224" s="1" t="s">
        <v>704</v>
      </c>
      <c r="B224" s="1" t="s">
        <v>58</v>
      </c>
      <c r="C224" s="1" t="s">
        <v>45</v>
      </c>
      <c r="D224" s="1" t="s">
        <v>24</v>
      </c>
      <c r="E224" s="1">
        <v>56</v>
      </c>
      <c r="F224" s="1" t="s">
        <v>50</v>
      </c>
      <c r="G224" s="1" t="s">
        <v>26</v>
      </c>
      <c r="H224" s="1" t="s">
        <v>705</v>
      </c>
      <c r="I224" s="1">
        <v>99157</v>
      </c>
      <c r="J224" s="1" t="s">
        <v>60</v>
      </c>
      <c r="K224" s="1" t="s">
        <v>706</v>
      </c>
      <c r="L224" s="1" t="s">
        <v>36</v>
      </c>
      <c r="M224" s="1" t="str">
        <f>_xlfn.XLOOKUP(Sheet1!F224,Departments!$A$2:$A$6,Departments!$B$2:$B$6)</f>
        <v>Finance</v>
      </c>
      <c r="N224" s="1">
        <f>_xlfn.XLOOKUP(A224,Performance!$A$2:$A$501,Performance!$C$2:$C$501)</f>
        <v>5</v>
      </c>
      <c r="O224" s="1" cm="1">
        <f t="array" ref="O224">_xlfn.IFS(N224=5,I224+0.15*I224,N224=4,I224+I224*0.1,N224=3,I224+I224*0.07,N224&lt;3,I224+I224*0.05)</f>
        <v>114030.55</v>
      </c>
    </row>
    <row r="225" spans="1:15" x14ac:dyDescent="0.3">
      <c r="A225" s="1" t="s">
        <v>707</v>
      </c>
      <c r="B225" s="1" t="s">
        <v>58</v>
      </c>
      <c r="C225" s="1" t="s">
        <v>165</v>
      </c>
      <c r="D225" s="1" t="s">
        <v>24</v>
      </c>
      <c r="E225" s="1">
        <v>42</v>
      </c>
      <c r="F225" s="1" t="s">
        <v>39</v>
      </c>
      <c r="G225" s="1" t="s">
        <v>40</v>
      </c>
      <c r="H225" s="1" t="s">
        <v>708</v>
      </c>
      <c r="I225" s="1">
        <v>81470</v>
      </c>
      <c r="J225" s="1" t="s">
        <v>34</v>
      </c>
      <c r="K225" s="1" t="s">
        <v>709</v>
      </c>
      <c r="L225" s="1" t="s">
        <v>21</v>
      </c>
      <c r="M225" s="1" t="str">
        <f>_xlfn.XLOOKUP(Sheet1!F225,Departments!$A$2:$A$6,Departments!$B$2:$B$6)</f>
        <v>Marketing</v>
      </c>
      <c r="N225" s="1">
        <f>_xlfn.XLOOKUP(A225,Performance!$A$2:$A$501,Performance!$C$2:$C$501)</f>
        <v>1</v>
      </c>
      <c r="O225" s="1" cm="1">
        <f t="array" ref="O225">_xlfn.IFS(N225=5,I225+0.15*I225,N225=4,I225+I225*0.1,N225=3,I225+I225*0.07,N225&lt;3,I225+I225*0.05)</f>
        <v>85543.5</v>
      </c>
    </row>
    <row r="226" spans="1:15" x14ac:dyDescent="0.3">
      <c r="A226" s="1" t="s">
        <v>710</v>
      </c>
      <c r="B226" s="1" t="s">
        <v>38</v>
      </c>
      <c r="C226" s="1" t="s">
        <v>83</v>
      </c>
      <c r="D226" s="1" t="s">
        <v>24</v>
      </c>
      <c r="E226" s="1">
        <v>23</v>
      </c>
      <c r="F226" s="1" t="s">
        <v>31</v>
      </c>
      <c r="G226" s="1" t="s">
        <v>40</v>
      </c>
      <c r="H226" s="1" t="s">
        <v>711</v>
      </c>
      <c r="I226" s="1">
        <v>98738</v>
      </c>
      <c r="J226" s="1" t="s">
        <v>65</v>
      </c>
      <c r="K226" s="1" t="s">
        <v>712</v>
      </c>
      <c r="L226" s="1" t="s">
        <v>36</v>
      </c>
      <c r="M226" s="1" t="str">
        <f>_xlfn.XLOOKUP(Sheet1!F226,Departments!$A$2:$A$6,Departments!$B$2:$B$6)</f>
        <v>Sales</v>
      </c>
      <c r="N226" s="1">
        <f>_xlfn.XLOOKUP(A226,Performance!$A$2:$A$501,Performance!$C$2:$C$501)</f>
        <v>5</v>
      </c>
      <c r="O226" s="1" cm="1">
        <f t="array" ref="O226">_xlfn.IFS(N226=5,I226+0.15*I226,N226=4,I226+I226*0.1,N226=3,I226+I226*0.07,N226&lt;3,I226+I226*0.05)</f>
        <v>113548.7</v>
      </c>
    </row>
    <row r="227" spans="1:15" x14ac:dyDescent="0.3">
      <c r="A227" s="1" t="s">
        <v>713</v>
      </c>
      <c r="B227" s="1" t="s">
        <v>30</v>
      </c>
      <c r="C227" s="1" t="s">
        <v>45</v>
      </c>
      <c r="D227" s="1" t="s">
        <v>15</v>
      </c>
      <c r="E227" s="1">
        <v>45</v>
      </c>
      <c r="F227" s="1" t="s">
        <v>25</v>
      </c>
      <c r="G227" s="1" t="s">
        <v>32</v>
      </c>
      <c r="H227" s="1" t="s">
        <v>714</v>
      </c>
      <c r="I227" s="1">
        <v>69768</v>
      </c>
      <c r="J227" s="1" t="s">
        <v>19</v>
      </c>
      <c r="K227" s="1" t="s">
        <v>715</v>
      </c>
      <c r="L227" s="1" t="s">
        <v>36</v>
      </c>
      <c r="M227" s="1" t="str">
        <f>_xlfn.XLOOKUP(Sheet1!F227,Departments!$A$2:$A$6,Departments!$B$2:$B$6)</f>
        <v>IT</v>
      </c>
      <c r="N227" s="1">
        <f>_xlfn.XLOOKUP(A227,Performance!$A$2:$A$501,Performance!$C$2:$C$501)</f>
        <v>2</v>
      </c>
      <c r="O227" s="1" cm="1">
        <f t="array" ref="O227">_xlfn.IFS(N227=5,I227+0.15*I227,N227=4,I227+I227*0.1,N227=3,I227+I227*0.07,N227&lt;3,I227+I227*0.05)</f>
        <v>73256.399999999994</v>
      </c>
    </row>
    <row r="228" spans="1:15" x14ac:dyDescent="0.3">
      <c r="A228" s="1" t="s">
        <v>716</v>
      </c>
      <c r="B228" s="1" t="s">
        <v>94</v>
      </c>
      <c r="C228" s="1" t="s">
        <v>78</v>
      </c>
      <c r="D228" s="1" t="s">
        <v>24</v>
      </c>
      <c r="E228" s="1">
        <v>47</v>
      </c>
      <c r="F228" s="1" t="s">
        <v>39</v>
      </c>
      <c r="G228" s="1" t="s">
        <v>32</v>
      </c>
      <c r="H228" s="1" t="s">
        <v>717</v>
      </c>
      <c r="I228" s="1">
        <v>78816</v>
      </c>
      <c r="J228" s="1" t="s">
        <v>34</v>
      </c>
      <c r="K228" s="1" t="s">
        <v>718</v>
      </c>
      <c r="L228" s="1" t="s">
        <v>36</v>
      </c>
      <c r="M228" s="1" t="str">
        <f>_xlfn.XLOOKUP(Sheet1!F228,Departments!$A$2:$A$6,Departments!$B$2:$B$6)</f>
        <v>Marketing</v>
      </c>
      <c r="N228" s="1">
        <f>_xlfn.XLOOKUP(A228,Performance!$A$2:$A$501,Performance!$C$2:$C$501)</f>
        <v>4</v>
      </c>
      <c r="O228" s="1" cm="1">
        <f t="array" ref="O228">_xlfn.IFS(N228=5,I228+0.15*I228,N228=4,I228+I228*0.1,N228=3,I228+I228*0.07,N228&lt;3,I228+I228*0.05)</f>
        <v>86697.600000000006</v>
      </c>
    </row>
    <row r="229" spans="1:15" x14ac:dyDescent="0.3">
      <c r="A229" s="1" t="s">
        <v>719</v>
      </c>
      <c r="B229" s="1" t="s">
        <v>143</v>
      </c>
      <c r="C229" s="1" t="s">
        <v>165</v>
      </c>
      <c r="D229" s="1" t="s">
        <v>24</v>
      </c>
      <c r="E229" s="1">
        <v>30</v>
      </c>
      <c r="F229" s="1" t="s">
        <v>31</v>
      </c>
      <c r="G229" s="1" t="s">
        <v>108</v>
      </c>
      <c r="H229" s="1" t="s">
        <v>720</v>
      </c>
      <c r="I229" s="1">
        <v>39186</v>
      </c>
      <c r="J229" s="1" t="s">
        <v>19</v>
      </c>
      <c r="K229" s="1" t="s">
        <v>721</v>
      </c>
      <c r="L229" s="1" t="s">
        <v>21</v>
      </c>
      <c r="M229" s="1" t="str">
        <f>_xlfn.XLOOKUP(Sheet1!F229,Departments!$A$2:$A$6,Departments!$B$2:$B$6)</f>
        <v>Sales</v>
      </c>
      <c r="N229" s="1">
        <f>_xlfn.XLOOKUP(A229,Performance!$A$2:$A$501,Performance!$C$2:$C$501)</f>
        <v>5</v>
      </c>
      <c r="O229" s="1" cm="1">
        <f t="array" ref="O229">_xlfn.IFS(N229=5,I229+0.15*I229,N229=4,I229+I229*0.1,N229=3,I229+I229*0.07,N229&lt;3,I229+I229*0.05)</f>
        <v>45063.9</v>
      </c>
    </row>
    <row r="230" spans="1:15" x14ac:dyDescent="0.3">
      <c r="A230" s="1" t="s">
        <v>722</v>
      </c>
      <c r="B230" s="1" t="s">
        <v>44</v>
      </c>
      <c r="C230" s="1" t="s">
        <v>165</v>
      </c>
      <c r="D230" s="1" t="s">
        <v>15</v>
      </c>
      <c r="E230" s="1">
        <v>57</v>
      </c>
      <c r="F230" s="1" t="s">
        <v>16</v>
      </c>
      <c r="G230" s="1" t="s">
        <v>40</v>
      </c>
      <c r="H230" s="1" t="s">
        <v>723</v>
      </c>
      <c r="I230" s="1">
        <v>90363</v>
      </c>
      <c r="J230" s="1" t="s">
        <v>60</v>
      </c>
      <c r="K230" s="1" t="s">
        <v>724</v>
      </c>
      <c r="L230" s="1" t="s">
        <v>36</v>
      </c>
      <c r="M230" s="1" t="str">
        <f>_xlfn.XLOOKUP(Sheet1!F230,Departments!$A$2:$A$6,Departments!$B$2:$B$6)</f>
        <v>HR</v>
      </c>
      <c r="N230" s="1">
        <f>_xlfn.XLOOKUP(A230,Performance!$A$2:$A$501,Performance!$C$2:$C$501)</f>
        <v>4</v>
      </c>
      <c r="O230" s="1" cm="1">
        <f t="array" ref="O230">_xlfn.IFS(N230=5,I230+0.15*I230,N230=4,I230+I230*0.1,N230=3,I230+I230*0.07,N230&lt;3,I230+I230*0.05)</f>
        <v>99399.3</v>
      </c>
    </row>
    <row r="231" spans="1:15" x14ac:dyDescent="0.3">
      <c r="A231" s="1" t="s">
        <v>725</v>
      </c>
      <c r="B231" s="1" t="s">
        <v>38</v>
      </c>
      <c r="C231" s="1" t="s">
        <v>78</v>
      </c>
      <c r="D231" s="1" t="s">
        <v>15</v>
      </c>
      <c r="E231" s="1">
        <v>56</v>
      </c>
      <c r="F231" s="1" t="s">
        <v>16</v>
      </c>
      <c r="G231" s="1" t="s">
        <v>26</v>
      </c>
      <c r="H231" s="1" t="s">
        <v>726</v>
      </c>
      <c r="I231" s="1">
        <v>86374</v>
      </c>
      <c r="J231" s="1" t="s">
        <v>19</v>
      </c>
      <c r="K231" s="1" t="s">
        <v>727</v>
      </c>
      <c r="L231" s="1" t="s">
        <v>36</v>
      </c>
      <c r="M231" s="1" t="str">
        <f>_xlfn.XLOOKUP(Sheet1!F231,Departments!$A$2:$A$6,Departments!$B$2:$B$6)</f>
        <v>HR</v>
      </c>
      <c r="N231" s="1">
        <f>_xlfn.XLOOKUP(A231,Performance!$A$2:$A$501,Performance!$C$2:$C$501)</f>
        <v>5</v>
      </c>
      <c r="O231" s="1" cm="1">
        <f t="array" ref="O231">_xlfn.IFS(N231=5,I231+0.15*I231,N231=4,I231+I231*0.1,N231=3,I231+I231*0.07,N231&lt;3,I231+I231*0.05)</f>
        <v>99330.1</v>
      </c>
    </row>
    <row r="232" spans="1:15" x14ac:dyDescent="0.3">
      <c r="A232" s="1" t="s">
        <v>728</v>
      </c>
      <c r="B232" s="1" t="s">
        <v>94</v>
      </c>
      <c r="C232" s="1" t="s">
        <v>23</v>
      </c>
      <c r="D232" s="1" t="s">
        <v>15</v>
      </c>
      <c r="E232" s="1">
        <v>28</v>
      </c>
      <c r="F232" s="1" t="s">
        <v>25</v>
      </c>
      <c r="G232" s="1" t="s">
        <v>108</v>
      </c>
      <c r="H232" s="1" t="s">
        <v>729</v>
      </c>
      <c r="I232" s="1">
        <v>51057</v>
      </c>
      <c r="J232" s="1" t="s">
        <v>34</v>
      </c>
      <c r="K232" s="1" t="s">
        <v>730</v>
      </c>
      <c r="L232" s="1" t="s">
        <v>21</v>
      </c>
      <c r="M232" s="1" t="str">
        <f>_xlfn.XLOOKUP(Sheet1!F232,Departments!$A$2:$A$6,Departments!$B$2:$B$6)</f>
        <v>IT</v>
      </c>
      <c r="N232" s="1">
        <f>_xlfn.XLOOKUP(A232,Performance!$A$2:$A$501,Performance!$C$2:$C$501)</f>
        <v>2</v>
      </c>
      <c r="O232" s="1" cm="1">
        <f t="array" ref="O232">_xlfn.IFS(N232=5,I232+0.15*I232,N232=4,I232+I232*0.1,N232=3,I232+I232*0.07,N232&lt;3,I232+I232*0.05)</f>
        <v>53609.85</v>
      </c>
    </row>
    <row r="233" spans="1:15" x14ac:dyDescent="0.3">
      <c r="A233" s="1" t="s">
        <v>731</v>
      </c>
      <c r="B233" s="1" t="s">
        <v>13</v>
      </c>
      <c r="C233" s="1" t="s">
        <v>83</v>
      </c>
      <c r="D233" s="1" t="s">
        <v>15</v>
      </c>
      <c r="E233" s="1">
        <v>55</v>
      </c>
      <c r="F233" s="1" t="s">
        <v>50</v>
      </c>
      <c r="G233" s="1" t="s">
        <v>17</v>
      </c>
      <c r="H233" s="1" t="s">
        <v>732</v>
      </c>
      <c r="I233" s="1">
        <v>94146</v>
      </c>
      <c r="J233" s="1" t="s">
        <v>60</v>
      </c>
      <c r="K233" s="1" t="s">
        <v>733</v>
      </c>
      <c r="L233" s="1" t="s">
        <v>36</v>
      </c>
      <c r="M233" s="1" t="str">
        <f>_xlfn.XLOOKUP(Sheet1!F233,Departments!$A$2:$A$6,Departments!$B$2:$B$6)</f>
        <v>Finance</v>
      </c>
      <c r="N233" s="1">
        <f>_xlfn.XLOOKUP(A233,Performance!$A$2:$A$501,Performance!$C$2:$C$501)</f>
        <v>2</v>
      </c>
      <c r="O233" s="1" cm="1">
        <f t="array" ref="O233">_xlfn.IFS(N233=5,I233+0.15*I233,N233=4,I233+I233*0.1,N233=3,I233+I233*0.07,N233&lt;3,I233+I233*0.05)</f>
        <v>98853.3</v>
      </c>
    </row>
    <row r="234" spans="1:15" x14ac:dyDescent="0.3">
      <c r="A234" s="1" t="s">
        <v>734</v>
      </c>
      <c r="B234" s="1" t="s">
        <v>38</v>
      </c>
      <c r="C234" s="1" t="s">
        <v>14</v>
      </c>
      <c r="D234" s="1" t="s">
        <v>24</v>
      </c>
      <c r="E234" s="1">
        <v>33</v>
      </c>
      <c r="F234" s="1" t="s">
        <v>50</v>
      </c>
      <c r="G234" s="1" t="s">
        <v>108</v>
      </c>
      <c r="H234" s="1" t="s">
        <v>735</v>
      </c>
      <c r="I234" s="1">
        <v>102836</v>
      </c>
      <c r="J234" s="1" t="s">
        <v>60</v>
      </c>
      <c r="K234" s="1" t="s">
        <v>736</v>
      </c>
      <c r="L234" s="1" t="s">
        <v>21</v>
      </c>
      <c r="M234" s="1" t="str">
        <f>_xlfn.XLOOKUP(Sheet1!F234,Departments!$A$2:$A$6,Departments!$B$2:$B$6)</f>
        <v>Finance</v>
      </c>
      <c r="N234" s="1">
        <f>_xlfn.XLOOKUP(A234,Performance!$A$2:$A$501,Performance!$C$2:$C$501)</f>
        <v>2</v>
      </c>
      <c r="O234" s="1" cm="1">
        <f t="array" ref="O234">_xlfn.IFS(N234=5,I234+0.15*I234,N234=4,I234+I234*0.1,N234=3,I234+I234*0.07,N234&lt;3,I234+I234*0.05)</f>
        <v>107977.8</v>
      </c>
    </row>
    <row r="235" spans="1:15" x14ac:dyDescent="0.3">
      <c r="A235" s="1" t="s">
        <v>737</v>
      </c>
      <c r="B235" s="1" t="s">
        <v>94</v>
      </c>
      <c r="C235" s="1" t="s">
        <v>23</v>
      </c>
      <c r="D235" s="1" t="s">
        <v>24</v>
      </c>
      <c r="E235" s="1">
        <v>28</v>
      </c>
      <c r="F235" s="1" t="s">
        <v>50</v>
      </c>
      <c r="G235" s="1" t="s">
        <v>26</v>
      </c>
      <c r="H235" s="1" t="s">
        <v>738</v>
      </c>
      <c r="I235" s="1">
        <v>56052</v>
      </c>
      <c r="J235" s="1" t="s">
        <v>65</v>
      </c>
      <c r="K235" s="1" t="s">
        <v>739</v>
      </c>
      <c r="L235" s="1" t="s">
        <v>36</v>
      </c>
      <c r="M235" s="1" t="str">
        <f>_xlfn.XLOOKUP(Sheet1!F235,Departments!$A$2:$A$6,Departments!$B$2:$B$6)</f>
        <v>Finance</v>
      </c>
      <c r="N235" s="1">
        <f>_xlfn.XLOOKUP(A235,Performance!$A$2:$A$501,Performance!$C$2:$C$501)</f>
        <v>4</v>
      </c>
      <c r="O235" s="1" cm="1">
        <f t="array" ref="O235">_xlfn.IFS(N235=5,I235+0.15*I235,N235=4,I235+I235*0.1,N235=3,I235+I235*0.07,N235&lt;3,I235+I235*0.05)</f>
        <v>61657.2</v>
      </c>
    </row>
    <row r="236" spans="1:15" x14ac:dyDescent="0.3">
      <c r="A236" s="1" t="s">
        <v>740</v>
      </c>
      <c r="B236" s="1" t="s">
        <v>44</v>
      </c>
      <c r="C236" s="1" t="s">
        <v>45</v>
      </c>
      <c r="D236" s="1" t="s">
        <v>15</v>
      </c>
      <c r="E236" s="1">
        <v>56</v>
      </c>
      <c r="F236" s="1" t="s">
        <v>25</v>
      </c>
      <c r="G236" s="1" t="s">
        <v>108</v>
      </c>
      <c r="H236" s="1" t="s">
        <v>741</v>
      </c>
      <c r="I236" s="1">
        <v>106491</v>
      </c>
      <c r="J236" s="1" t="s">
        <v>19</v>
      </c>
      <c r="K236" s="1" t="s">
        <v>742</v>
      </c>
      <c r="L236" s="1" t="s">
        <v>36</v>
      </c>
      <c r="M236" s="1" t="str">
        <f>_xlfn.XLOOKUP(Sheet1!F236,Departments!$A$2:$A$6,Departments!$B$2:$B$6)</f>
        <v>IT</v>
      </c>
      <c r="N236" s="1">
        <f>_xlfn.XLOOKUP(A236,Performance!$A$2:$A$501,Performance!$C$2:$C$501)</f>
        <v>5</v>
      </c>
      <c r="O236" s="1" cm="1">
        <f t="array" ref="O236">_xlfn.IFS(N236=5,I236+0.15*I236,N236=4,I236+I236*0.1,N236=3,I236+I236*0.07,N236&lt;3,I236+I236*0.05)</f>
        <v>122464.65</v>
      </c>
    </row>
    <row r="237" spans="1:15" x14ac:dyDescent="0.3">
      <c r="A237" s="1" t="s">
        <v>743</v>
      </c>
      <c r="B237" s="1" t="s">
        <v>58</v>
      </c>
      <c r="C237" s="1" t="s">
        <v>165</v>
      </c>
      <c r="D237" s="1" t="s">
        <v>24</v>
      </c>
      <c r="E237" s="1">
        <v>48</v>
      </c>
      <c r="F237" s="1" t="s">
        <v>31</v>
      </c>
      <c r="G237" s="1" t="s">
        <v>108</v>
      </c>
      <c r="H237" s="1" t="s">
        <v>744</v>
      </c>
      <c r="I237" s="1">
        <v>36633</v>
      </c>
      <c r="J237" s="1" t="s">
        <v>60</v>
      </c>
      <c r="K237" s="1" t="s">
        <v>745</v>
      </c>
      <c r="L237" s="1" t="s">
        <v>36</v>
      </c>
      <c r="M237" s="1" t="str">
        <f>_xlfn.XLOOKUP(Sheet1!F237,Departments!$A$2:$A$6,Departments!$B$2:$B$6)</f>
        <v>Sales</v>
      </c>
      <c r="N237" s="1">
        <f>_xlfn.XLOOKUP(A237,Performance!$A$2:$A$501,Performance!$C$2:$C$501)</f>
        <v>4</v>
      </c>
      <c r="O237" s="1" cm="1">
        <f t="array" ref="O237">_xlfn.IFS(N237=5,I237+0.15*I237,N237=4,I237+I237*0.1,N237=3,I237+I237*0.07,N237&lt;3,I237+I237*0.05)</f>
        <v>40296.300000000003</v>
      </c>
    </row>
    <row r="238" spans="1:15" x14ac:dyDescent="0.3">
      <c r="A238" s="1" t="s">
        <v>746</v>
      </c>
      <c r="B238" s="1" t="s">
        <v>30</v>
      </c>
      <c r="C238" s="1" t="s">
        <v>45</v>
      </c>
      <c r="D238" s="1" t="s">
        <v>15</v>
      </c>
      <c r="E238" s="1">
        <v>50</v>
      </c>
      <c r="F238" s="1" t="s">
        <v>25</v>
      </c>
      <c r="G238" s="1" t="s">
        <v>26</v>
      </c>
      <c r="H238" s="1" t="s">
        <v>747</v>
      </c>
      <c r="I238" s="1">
        <v>109744</v>
      </c>
      <c r="J238" s="1" t="s">
        <v>19</v>
      </c>
      <c r="K238" s="1" t="s">
        <v>748</v>
      </c>
      <c r="L238" s="1" t="s">
        <v>36</v>
      </c>
      <c r="M238" s="1" t="str">
        <f>_xlfn.XLOOKUP(Sheet1!F238,Departments!$A$2:$A$6,Departments!$B$2:$B$6)</f>
        <v>IT</v>
      </c>
      <c r="N238" s="1">
        <f>_xlfn.XLOOKUP(A238,Performance!$A$2:$A$501,Performance!$C$2:$C$501)</f>
        <v>4</v>
      </c>
      <c r="O238" s="1" cm="1">
        <f t="array" ref="O238">_xlfn.IFS(N238=5,I238+0.15*I238,N238=4,I238+I238*0.1,N238=3,I238+I238*0.07,N238&lt;3,I238+I238*0.05)</f>
        <v>120718.39999999999</v>
      </c>
    </row>
    <row r="239" spans="1:15" x14ac:dyDescent="0.3">
      <c r="A239" s="1" t="s">
        <v>749</v>
      </c>
      <c r="B239" s="1" t="s">
        <v>13</v>
      </c>
      <c r="C239" s="1" t="s">
        <v>165</v>
      </c>
      <c r="D239" s="1" t="s">
        <v>15</v>
      </c>
      <c r="E239" s="1">
        <v>57</v>
      </c>
      <c r="F239" s="1" t="s">
        <v>31</v>
      </c>
      <c r="G239" s="1" t="s">
        <v>40</v>
      </c>
      <c r="H239" s="1" t="s">
        <v>750</v>
      </c>
      <c r="I239" s="1">
        <v>44217</v>
      </c>
      <c r="J239" s="1" t="s">
        <v>19</v>
      </c>
      <c r="K239" s="1" t="s">
        <v>751</v>
      </c>
      <c r="L239" s="1" t="s">
        <v>36</v>
      </c>
      <c r="M239" s="1" t="str">
        <f>_xlfn.XLOOKUP(Sheet1!F239,Departments!$A$2:$A$6,Departments!$B$2:$B$6)</f>
        <v>Sales</v>
      </c>
      <c r="N239" s="1">
        <f>_xlfn.XLOOKUP(A239,Performance!$A$2:$A$501,Performance!$C$2:$C$501)</f>
        <v>4</v>
      </c>
      <c r="O239" s="1" cm="1">
        <f t="array" ref="O239">_xlfn.IFS(N239=5,I239+0.15*I239,N239=4,I239+I239*0.1,N239=3,I239+I239*0.07,N239&lt;3,I239+I239*0.05)</f>
        <v>48638.7</v>
      </c>
    </row>
    <row r="240" spans="1:15" x14ac:dyDescent="0.3">
      <c r="A240" s="1" t="s">
        <v>752</v>
      </c>
      <c r="B240" s="1" t="s">
        <v>143</v>
      </c>
      <c r="C240" s="1" t="s">
        <v>90</v>
      </c>
      <c r="D240" s="1" t="s">
        <v>24</v>
      </c>
      <c r="E240" s="1">
        <v>28</v>
      </c>
      <c r="F240" s="1" t="s">
        <v>50</v>
      </c>
      <c r="G240" s="1" t="s">
        <v>17</v>
      </c>
      <c r="H240" s="1" t="s">
        <v>753</v>
      </c>
      <c r="I240" s="1">
        <v>40758</v>
      </c>
      <c r="J240" s="1" t="s">
        <v>80</v>
      </c>
      <c r="K240" s="1" t="s">
        <v>754</v>
      </c>
      <c r="L240" s="1" t="s">
        <v>21</v>
      </c>
      <c r="M240" s="1" t="str">
        <f>_xlfn.XLOOKUP(Sheet1!F240,Departments!$A$2:$A$6,Departments!$B$2:$B$6)</f>
        <v>Finance</v>
      </c>
      <c r="N240" s="1">
        <f>_xlfn.XLOOKUP(A240,Performance!$A$2:$A$501,Performance!$C$2:$C$501)</f>
        <v>2</v>
      </c>
      <c r="O240" s="1" cm="1">
        <f t="array" ref="O240">_xlfn.IFS(N240=5,I240+0.15*I240,N240=4,I240+I240*0.1,N240=3,I240+I240*0.07,N240&lt;3,I240+I240*0.05)</f>
        <v>42795.9</v>
      </c>
    </row>
    <row r="241" spans="1:15" x14ac:dyDescent="0.3">
      <c r="A241" s="1" t="s">
        <v>755</v>
      </c>
      <c r="B241" s="1" t="s">
        <v>30</v>
      </c>
      <c r="C241" s="1" t="s">
        <v>95</v>
      </c>
      <c r="D241" s="1" t="s">
        <v>15</v>
      </c>
      <c r="E241" s="1">
        <v>59</v>
      </c>
      <c r="F241" s="1" t="s">
        <v>50</v>
      </c>
      <c r="G241" s="1" t="s">
        <v>40</v>
      </c>
      <c r="H241" s="1" t="s">
        <v>756</v>
      </c>
      <c r="I241" s="1">
        <v>49878</v>
      </c>
      <c r="J241" s="1" t="s">
        <v>65</v>
      </c>
      <c r="K241" s="1" t="s">
        <v>757</v>
      </c>
      <c r="L241" s="1" t="s">
        <v>21</v>
      </c>
      <c r="M241" s="1" t="str">
        <f>_xlfn.XLOOKUP(Sheet1!F241,Departments!$A$2:$A$6,Departments!$B$2:$B$6)</f>
        <v>Finance</v>
      </c>
      <c r="N241" s="1">
        <f>_xlfn.XLOOKUP(A241,Performance!$A$2:$A$501,Performance!$C$2:$C$501)</f>
        <v>2</v>
      </c>
      <c r="O241" s="1" cm="1">
        <f t="array" ref="O241">_xlfn.IFS(N241=5,I241+0.15*I241,N241=4,I241+I241*0.1,N241=3,I241+I241*0.07,N241&lt;3,I241+I241*0.05)</f>
        <v>52371.9</v>
      </c>
    </row>
    <row r="242" spans="1:15" x14ac:dyDescent="0.3">
      <c r="A242" s="1" t="s">
        <v>758</v>
      </c>
      <c r="B242" s="1" t="s">
        <v>54</v>
      </c>
      <c r="C242" s="1" t="s">
        <v>130</v>
      </c>
      <c r="D242" s="1" t="s">
        <v>15</v>
      </c>
      <c r="E242" s="1">
        <v>48</v>
      </c>
      <c r="F242" s="1" t="s">
        <v>31</v>
      </c>
      <c r="G242" s="1" t="s">
        <v>108</v>
      </c>
      <c r="H242" s="1" t="s">
        <v>759</v>
      </c>
      <c r="I242" s="1">
        <v>95831</v>
      </c>
      <c r="J242" s="1" t="s">
        <v>60</v>
      </c>
      <c r="K242" s="1" t="s">
        <v>760</v>
      </c>
      <c r="L242" s="1" t="s">
        <v>36</v>
      </c>
      <c r="M242" s="1" t="str">
        <f>_xlfn.XLOOKUP(Sheet1!F242,Departments!$A$2:$A$6,Departments!$B$2:$B$6)</f>
        <v>Sales</v>
      </c>
      <c r="N242" s="1">
        <f>_xlfn.XLOOKUP(A242,Performance!$A$2:$A$501,Performance!$C$2:$C$501)</f>
        <v>2</v>
      </c>
      <c r="O242" s="1" cm="1">
        <f t="array" ref="O242">_xlfn.IFS(N242=5,I242+0.15*I242,N242=4,I242+I242*0.1,N242=3,I242+I242*0.07,N242&lt;3,I242+I242*0.05)</f>
        <v>100622.55</v>
      </c>
    </row>
    <row r="243" spans="1:15" x14ac:dyDescent="0.3">
      <c r="A243" s="1" t="s">
        <v>761</v>
      </c>
      <c r="B243" s="1" t="s">
        <v>94</v>
      </c>
      <c r="C243" s="1" t="s">
        <v>14</v>
      </c>
      <c r="D243" s="1" t="s">
        <v>15</v>
      </c>
      <c r="E243" s="1">
        <v>22</v>
      </c>
      <c r="F243" s="1" t="s">
        <v>25</v>
      </c>
      <c r="G243" s="1" t="s">
        <v>26</v>
      </c>
      <c r="H243" s="1" t="s">
        <v>762</v>
      </c>
      <c r="I243" s="1">
        <v>106015</v>
      </c>
      <c r="J243" s="1" t="s">
        <v>19</v>
      </c>
      <c r="K243" s="1" t="s">
        <v>763</v>
      </c>
      <c r="L243" s="1" t="s">
        <v>21</v>
      </c>
      <c r="M243" s="1" t="str">
        <f>_xlfn.XLOOKUP(Sheet1!F243,Departments!$A$2:$A$6,Departments!$B$2:$B$6)</f>
        <v>IT</v>
      </c>
      <c r="N243" s="1">
        <f>_xlfn.XLOOKUP(A243,Performance!$A$2:$A$501,Performance!$C$2:$C$501)</f>
        <v>2</v>
      </c>
      <c r="O243" s="1" cm="1">
        <f t="array" ref="O243">_xlfn.IFS(N243=5,I243+0.15*I243,N243=4,I243+I243*0.1,N243=3,I243+I243*0.07,N243&lt;3,I243+I243*0.05)</f>
        <v>111315.75</v>
      </c>
    </row>
    <row r="244" spans="1:15" x14ac:dyDescent="0.3">
      <c r="A244" s="1" t="s">
        <v>764</v>
      </c>
      <c r="B244" s="1" t="s">
        <v>38</v>
      </c>
      <c r="C244" s="1" t="s">
        <v>45</v>
      </c>
      <c r="D244" s="1" t="s">
        <v>15</v>
      </c>
      <c r="E244" s="1">
        <v>28</v>
      </c>
      <c r="F244" s="1" t="s">
        <v>16</v>
      </c>
      <c r="G244" s="1" t="s">
        <v>17</v>
      </c>
      <c r="H244" s="1" t="s">
        <v>765</v>
      </c>
      <c r="I244" s="1">
        <v>100388</v>
      </c>
      <c r="J244" s="1" t="s">
        <v>80</v>
      </c>
      <c r="K244" s="1" t="s">
        <v>766</v>
      </c>
      <c r="L244" s="1" t="s">
        <v>21</v>
      </c>
      <c r="M244" s="1" t="str">
        <f>_xlfn.XLOOKUP(Sheet1!F244,Departments!$A$2:$A$6,Departments!$B$2:$B$6)</f>
        <v>HR</v>
      </c>
      <c r="N244" s="1">
        <f>_xlfn.XLOOKUP(A244,Performance!$A$2:$A$501,Performance!$C$2:$C$501)</f>
        <v>1</v>
      </c>
      <c r="O244" s="1" cm="1">
        <f t="array" ref="O244">_xlfn.IFS(N244=5,I244+0.15*I244,N244=4,I244+I244*0.1,N244=3,I244+I244*0.07,N244&lt;3,I244+I244*0.05)</f>
        <v>105407.4</v>
      </c>
    </row>
    <row r="245" spans="1:15" x14ac:dyDescent="0.3">
      <c r="A245" s="1" t="s">
        <v>767</v>
      </c>
      <c r="B245" s="1" t="s">
        <v>30</v>
      </c>
      <c r="C245" s="1" t="s">
        <v>90</v>
      </c>
      <c r="D245" s="1" t="s">
        <v>24</v>
      </c>
      <c r="E245" s="1">
        <v>47</v>
      </c>
      <c r="F245" s="1" t="s">
        <v>39</v>
      </c>
      <c r="G245" s="1" t="s">
        <v>26</v>
      </c>
      <c r="H245" s="1" t="s">
        <v>166</v>
      </c>
      <c r="I245" s="1">
        <v>60932</v>
      </c>
      <c r="J245" s="1" t="s">
        <v>80</v>
      </c>
      <c r="K245" s="1" t="s">
        <v>768</v>
      </c>
      <c r="L245" s="1" t="s">
        <v>36</v>
      </c>
      <c r="M245" s="1" t="str">
        <f>_xlfn.XLOOKUP(Sheet1!F245,Departments!$A$2:$A$6,Departments!$B$2:$B$6)</f>
        <v>Marketing</v>
      </c>
      <c r="N245" s="1">
        <f>_xlfn.XLOOKUP(A245,Performance!$A$2:$A$501,Performance!$C$2:$C$501)</f>
        <v>4</v>
      </c>
      <c r="O245" s="1" cm="1">
        <f t="array" ref="O245">_xlfn.IFS(N245=5,I245+0.15*I245,N245=4,I245+I245*0.1,N245=3,I245+I245*0.07,N245&lt;3,I245+I245*0.05)</f>
        <v>67025.2</v>
      </c>
    </row>
    <row r="246" spans="1:15" x14ac:dyDescent="0.3">
      <c r="A246" s="1" t="s">
        <v>769</v>
      </c>
      <c r="B246" s="1" t="s">
        <v>49</v>
      </c>
      <c r="C246" s="1" t="s">
        <v>83</v>
      </c>
      <c r="D246" s="1" t="s">
        <v>15</v>
      </c>
      <c r="E246" s="1">
        <v>36</v>
      </c>
      <c r="F246" s="1" t="s">
        <v>39</v>
      </c>
      <c r="G246" s="1" t="s">
        <v>32</v>
      </c>
      <c r="H246" s="1" t="s">
        <v>436</v>
      </c>
      <c r="I246" s="1">
        <v>107818</v>
      </c>
      <c r="J246" s="1" t="s">
        <v>34</v>
      </c>
      <c r="K246" s="1" t="s">
        <v>770</v>
      </c>
      <c r="L246" s="1" t="s">
        <v>21</v>
      </c>
      <c r="M246" s="1" t="str">
        <f>_xlfn.XLOOKUP(Sheet1!F246,Departments!$A$2:$A$6,Departments!$B$2:$B$6)</f>
        <v>Marketing</v>
      </c>
      <c r="N246" s="1">
        <f>_xlfn.XLOOKUP(A246,Performance!$A$2:$A$501,Performance!$C$2:$C$501)</f>
        <v>1</v>
      </c>
      <c r="O246" s="1" cm="1">
        <f t="array" ref="O246">_xlfn.IFS(N246=5,I246+0.15*I246,N246=4,I246+I246*0.1,N246=3,I246+I246*0.07,N246&lt;3,I246+I246*0.05)</f>
        <v>113208.9</v>
      </c>
    </row>
    <row r="247" spans="1:15" x14ac:dyDescent="0.3">
      <c r="A247" s="1" t="s">
        <v>771</v>
      </c>
      <c r="B247" s="1" t="s">
        <v>13</v>
      </c>
      <c r="C247" s="1" t="s">
        <v>45</v>
      </c>
      <c r="D247" s="1" t="s">
        <v>24</v>
      </c>
      <c r="E247" s="1">
        <v>49</v>
      </c>
      <c r="F247" s="1" t="s">
        <v>50</v>
      </c>
      <c r="G247" s="1" t="s">
        <v>32</v>
      </c>
      <c r="H247" s="1" t="s">
        <v>772</v>
      </c>
      <c r="I247" s="1">
        <v>95198</v>
      </c>
      <c r="J247" s="1" t="s">
        <v>34</v>
      </c>
      <c r="K247" s="1" t="s">
        <v>773</v>
      </c>
      <c r="L247" s="1" t="s">
        <v>21</v>
      </c>
      <c r="M247" s="1" t="str">
        <f>_xlfn.XLOOKUP(Sheet1!F247,Departments!$A$2:$A$6,Departments!$B$2:$B$6)</f>
        <v>Finance</v>
      </c>
      <c r="N247" s="1">
        <f>_xlfn.XLOOKUP(A247,Performance!$A$2:$A$501,Performance!$C$2:$C$501)</f>
        <v>4</v>
      </c>
      <c r="O247" s="1" cm="1">
        <f t="array" ref="O247">_xlfn.IFS(N247=5,I247+0.15*I247,N247=4,I247+I247*0.1,N247=3,I247+I247*0.07,N247&lt;3,I247+I247*0.05)</f>
        <v>104717.8</v>
      </c>
    </row>
    <row r="248" spans="1:15" x14ac:dyDescent="0.3">
      <c r="A248" s="1" t="s">
        <v>774</v>
      </c>
      <c r="B248" s="1" t="s">
        <v>143</v>
      </c>
      <c r="C248" s="1" t="s">
        <v>130</v>
      </c>
      <c r="D248" s="1" t="s">
        <v>15</v>
      </c>
      <c r="E248" s="1">
        <v>43</v>
      </c>
      <c r="F248" s="1" t="s">
        <v>25</v>
      </c>
      <c r="G248" s="1" t="s">
        <v>40</v>
      </c>
      <c r="H248" s="1" t="s">
        <v>775</v>
      </c>
      <c r="I248" s="1">
        <v>42635</v>
      </c>
      <c r="J248" s="1" t="s">
        <v>19</v>
      </c>
      <c r="K248" s="1" t="s">
        <v>776</v>
      </c>
      <c r="L248" s="1" t="s">
        <v>21</v>
      </c>
      <c r="M248" s="1" t="str">
        <f>_xlfn.XLOOKUP(Sheet1!F248,Departments!$A$2:$A$6,Departments!$B$2:$B$6)</f>
        <v>IT</v>
      </c>
      <c r="N248" s="1">
        <f>_xlfn.XLOOKUP(A248,Performance!$A$2:$A$501,Performance!$C$2:$C$501)</f>
        <v>3</v>
      </c>
      <c r="O248" s="1" cm="1">
        <f t="array" ref="O248">_xlfn.IFS(N248=5,I248+0.15*I248,N248=4,I248+I248*0.1,N248=3,I248+I248*0.07,N248&lt;3,I248+I248*0.05)</f>
        <v>45619.45</v>
      </c>
    </row>
    <row r="249" spans="1:15" x14ac:dyDescent="0.3">
      <c r="A249" s="1" t="s">
        <v>777</v>
      </c>
      <c r="B249" s="1" t="s">
        <v>44</v>
      </c>
      <c r="C249" s="1" t="s">
        <v>14</v>
      </c>
      <c r="D249" s="1" t="s">
        <v>15</v>
      </c>
      <c r="E249" s="1">
        <v>48</v>
      </c>
      <c r="F249" s="1" t="s">
        <v>16</v>
      </c>
      <c r="G249" s="1" t="s">
        <v>32</v>
      </c>
      <c r="H249" s="1" t="s">
        <v>778</v>
      </c>
      <c r="I249" s="1">
        <v>48738</v>
      </c>
      <c r="J249" s="1" t="s">
        <v>60</v>
      </c>
      <c r="K249" s="1" t="s">
        <v>779</v>
      </c>
      <c r="L249" s="1" t="s">
        <v>21</v>
      </c>
      <c r="M249" s="1" t="str">
        <f>_xlfn.XLOOKUP(Sheet1!F249,Departments!$A$2:$A$6,Departments!$B$2:$B$6)</f>
        <v>HR</v>
      </c>
      <c r="N249" s="1">
        <f>_xlfn.XLOOKUP(A249,Performance!$A$2:$A$501,Performance!$C$2:$C$501)</f>
        <v>5</v>
      </c>
      <c r="O249" s="1" cm="1">
        <f t="array" ref="O249">_xlfn.IFS(N249=5,I249+0.15*I249,N249=4,I249+I249*0.1,N249=3,I249+I249*0.07,N249&lt;3,I249+I249*0.05)</f>
        <v>56048.7</v>
      </c>
    </row>
    <row r="250" spans="1:15" x14ac:dyDescent="0.3">
      <c r="A250" s="1" t="s">
        <v>780</v>
      </c>
      <c r="B250" s="1" t="s">
        <v>44</v>
      </c>
      <c r="C250" s="1" t="s">
        <v>63</v>
      </c>
      <c r="D250" s="1" t="s">
        <v>15</v>
      </c>
      <c r="E250" s="1">
        <v>23</v>
      </c>
      <c r="F250" s="1" t="s">
        <v>16</v>
      </c>
      <c r="G250" s="1" t="s">
        <v>17</v>
      </c>
      <c r="H250" s="1" t="s">
        <v>365</v>
      </c>
      <c r="I250" s="1">
        <v>64435</v>
      </c>
      <c r="J250" s="1" t="s">
        <v>80</v>
      </c>
      <c r="K250" s="1" t="s">
        <v>781</v>
      </c>
      <c r="L250" s="1" t="s">
        <v>21</v>
      </c>
      <c r="M250" s="1" t="str">
        <f>_xlfn.XLOOKUP(Sheet1!F250,Departments!$A$2:$A$6,Departments!$B$2:$B$6)</f>
        <v>HR</v>
      </c>
      <c r="N250" s="1">
        <f>_xlfn.XLOOKUP(A250,Performance!$A$2:$A$501,Performance!$C$2:$C$501)</f>
        <v>5</v>
      </c>
      <c r="O250" s="1" cm="1">
        <f t="array" ref="O250">_xlfn.IFS(N250=5,I250+0.15*I250,N250=4,I250+I250*0.1,N250=3,I250+I250*0.07,N250&lt;3,I250+I250*0.05)</f>
        <v>74100.25</v>
      </c>
    </row>
    <row r="251" spans="1:15" x14ac:dyDescent="0.3">
      <c r="A251" s="1" t="s">
        <v>782</v>
      </c>
      <c r="B251" s="1" t="s">
        <v>71</v>
      </c>
      <c r="C251" s="1" t="s">
        <v>23</v>
      </c>
      <c r="D251" s="1" t="s">
        <v>24</v>
      </c>
      <c r="E251" s="1">
        <v>55</v>
      </c>
      <c r="F251" s="1" t="s">
        <v>16</v>
      </c>
      <c r="G251" s="1" t="s">
        <v>17</v>
      </c>
      <c r="H251" s="1" t="s">
        <v>783</v>
      </c>
      <c r="I251" s="1">
        <v>116007</v>
      </c>
      <c r="J251" s="1" t="s">
        <v>65</v>
      </c>
      <c r="K251" s="1" t="s">
        <v>784</v>
      </c>
      <c r="L251" s="1" t="s">
        <v>21</v>
      </c>
      <c r="M251" s="1" t="str">
        <f>_xlfn.XLOOKUP(Sheet1!F251,Departments!$A$2:$A$6,Departments!$B$2:$B$6)</f>
        <v>HR</v>
      </c>
      <c r="N251" s="1">
        <f>_xlfn.XLOOKUP(A251,Performance!$A$2:$A$501,Performance!$C$2:$C$501)</f>
        <v>5</v>
      </c>
      <c r="O251" s="1" cm="1">
        <f t="array" ref="O251">_xlfn.IFS(N251=5,I251+0.15*I251,N251=4,I251+I251*0.1,N251=3,I251+I251*0.07,N251&lt;3,I251+I251*0.05)</f>
        <v>133408.04999999999</v>
      </c>
    </row>
    <row r="252" spans="1:15" x14ac:dyDescent="0.3">
      <c r="A252" s="1" t="s">
        <v>785</v>
      </c>
      <c r="B252" s="1" t="s">
        <v>49</v>
      </c>
      <c r="C252" s="1" t="s">
        <v>90</v>
      </c>
      <c r="D252" s="1" t="s">
        <v>24</v>
      </c>
      <c r="E252" s="1">
        <v>38</v>
      </c>
      <c r="F252" s="1" t="s">
        <v>25</v>
      </c>
      <c r="G252" s="1" t="s">
        <v>26</v>
      </c>
      <c r="H252" s="1" t="s">
        <v>786</v>
      </c>
      <c r="I252" s="1">
        <v>60256</v>
      </c>
      <c r="J252" s="1" t="s">
        <v>60</v>
      </c>
      <c r="K252" s="1" t="s">
        <v>787</v>
      </c>
      <c r="L252" s="1" t="s">
        <v>21</v>
      </c>
      <c r="M252" s="1" t="str">
        <f>_xlfn.XLOOKUP(Sheet1!F252,Departments!$A$2:$A$6,Departments!$B$2:$B$6)</f>
        <v>IT</v>
      </c>
      <c r="N252" s="1">
        <f>_xlfn.XLOOKUP(A252,Performance!$A$2:$A$501,Performance!$C$2:$C$501)</f>
        <v>4</v>
      </c>
      <c r="O252" s="1" cm="1">
        <f t="array" ref="O252">_xlfn.IFS(N252=5,I252+0.15*I252,N252=4,I252+I252*0.1,N252=3,I252+I252*0.07,N252&lt;3,I252+I252*0.05)</f>
        <v>66281.600000000006</v>
      </c>
    </row>
    <row r="253" spans="1:15" x14ac:dyDescent="0.3">
      <c r="A253" s="1" t="s">
        <v>788</v>
      </c>
      <c r="B253" s="1" t="s">
        <v>54</v>
      </c>
      <c r="C253" s="1" t="s">
        <v>165</v>
      </c>
      <c r="D253" s="1" t="s">
        <v>15</v>
      </c>
      <c r="E253" s="1">
        <v>52</v>
      </c>
      <c r="F253" s="1" t="s">
        <v>31</v>
      </c>
      <c r="G253" s="1" t="s">
        <v>40</v>
      </c>
      <c r="H253" s="1" t="s">
        <v>124</v>
      </c>
      <c r="I253" s="1">
        <v>79852</v>
      </c>
      <c r="J253" s="1" t="s">
        <v>34</v>
      </c>
      <c r="K253" s="1" t="s">
        <v>789</v>
      </c>
      <c r="L253" s="1" t="s">
        <v>36</v>
      </c>
      <c r="M253" s="1" t="str">
        <f>_xlfn.XLOOKUP(Sheet1!F253,Departments!$A$2:$A$6,Departments!$B$2:$B$6)</f>
        <v>Sales</v>
      </c>
      <c r="N253" s="1">
        <f>_xlfn.XLOOKUP(A253,Performance!$A$2:$A$501,Performance!$C$2:$C$501)</f>
        <v>3</v>
      </c>
      <c r="O253" s="1" cm="1">
        <f t="array" ref="O253">_xlfn.IFS(N253=5,I253+0.15*I253,N253=4,I253+I253*0.1,N253=3,I253+I253*0.07,N253&lt;3,I253+I253*0.05)</f>
        <v>85441.64</v>
      </c>
    </row>
    <row r="254" spans="1:15" x14ac:dyDescent="0.3">
      <c r="A254" s="1" t="s">
        <v>790</v>
      </c>
      <c r="B254" s="1" t="s">
        <v>38</v>
      </c>
      <c r="C254" s="1" t="s">
        <v>95</v>
      </c>
      <c r="D254" s="1" t="s">
        <v>24</v>
      </c>
      <c r="E254" s="1">
        <v>25</v>
      </c>
      <c r="F254" s="1" t="s">
        <v>39</v>
      </c>
      <c r="G254" s="1" t="s">
        <v>26</v>
      </c>
      <c r="H254" s="1" t="s">
        <v>791</v>
      </c>
      <c r="I254" s="1">
        <v>94875</v>
      </c>
      <c r="J254" s="1" t="s">
        <v>60</v>
      </c>
      <c r="K254" s="1" t="s">
        <v>792</v>
      </c>
      <c r="L254" s="1" t="s">
        <v>21</v>
      </c>
      <c r="M254" s="1" t="str">
        <f>_xlfn.XLOOKUP(Sheet1!F254,Departments!$A$2:$A$6,Departments!$B$2:$B$6)</f>
        <v>Marketing</v>
      </c>
      <c r="N254" s="1">
        <f>_xlfn.XLOOKUP(A254,Performance!$A$2:$A$501,Performance!$C$2:$C$501)</f>
        <v>1</v>
      </c>
      <c r="O254" s="1" cm="1">
        <f t="array" ref="O254">_xlfn.IFS(N254=5,I254+0.15*I254,N254=4,I254+I254*0.1,N254=3,I254+I254*0.07,N254&lt;3,I254+I254*0.05)</f>
        <v>99618.75</v>
      </c>
    </row>
    <row r="255" spans="1:15" x14ac:dyDescent="0.3">
      <c r="A255" s="1" t="s">
        <v>793</v>
      </c>
      <c r="B255" s="1" t="s">
        <v>38</v>
      </c>
      <c r="C255" s="1" t="s">
        <v>45</v>
      </c>
      <c r="D255" s="1" t="s">
        <v>15</v>
      </c>
      <c r="E255" s="1">
        <v>42</v>
      </c>
      <c r="F255" s="1" t="s">
        <v>25</v>
      </c>
      <c r="G255" s="1" t="s">
        <v>32</v>
      </c>
      <c r="H255" s="1" t="s">
        <v>794</v>
      </c>
      <c r="I255" s="1">
        <v>43197</v>
      </c>
      <c r="J255" s="1" t="s">
        <v>19</v>
      </c>
      <c r="K255" s="1" t="s">
        <v>795</v>
      </c>
      <c r="L255" s="1" t="s">
        <v>36</v>
      </c>
      <c r="M255" s="1" t="str">
        <f>_xlfn.XLOOKUP(Sheet1!F255,Departments!$A$2:$A$6,Departments!$B$2:$B$6)</f>
        <v>IT</v>
      </c>
      <c r="N255" s="1">
        <f>_xlfn.XLOOKUP(A255,Performance!$A$2:$A$501,Performance!$C$2:$C$501)</f>
        <v>5</v>
      </c>
      <c r="O255" s="1" cm="1">
        <f t="array" ref="O255">_xlfn.IFS(N255=5,I255+0.15*I255,N255=4,I255+I255*0.1,N255=3,I255+I255*0.07,N255&lt;3,I255+I255*0.05)</f>
        <v>49676.55</v>
      </c>
    </row>
    <row r="256" spans="1:15" x14ac:dyDescent="0.3">
      <c r="A256" s="1" t="s">
        <v>796</v>
      </c>
      <c r="B256" s="1" t="s">
        <v>49</v>
      </c>
      <c r="C256" s="1" t="s">
        <v>90</v>
      </c>
      <c r="D256" s="1" t="s">
        <v>24</v>
      </c>
      <c r="E256" s="1">
        <v>32</v>
      </c>
      <c r="F256" s="1" t="s">
        <v>50</v>
      </c>
      <c r="G256" s="1" t="s">
        <v>40</v>
      </c>
      <c r="H256" s="1" t="s">
        <v>797</v>
      </c>
      <c r="I256" s="1">
        <v>117451</v>
      </c>
      <c r="J256" s="1" t="s">
        <v>65</v>
      </c>
      <c r="K256" s="1" t="s">
        <v>798</v>
      </c>
      <c r="L256" s="1" t="s">
        <v>21</v>
      </c>
      <c r="M256" s="1" t="str">
        <f>_xlfn.XLOOKUP(Sheet1!F256,Departments!$A$2:$A$6,Departments!$B$2:$B$6)</f>
        <v>Finance</v>
      </c>
      <c r="N256" s="1">
        <f>_xlfn.XLOOKUP(A256,Performance!$A$2:$A$501,Performance!$C$2:$C$501)</f>
        <v>1</v>
      </c>
      <c r="O256" s="1" cm="1">
        <f t="array" ref="O256">_xlfn.IFS(N256=5,I256+0.15*I256,N256=4,I256+I256*0.1,N256=3,I256+I256*0.07,N256&lt;3,I256+I256*0.05)</f>
        <v>123323.55</v>
      </c>
    </row>
    <row r="257" spans="1:15" x14ac:dyDescent="0.3">
      <c r="A257" s="1" t="s">
        <v>799</v>
      </c>
      <c r="B257" s="1" t="s">
        <v>143</v>
      </c>
      <c r="C257" s="1" t="s">
        <v>130</v>
      </c>
      <c r="D257" s="1" t="s">
        <v>24</v>
      </c>
      <c r="E257" s="1">
        <v>28</v>
      </c>
      <c r="F257" s="1" t="s">
        <v>39</v>
      </c>
      <c r="G257" s="1" t="s">
        <v>40</v>
      </c>
      <c r="H257" s="1" t="s">
        <v>800</v>
      </c>
      <c r="I257" s="1">
        <v>54493</v>
      </c>
      <c r="J257" s="1" t="s">
        <v>65</v>
      </c>
      <c r="K257" s="1" t="s">
        <v>801</v>
      </c>
      <c r="L257" s="1" t="s">
        <v>21</v>
      </c>
      <c r="M257" s="1" t="str">
        <f>_xlfn.XLOOKUP(Sheet1!F257,Departments!$A$2:$A$6,Departments!$B$2:$B$6)</f>
        <v>Marketing</v>
      </c>
      <c r="N257" s="1">
        <f>_xlfn.XLOOKUP(A257,Performance!$A$2:$A$501,Performance!$C$2:$C$501)</f>
        <v>4</v>
      </c>
      <c r="O257" s="1" cm="1">
        <f t="array" ref="O257">_xlfn.IFS(N257=5,I257+0.15*I257,N257=4,I257+I257*0.1,N257=3,I257+I257*0.07,N257&lt;3,I257+I257*0.05)</f>
        <v>59942.3</v>
      </c>
    </row>
    <row r="258" spans="1:15" x14ac:dyDescent="0.3">
      <c r="A258" s="1" t="s">
        <v>802</v>
      </c>
      <c r="B258" s="1" t="s">
        <v>143</v>
      </c>
      <c r="C258" s="1" t="s">
        <v>78</v>
      </c>
      <c r="D258" s="1" t="s">
        <v>15</v>
      </c>
      <c r="E258" s="1">
        <v>55</v>
      </c>
      <c r="F258" s="1" t="s">
        <v>39</v>
      </c>
      <c r="G258" s="1" t="s">
        <v>32</v>
      </c>
      <c r="H258" s="1" t="s">
        <v>803</v>
      </c>
      <c r="I258" s="1">
        <v>68822</v>
      </c>
      <c r="J258" s="1" t="s">
        <v>34</v>
      </c>
      <c r="K258" s="1" t="s">
        <v>804</v>
      </c>
      <c r="L258" s="1" t="s">
        <v>36</v>
      </c>
      <c r="M258" s="1" t="str">
        <f>_xlfn.XLOOKUP(Sheet1!F258,Departments!$A$2:$A$6,Departments!$B$2:$B$6)</f>
        <v>Marketing</v>
      </c>
      <c r="N258" s="1">
        <f>_xlfn.XLOOKUP(A258,Performance!$A$2:$A$501,Performance!$C$2:$C$501)</f>
        <v>3</v>
      </c>
      <c r="O258" s="1" cm="1">
        <f t="array" ref="O258">_xlfn.IFS(N258=5,I258+0.15*I258,N258=4,I258+I258*0.1,N258=3,I258+I258*0.07,N258&lt;3,I258+I258*0.05)</f>
        <v>73639.540000000008</v>
      </c>
    </row>
    <row r="259" spans="1:15" x14ac:dyDescent="0.3">
      <c r="A259" s="1" t="s">
        <v>805</v>
      </c>
      <c r="B259" s="1" t="s">
        <v>44</v>
      </c>
      <c r="C259" s="1" t="s">
        <v>95</v>
      </c>
      <c r="D259" s="1" t="s">
        <v>24</v>
      </c>
      <c r="E259" s="1">
        <v>27</v>
      </c>
      <c r="F259" s="1" t="s">
        <v>50</v>
      </c>
      <c r="G259" s="1" t="s">
        <v>26</v>
      </c>
      <c r="H259" s="1" t="s">
        <v>806</v>
      </c>
      <c r="I259" s="1">
        <v>96058</v>
      </c>
      <c r="J259" s="1" t="s">
        <v>19</v>
      </c>
      <c r="K259" s="1" t="s">
        <v>807</v>
      </c>
      <c r="L259" s="1" t="s">
        <v>36</v>
      </c>
      <c r="M259" s="1" t="str">
        <f>_xlfn.XLOOKUP(Sheet1!F259,Departments!$A$2:$A$6,Departments!$B$2:$B$6)</f>
        <v>Finance</v>
      </c>
      <c r="N259" s="1">
        <f>_xlfn.XLOOKUP(A259,Performance!$A$2:$A$501,Performance!$C$2:$C$501)</f>
        <v>2</v>
      </c>
      <c r="O259" s="1" cm="1">
        <f t="array" ref="O259">_xlfn.IFS(N259=5,I259+0.15*I259,N259=4,I259+I259*0.1,N259=3,I259+I259*0.07,N259&lt;3,I259+I259*0.05)</f>
        <v>100860.9</v>
      </c>
    </row>
    <row r="260" spans="1:15" x14ac:dyDescent="0.3">
      <c r="A260" s="1" t="s">
        <v>808</v>
      </c>
      <c r="B260" s="1" t="s">
        <v>143</v>
      </c>
      <c r="C260" s="1" t="s">
        <v>165</v>
      </c>
      <c r="D260" s="1" t="s">
        <v>24</v>
      </c>
      <c r="E260" s="1">
        <v>26</v>
      </c>
      <c r="F260" s="1" t="s">
        <v>16</v>
      </c>
      <c r="G260" s="1" t="s">
        <v>17</v>
      </c>
      <c r="H260" s="1" t="s">
        <v>809</v>
      </c>
      <c r="I260" s="1">
        <v>109724</v>
      </c>
      <c r="J260" s="1" t="s">
        <v>60</v>
      </c>
      <c r="K260" s="1" t="s">
        <v>810</v>
      </c>
      <c r="L260" s="1" t="s">
        <v>21</v>
      </c>
      <c r="M260" s="1" t="str">
        <f>_xlfn.XLOOKUP(Sheet1!F260,Departments!$A$2:$A$6,Departments!$B$2:$B$6)</f>
        <v>HR</v>
      </c>
      <c r="N260" s="1">
        <f>_xlfn.XLOOKUP(A260,Performance!$A$2:$A$501,Performance!$C$2:$C$501)</f>
        <v>1</v>
      </c>
      <c r="O260" s="1" cm="1">
        <f t="array" ref="O260">_xlfn.IFS(N260=5,I260+0.15*I260,N260=4,I260+I260*0.1,N260=3,I260+I260*0.07,N260&lt;3,I260+I260*0.05)</f>
        <v>115210.2</v>
      </c>
    </row>
    <row r="261" spans="1:15" x14ac:dyDescent="0.3">
      <c r="A261" s="1" t="s">
        <v>811</v>
      </c>
      <c r="B261" s="1" t="s">
        <v>44</v>
      </c>
      <c r="C261" s="1" t="s">
        <v>45</v>
      </c>
      <c r="D261" s="1" t="s">
        <v>24</v>
      </c>
      <c r="E261" s="1">
        <v>35</v>
      </c>
      <c r="F261" s="1" t="s">
        <v>16</v>
      </c>
      <c r="G261" s="1" t="s">
        <v>26</v>
      </c>
      <c r="H261" s="1" t="s">
        <v>213</v>
      </c>
      <c r="I261" s="1">
        <v>69243</v>
      </c>
      <c r="J261" s="1" t="s">
        <v>65</v>
      </c>
      <c r="K261" s="1" t="s">
        <v>812</v>
      </c>
      <c r="L261" s="1" t="s">
        <v>36</v>
      </c>
      <c r="M261" s="1" t="str">
        <f>_xlfn.XLOOKUP(Sheet1!F261,Departments!$A$2:$A$6,Departments!$B$2:$B$6)</f>
        <v>HR</v>
      </c>
      <c r="N261" s="1">
        <f>_xlfn.XLOOKUP(A261,Performance!$A$2:$A$501,Performance!$C$2:$C$501)</f>
        <v>3</v>
      </c>
      <c r="O261" s="1" cm="1">
        <f t="array" ref="O261">_xlfn.IFS(N261=5,I261+0.15*I261,N261=4,I261+I261*0.1,N261=3,I261+I261*0.07,N261&lt;3,I261+I261*0.05)</f>
        <v>74090.009999999995</v>
      </c>
    </row>
    <row r="262" spans="1:15" x14ac:dyDescent="0.3">
      <c r="A262" s="1" t="s">
        <v>813</v>
      </c>
      <c r="B262" s="1" t="s">
        <v>54</v>
      </c>
      <c r="C262" s="1" t="s">
        <v>45</v>
      </c>
      <c r="D262" s="1" t="s">
        <v>15</v>
      </c>
      <c r="E262" s="1">
        <v>22</v>
      </c>
      <c r="F262" s="1" t="s">
        <v>25</v>
      </c>
      <c r="G262" s="1" t="s">
        <v>26</v>
      </c>
      <c r="H262" s="1" t="s">
        <v>814</v>
      </c>
      <c r="I262" s="1">
        <v>46775</v>
      </c>
      <c r="J262" s="1" t="s">
        <v>19</v>
      </c>
      <c r="K262" s="1" t="s">
        <v>815</v>
      </c>
      <c r="L262" s="1" t="s">
        <v>36</v>
      </c>
      <c r="M262" s="1" t="str">
        <f>_xlfn.XLOOKUP(Sheet1!F262,Departments!$A$2:$A$6,Departments!$B$2:$B$6)</f>
        <v>IT</v>
      </c>
      <c r="N262" s="1">
        <f>_xlfn.XLOOKUP(A262,Performance!$A$2:$A$501,Performance!$C$2:$C$501)</f>
        <v>4</v>
      </c>
      <c r="O262" s="1" cm="1">
        <f t="array" ref="O262">_xlfn.IFS(N262=5,I262+0.15*I262,N262=4,I262+I262*0.1,N262=3,I262+I262*0.07,N262&lt;3,I262+I262*0.05)</f>
        <v>51452.5</v>
      </c>
    </row>
    <row r="263" spans="1:15" x14ac:dyDescent="0.3">
      <c r="A263" s="1" t="s">
        <v>816</v>
      </c>
      <c r="B263" s="1" t="s">
        <v>54</v>
      </c>
      <c r="C263" s="1" t="s">
        <v>130</v>
      </c>
      <c r="D263" s="1" t="s">
        <v>15</v>
      </c>
      <c r="E263" s="1">
        <v>37</v>
      </c>
      <c r="F263" s="1" t="s">
        <v>16</v>
      </c>
      <c r="G263" s="1" t="s">
        <v>40</v>
      </c>
      <c r="H263" s="1" t="s">
        <v>744</v>
      </c>
      <c r="I263" s="1">
        <v>86841</v>
      </c>
      <c r="J263" s="1" t="s">
        <v>60</v>
      </c>
      <c r="K263" s="1" t="s">
        <v>817</v>
      </c>
      <c r="L263" s="1" t="s">
        <v>36</v>
      </c>
      <c r="M263" s="1" t="str">
        <f>_xlfn.XLOOKUP(Sheet1!F263,Departments!$A$2:$A$6,Departments!$B$2:$B$6)</f>
        <v>HR</v>
      </c>
      <c r="N263" s="1">
        <f>_xlfn.XLOOKUP(A263,Performance!$A$2:$A$501,Performance!$C$2:$C$501)</f>
        <v>2</v>
      </c>
      <c r="O263" s="1" cm="1">
        <f t="array" ref="O263">_xlfn.IFS(N263=5,I263+0.15*I263,N263=4,I263+I263*0.1,N263=3,I263+I263*0.07,N263&lt;3,I263+I263*0.05)</f>
        <v>91183.05</v>
      </c>
    </row>
    <row r="264" spans="1:15" x14ac:dyDescent="0.3">
      <c r="A264" s="1" t="s">
        <v>818</v>
      </c>
      <c r="B264" s="1" t="s">
        <v>30</v>
      </c>
      <c r="C264" s="1" t="s">
        <v>90</v>
      </c>
      <c r="D264" s="1" t="s">
        <v>24</v>
      </c>
      <c r="E264" s="1">
        <v>59</v>
      </c>
      <c r="F264" s="1" t="s">
        <v>16</v>
      </c>
      <c r="G264" s="1" t="s">
        <v>108</v>
      </c>
      <c r="H264" s="1" t="s">
        <v>819</v>
      </c>
      <c r="I264" s="1">
        <v>91520</v>
      </c>
      <c r="J264" s="1" t="s">
        <v>80</v>
      </c>
      <c r="K264" s="1" t="s">
        <v>820</v>
      </c>
      <c r="L264" s="1" t="s">
        <v>36</v>
      </c>
      <c r="M264" s="1" t="str">
        <f>_xlfn.XLOOKUP(Sheet1!F264,Departments!$A$2:$A$6,Departments!$B$2:$B$6)</f>
        <v>HR</v>
      </c>
      <c r="N264" s="1">
        <f>_xlfn.XLOOKUP(A264,Performance!$A$2:$A$501,Performance!$C$2:$C$501)</f>
        <v>5</v>
      </c>
      <c r="O264" s="1" cm="1">
        <f t="array" ref="O264">_xlfn.IFS(N264=5,I264+0.15*I264,N264=4,I264+I264*0.1,N264=3,I264+I264*0.07,N264&lt;3,I264+I264*0.05)</f>
        <v>105248</v>
      </c>
    </row>
    <row r="265" spans="1:15" x14ac:dyDescent="0.3">
      <c r="A265" s="1" t="s">
        <v>821</v>
      </c>
      <c r="B265" s="1" t="s">
        <v>94</v>
      </c>
      <c r="C265" s="1" t="s">
        <v>130</v>
      </c>
      <c r="D265" s="1" t="s">
        <v>15</v>
      </c>
      <c r="E265" s="1">
        <v>44</v>
      </c>
      <c r="F265" s="1" t="s">
        <v>25</v>
      </c>
      <c r="G265" s="1" t="s">
        <v>17</v>
      </c>
      <c r="H265" s="1" t="s">
        <v>822</v>
      </c>
      <c r="I265" s="1">
        <v>97265</v>
      </c>
      <c r="J265" s="1" t="s">
        <v>19</v>
      </c>
      <c r="K265" s="1" t="s">
        <v>823</v>
      </c>
      <c r="L265" s="1" t="s">
        <v>21</v>
      </c>
      <c r="M265" s="1" t="str">
        <f>_xlfn.XLOOKUP(Sheet1!F265,Departments!$A$2:$A$6,Departments!$B$2:$B$6)</f>
        <v>IT</v>
      </c>
      <c r="N265" s="1">
        <f>_xlfn.XLOOKUP(A265,Performance!$A$2:$A$501,Performance!$C$2:$C$501)</f>
        <v>2</v>
      </c>
      <c r="O265" s="1" cm="1">
        <f t="array" ref="O265">_xlfn.IFS(N265=5,I265+0.15*I265,N265=4,I265+I265*0.1,N265=3,I265+I265*0.07,N265&lt;3,I265+I265*0.05)</f>
        <v>102128.25</v>
      </c>
    </row>
    <row r="266" spans="1:15" x14ac:dyDescent="0.3">
      <c r="A266" s="1" t="s">
        <v>824</v>
      </c>
      <c r="B266" s="1" t="s">
        <v>30</v>
      </c>
      <c r="C266" s="1" t="s">
        <v>78</v>
      </c>
      <c r="D266" s="1" t="s">
        <v>24</v>
      </c>
      <c r="E266" s="1">
        <v>60</v>
      </c>
      <c r="F266" s="1" t="s">
        <v>16</v>
      </c>
      <c r="G266" s="1" t="s">
        <v>32</v>
      </c>
      <c r="H266" s="1" t="s">
        <v>825</v>
      </c>
      <c r="I266" s="1">
        <v>76450</v>
      </c>
      <c r="J266" s="1" t="s">
        <v>60</v>
      </c>
      <c r="K266" s="1" t="s">
        <v>826</v>
      </c>
      <c r="L266" s="1" t="s">
        <v>21</v>
      </c>
      <c r="M266" s="1" t="str">
        <f>_xlfn.XLOOKUP(Sheet1!F266,Departments!$A$2:$A$6,Departments!$B$2:$B$6)</f>
        <v>HR</v>
      </c>
      <c r="N266" s="1">
        <f>_xlfn.XLOOKUP(A266,Performance!$A$2:$A$501,Performance!$C$2:$C$501)</f>
        <v>2</v>
      </c>
      <c r="O266" s="1" cm="1">
        <f t="array" ref="O266">_xlfn.IFS(N266=5,I266+0.15*I266,N266=4,I266+I266*0.1,N266=3,I266+I266*0.07,N266&lt;3,I266+I266*0.05)</f>
        <v>80272.5</v>
      </c>
    </row>
    <row r="267" spans="1:15" x14ac:dyDescent="0.3">
      <c r="A267" s="1" t="s">
        <v>827</v>
      </c>
      <c r="B267" s="1" t="s">
        <v>58</v>
      </c>
      <c r="C267" s="1" t="s">
        <v>14</v>
      </c>
      <c r="D267" s="1" t="s">
        <v>24</v>
      </c>
      <c r="E267" s="1">
        <v>45</v>
      </c>
      <c r="F267" s="1" t="s">
        <v>25</v>
      </c>
      <c r="G267" s="1" t="s">
        <v>17</v>
      </c>
      <c r="H267" s="1" t="s">
        <v>828</v>
      </c>
      <c r="I267" s="1">
        <v>85702</v>
      </c>
      <c r="J267" s="1" t="s">
        <v>34</v>
      </c>
      <c r="K267" s="1" t="s">
        <v>829</v>
      </c>
      <c r="L267" s="1" t="s">
        <v>36</v>
      </c>
      <c r="M267" s="1" t="str">
        <f>_xlfn.XLOOKUP(Sheet1!F267,Departments!$A$2:$A$6,Departments!$B$2:$B$6)</f>
        <v>IT</v>
      </c>
      <c r="N267" s="1">
        <f>_xlfn.XLOOKUP(A267,Performance!$A$2:$A$501,Performance!$C$2:$C$501)</f>
        <v>4</v>
      </c>
      <c r="O267" s="1" cm="1">
        <f t="array" ref="O267">_xlfn.IFS(N267=5,I267+0.15*I267,N267=4,I267+I267*0.1,N267=3,I267+I267*0.07,N267&lt;3,I267+I267*0.05)</f>
        <v>94272.2</v>
      </c>
    </row>
    <row r="268" spans="1:15" x14ac:dyDescent="0.3">
      <c r="A268" s="1" t="s">
        <v>830</v>
      </c>
      <c r="B268" s="1" t="s">
        <v>71</v>
      </c>
      <c r="C268" s="1" t="s">
        <v>165</v>
      </c>
      <c r="D268" s="1" t="s">
        <v>15</v>
      </c>
      <c r="E268" s="1">
        <v>52</v>
      </c>
      <c r="F268" s="1" t="s">
        <v>31</v>
      </c>
      <c r="G268" s="1" t="s">
        <v>40</v>
      </c>
      <c r="H268" s="1" t="s">
        <v>831</v>
      </c>
      <c r="I268" s="1">
        <v>94043</v>
      </c>
      <c r="J268" s="1" t="s">
        <v>65</v>
      </c>
      <c r="K268" s="1" t="s">
        <v>832</v>
      </c>
      <c r="L268" s="1" t="s">
        <v>36</v>
      </c>
      <c r="M268" s="1" t="str">
        <f>_xlfn.XLOOKUP(Sheet1!F268,Departments!$A$2:$A$6,Departments!$B$2:$B$6)</f>
        <v>Sales</v>
      </c>
      <c r="N268" s="1">
        <f>_xlfn.XLOOKUP(A268,Performance!$A$2:$A$501,Performance!$C$2:$C$501)</f>
        <v>4</v>
      </c>
      <c r="O268" s="1" cm="1">
        <f t="array" ref="O268">_xlfn.IFS(N268=5,I268+0.15*I268,N268=4,I268+I268*0.1,N268=3,I268+I268*0.07,N268&lt;3,I268+I268*0.05)</f>
        <v>103447.3</v>
      </c>
    </row>
    <row r="269" spans="1:15" x14ac:dyDescent="0.3">
      <c r="A269" s="1" t="s">
        <v>833</v>
      </c>
      <c r="B269" s="1" t="s">
        <v>44</v>
      </c>
      <c r="C269" s="1" t="s">
        <v>78</v>
      </c>
      <c r="D269" s="1" t="s">
        <v>15</v>
      </c>
      <c r="E269" s="1">
        <v>26</v>
      </c>
      <c r="F269" s="1" t="s">
        <v>31</v>
      </c>
      <c r="G269" s="1" t="s">
        <v>108</v>
      </c>
      <c r="H269" s="1" t="s">
        <v>834</v>
      </c>
      <c r="I269" s="1">
        <v>59385</v>
      </c>
      <c r="J269" s="1" t="s">
        <v>34</v>
      </c>
      <c r="K269" s="1" t="s">
        <v>835</v>
      </c>
      <c r="L269" s="1" t="s">
        <v>21</v>
      </c>
      <c r="M269" s="1" t="str">
        <f>_xlfn.XLOOKUP(Sheet1!F269,Departments!$A$2:$A$6,Departments!$B$2:$B$6)</f>
        <v>Sales</v>
      </c>
      <c r="N269" s="1">
        <f>_xlfn.XLOOKUP(A269,Performance!$A$2:$A$501,Performance!$C$2:$C$501)</f>
        <v>2</v>
      </c>
      <c r="O269" s="1" cm="1">
        <f t="array" ref="O269">_xlfn.IFS(N269=5,I269+0.15*I269,N269=4,I269+I269*0.1,N269=3,I269+I269*0.07,N269&lt;3,I269+I269*0.05)</f>
        <v>62354.25</v>
      </c>
    </row>
    <row r="270" spans="1:15" x14ac:dyDescent="0.3">
      <c r="A270" s="1" t="s">
        <v>836</v>
      </c>
      <c r="B270" s="1" t="s">
        <v>54</v>
      </c>
      <c r="C270" s="1" t="s">
        <v>63</v>
      </c>
      <c r="D270" s="1" t="s">
        <v>15</v>
      </c>
      <c r="E270" s="1">
        <v>43</v>
      </c>
      <c r="F270" s="1" t="s">
        <v>50</v>
      </c>
      <c r="G270" s="1" t="s">
        <v>40</v>
      </c>
      <c r="H270" s="1" t="s">
        <v>837</v>
      </c>
      <c r="I270" s="1">
        <v>114243</v>
      </c>
      <c r="J270" s="1" t="s">
        <v>65</v>
      </c>
      <c r="K270" s="1" t="s">
        <v>838</v>
      </c>
      <c r="L270" s="1" t="s">
        <v>21</v>
      </c>
      <c r="M270" s="1" t="str">
        <f>_xlfn.XLOOKUP(Sheet1!F270,Departments!$A$2:$A$6,Departments!$B$2:$B$6)</f>
        <v>Finance</v>
      </c>
      <c r="N270" s="1">
        <f>_xlfn.XLOOKUP(A270,Performance!$A$2:$A$501,Performance!$C$2:$C$501)</f>
        <v>1</v>
      </c>
      <c r="O270" s="1" cm="1">
        <f t="array" ref="O270">_xlfn.IFS(N270=5,I270+0.15*I270,N270=4,I270+I270*0.1,N270=3,I270+I270*0.07,N270&lt;3,I270+I270*0.05)</f>
        <v>119955.15</v>
      </c>
    </row>
    <row r="271" spans="1:15" x14ac:dyDescent="0.3">
      <c r="A271" s="1" t="s">
        <v>839</v>
      </c>
      <c r="B271" s="1" t="s">
        <v>13</v>
      </c>
      <c r="C271" s="1" t="s">
        <v>83</v>
      </c>
      <c r="D271" s="1" t="s">
        <v>15</v>
      </c>
      <c r="E271" s="1">
        <v>38</v>
      </c>
      <c r="F271" s="1" t="s">
        <v>16</v>
      </c>
      <c r="G271" s="1" t="s">
        <v>17</v>
      </c>
      <c r="H271" s="1" t="s">
        <v>840</v>
      </c>
      <c r="I271" s="1">
        <v>108702</v>
      </c>
      <c r="J271" s="1" t="s">
        <v>60</v>
      </c>
      <c r="K271" s="1" t="s">
        <v>841</v>
      </c>
      <c r="L271" s="1" t="s">
        <v>21</v>
      </c>
      <c r="M271" s="1" t="str">
        <f>_xlfn.XLOOKUP(Sheet1!F271,Departments!$A$2:$A$6,Departments!$B$2:$B$6)</f>
        <v>HR</v>
      </c>
      <c r="N271" s="1">
        <f>_xlfn.XLOOKUP(A271,Performance!$A$2:$A$501,Performance!$C$2:$C$501)</f>
        <v>4</v>
      </c>
      <c r="O271" s="1" cm="1">
        <f t="array" ref="O271">_xlfn.IFS(N271=5,I271+0.15*I271,N271=4,I271+I271*0.1,N271=3,I271+I271*0.07,N271&lt;3,I271+I271*0.05)</f>
        <v>119572.2</v>
      </c>
    </row>
    <row r="272" spans="1:15" x14ac:dyDescent="0.3">
      <c r="A272" s="1" t="s">
        <v>842</v>
      </c>
      <c r="B272" s="1" t="s">
        <v>13</v>
      </c>
      <c r="C272" s="1" t="s">
        <v>78</v>
      </c>
      <c r="D272" s="1" t="s">
        <v>24</v>
      </c>
      <c r="E272" s="1">
        <v>54</v>
      </c>
      <c r="F272" s="1" t="s">
        <v>16</v>
      </c>
      <c r="G272" s="1" t="s">
        <v>40</v>
      </c>
      <c r="H272" s="1" t="s">
        <v>843</v>
      </c>
      <c r="I272" s="1">
        <v>103130</v>
      </c>
      <c r="J272" s="1" t="s">
        <v>19</v>
      </c>
      <c r="K272" s="1" t="s">
        <v>844</v>
      </c>
      <c r="L272" s="1" t="s">
        <v>21</v>
      </c>
      <c r="M272" s="1" t="str">
        <f>_xlfn.XLOOKUP(Sheet1!F272,Departments!$A$2:$A$6,Departments!$B$2:$B$6)</f>
        <v>HR</v>
      </c>
      <c r="N272" s="1">
        <f>_xlfn.XLOOKUP(A272,Performance!$A$2:$A$501,Performance!$C$2:$C$501)</f>
        <v>5</v>
      </c>
      <c r="O272" s="1" cm="1">
        <f t="array" ref="O272">_xlfn.IFS(N272=5,I272+0.15*I272,N272=4,I272+I272*0.1,N272=3,I272+I272*0.07,N272&lt;3,I272+I272*0.05)</f>
        <v>118599.5</v>
      </c>
    </row>
    <row r="273" spans="1:15" x14ac:dyDescent="0.3">
      <c r="A273" s="1" t="s">
        <v>845</v>
      </c>
      <c r="B273" s="1" t="s">
        <v>30</v>
      </c>
      <c r="C273" s="1" t="s">
        <v>45</v>
      </c>
      <c r="D273" s="1" t="s">
        <v>24</v>
      </c>
      <c r="E273" s="1">
        <v>44</v>
      </c>
      <c r="F273" s="1" t="s">
        <v>31</v>
      </c>
      <c r="G273" s="1" t="s">
        <v>17</v>
      </c>
      <c r="H273" s="1" t="s">
        <v>846</v>
      </c>
      <c r="I273" s="1">
        <v>71195</v>
      </c>
      <c r="J273" s="1" t="s">
        <v>80</v>
      </c>
      <c r="K273" s="1" t="s">
        <v>847</v>
      </c>
      <c r="L273" s="1" t="s">
        <v>21</v>
      </c>
      <c r="M273" s="1" t="str">
        <f>_xlfn.XLOOKUP(Sheet1!F273,Departments!$A$2:$A$6,Departments!$B$2:$B$6)</f>
        <v>Sales</v>
      </c>
      <c r="N273" s="1">
        <f>_xlfn.XLOOKUP(A273,Performance!$A$2:$A$501,Performance!$C$2:$C$501)</f>
        <v>4</v>
      </c>
      <c r="O273" s="1" cm="1">
        <f t="array" ref="O273">_xlfn.IFS(N273=5,I273+0.15*I273,N273=4,I273+I273*0.1,N273=3,I273+I273*0.07,N273&lt;3,I273+I273*0.05)</f>
        <v>78314.5</v>
      </c>
    </row>
    <row r="274" spans="1:15" x14ac:dyDescent="0.3">
      <c r="A274" s="1" t="s">
        <v>848</v>
      </c>
      <c r="B274" s="1" t="s">
        <v>143</v>
      </c>
      <c r="C274" s="1" t="s">
        <v>83</v>
      </c>
      <c r="D274" s="1" t="s">
        <v>15</v>
      </c>
      <c r="E274" s="1">
        <v>55</v>
      </c>
      <c r="F274" s="1" t="s">
        <v>16</v>
      </c>
      <c r="G274" s="1" t="s">
        <v>26</v>
      </c>
      <c r="H274" s="1" t="s">
        <v>849</v>
      </c>
      <c r="I274" s="1">
        <v>40336</v>
      </c>
      <c r="J274" s="1" t="s">
        <v>80</v>
      </c>
      <c r="K274" s="1" t="s">
        <v>850</v>
      </c>
      <c r="L274" s="1" t="s">
        <v>36</v>
      </c>
      <c r="M274" s="1" t="str">
        <f>_xlfn.XLOOKUP(Sheet1!F274,Departments!$A$2:$A$6,Departments!$B$2:$B$6)</f>
        <v>HR</v>
      </c>
      <c r="N274" s="1">
        <f>_xlfn.XLOOKUP(A274,Performance!$A$2:$A$501,Performance!$C$2:$C$501)</f>
        <v>2</v>
      </c>
      <c r="O274" s="1" cm="1">
        <f t="array" ref="O274">_xlfn.IFS(N274=5,I274+0.15*I274,N274=4,I274+I274*0.1,N274=3,I274+I274*0.07,N274&lt;3,I274+I274*0.05)</f>
        <v>42352.800000000003</v>
      </c>
    </row>
    <row r="275" spans="1:15" x14ac:dyDescent="0.3">
      <c r="A275" s="1" t="s">
        <v>851</v>
      </c>
      <c r="B275" s="1" t="s">
        <v>94</v>
      </c>
      <c r="C275" s="1" t="s">
        <v>23</v>
      </c>
      <c r="D275" s="1" t="s">
        <v>24</v>
      </c>
      <c r="E275" s="1">
        <v>52</v>
      </c>
      <c r="F275" s="1" t="s">
        <v>50</v>
      </c>
      <c r="G275" s="1" t="s">
        <v>40</v>
      </c>
      <c r="H275" s="1" t="s">
        <v>852</v>
      </c>
      <c r="I275" s="1">
        <v>107267</v>
      </c>
      <c r="J275" s="1" t="s">
        <v>65</v>
      </c>
      <c r="K275" s="1" t="s">
        <v>853</v>
      </c>
      <c r="L275" s="1" t="s">
        <v>36</v>
      </c>
      <c r="M275" s="1" t="str">
        <f>_xlfn.XLOOKUP(Sheet1!F275,Departments!$A$2:$A$6,Departments!$B$2:$B$6)</f>
        <v>Finance</v>
      </c>
      <c r="N275" s="1">
        <f>_xlfn.XLOOKUP(A275,Performance!$A$2:$A$501,Performance!$C$2:$C$501)</f>
        <v>4</v>
      </c>
      <c r="O275" s="1" cm="1">
        <f t="array" ref="O275">_xlfn.IFS(N275=5,I275+0.15*I275,N275=4,I275+I275*0.1,N275=3,I275+I275*0.07,N275&lt;3,I275+I275*0.05)</f>
        <v>117993.7</v>
      </c>
    </row>
    <row r="276" spans="1:15" x14ac:dyDescent="0.3">
      <c r="A276" s="1" t="s">
        <v>854</v>
      </c>
      <c r="B276" s="1" t="s">
        <v>13</v>
      </c>
      <c r="C276" s="1" t="s">
        <v>90</v>
      </c>
      <c r="D276" s="1" t="s">
        <v>15</v>
      </c>
      <c r="E276" s="1">
        <v>43</v>
      </c>
      <c r="F276" s="1" t="s">
        <v>31</v>
      </c>
      <c r="G276" s="1" t="s">
        <v>32</v>
      </c>
      <c r="H276" s="1" t="s">
        <v>855</v>
      </c>
      <c r="I276" s="1">
        <v>89633</v>
      </c>
      <c r="J276" s="1" t="s">
        <v>65</v>
      </c>
      <c r="K276" s="1" t="s">
        <v>856</v>
      </c>
      <c r="L276" s="1" t="s">
        <v>36</v>
      </c>
      <c r="M276" s="1" t="str">
        <f>_xlfn.XLOOKUP(Sheet1!F276,Departments!$A$2:$A$6,Departments!$B$2:$B$6)</f>
        <v>Sales</v>
      </c>
      <c r="N276" s="1">
        <f>_xlfn.XLOOKUP(A276,Performance!$A$2:$A$501,Performance!$C$2:$C$501)</f>
        <v>4</v>
      </c>
      <c r="O276" s="1" cm="1">
        <f t="array" ref="O276">_xlfn.IFS(N276=5,I276+0.15*I276,N276=4,I276+I276*0.1,N276=3,I276+I276*0.07,N276&lt;3,I276+I276*0.05)</f>
        <v>98596.3</v>
      </c>
    </row>
    <row r="277" spans="1:15" x14ac:dyDescent="0.3">
      <c r="A277" s="1" t="s">
        <v>857</v>
      </c>
      <c r="B277" s="1" t="s">
        <v>54</v>
      </c>
      <c r="C277" s="1" t="s">
        <v>23</v>
      </c>
      <c r="D277" s="1" t="s">
        <v>24</v>
      </c>
      <c r="E277" s="1">
        <v>51</v>
      </c>
      <c r="F277" s="1" t="s">
        <v>31</v>
      </c>
      <c r="G277" s="1" t="s">
        <v>40</v>
      </c>
      <c r="H277" s="1" t="s">
        <v>858</v>
      </c>
      <c r="I277" s="1">
        <v>76409</v>
      </c>
      <c r="J277" s="1" t="s">
        <v>34</v>
      </c>
      <c r="K277" s="1" t="s">
        <v>859</v>
      </c>
      <c r="L277" s="1" t="s">
        <v>36</v>
      </c>
      <c r="M277" s="1" t="str">
        <f>_xlfn.XLOOKUP(Sheet1!F277,Departments!$A$2:$A$6,Departments!$B$2:$B$6)</f>
        <v>Sales</v>
      </c>
      <c r="N277" s="1">
        <f>_xlfn.XLOOKUP(A277,Performance!$A$2:$A$501,Performance!$C$2:$C$501)</f>
        <v>2</v>
      </c>
      <c r="O277" s="1" cm="1">
        <f t="array" ref="O277">_xlfn.IFS(N277=5,I277+0.15*I277,N277=4,I277+I277*0.1,N277=3,I277+I277*0.07,N277&lt;3,I277+I277*0.05)</f>
        <v>80229.45</v>
      </c>
    </row>
    <row r="278" spans="1:15" x14ac:dyDescent="0.3">
      <c r="A278" s="1" t="s">
        <v>860</v>
      </c>
      <c r="B278" s="1" t="s">
        <v>94</v>
      </c>
      <c r="C278" s="1" t="s">
        <v>45</v>
      </c>
      <c r="D278" s="1" t="s">
        <v>15</v>
      </c>
      <c r="E278" s="1">
        <v>22</v>
      </c>
      <c r="F278" s="1" t="s">
        <v>31</v>
      </c>
      <c r="G278" s="1" t="s">
        <v>26</v>
      </c>
      <c r="H278" s="1" t="s">
        <v>861</v>
      </c>
      <c r="I278" s="1">
        <v>79899</v>
      </c>
      <c r="J278" s="1" t="s">
        <v>65</v>
      </c>
      <c r="K278" s="1" t="s">
        <v>862</v>
      </c>
      <c r="L278" s="1" t="s">
        <v>36</v>
      </c>
      <c r="M278" s="1" t="str">
        <f>_xlfn.XLOOKUP(Sheet1!F278,Departments!$A$2:$A$6,Departments!$B$2:$B$6)</f>
        <v>Sales</v>
      </c>
      <c r="N278" s="1">
        <f>_xlfn.XLOOKUP(A278,Performance!$A$2:$A$501,Performance!$C$2:$C$501)</f>
        <v>2</v>
      </c>
      <c r="O278" s="1" cm="1">
        <f t="array" ref="O278">_xlfn.IFS(N278=5,I278+0.15*I278,N278=4,I278+I278*0.1,N278=3,I278+I278*0.07,N278&lt;3,I278+I278*0.05)</f>
        <v>83893.95</v>
      </c>
    </row>
    <row r="279" spans="1:15" x14ac:dyDescent="0.3">
      <c r="A279" s="1" t="s">
        <v>863</v>
      </c>
      <c r="B279" s="1" t="s">
        <v>49</v>
      </c>
      <c r="C279" s="1" t="s">
        <v>95</v>
      </c>
      <c r="D279" s="1" t="s">
        <v>15</v>
      </c>
      <c r="E279" s="1">
        <v>28</v>
      </c>
      <c r="F279" s="1" t="s">
        <v>16</v>
      </c>
      <c r="G279" s="1" t="s">
        <v>32</v>
      </c>
      <c r="H279" s="1" t="s">
        <v>864</v>
      </c>
      <c r="I279" s="1">
        <v>92548</v>
      </c>
      <c r="J279" s="1" t="s">
        <v>19</v>
      </c>
      <c r="K279" s="1" t="s">
        <v>865</v>
      </c>
      <c r="L279" s="1" t="s">
        <v>36</v>
      </c>
      <c r="M279" s="1" t="str">
        <f>_xlfn.XLOOKUP(Sheet1!F279,Departments!$A$2:$A$6,Departments!$B$2:$B$6)</f>
        <v>HR</v>
      </c>
      <c r="N279" s="1">
        <f>_xlfn.XLOOKUP(A279,Performance!$A$2:$A$501,Performance!$C$2:$C$501)</f>
        <v>2</v>
      </c>
      <c r="O279" s="1" cm="1">
        <f t="array" ref="O279">_xlfn.IFS(N279=5,I279+0.15*I279,N279=4,I279+I279*0.1,N279=3,I279+I279*0.07,N279&lt;3,I279+I279*0.05)</f>
        <v>97175.4</v>
      </c>
    </row>
    <row r="280" spans="1:15" x14ac:dyDescent="0.3">
      <c r="A280" s="1" t="s">
        <v>866</v>
      </c>
      <c r="B280" s="1" t="s">
        <v>38</v>
      </c>
      <c r="C280" s="1" t="s">
        <v>165</v>
      </c>
      <c r="D280" s="1" t="s">
        <v>15</v>
      </c>
      <c r="E280" s="1">
        <v>32</v>
      </c>
      <c r="F280" s="1" t="s">
        <v>16</v>
      </c>
      <c r="G280" s="1" t="s">
        <v>40</v>
      </c>
      <c r="H280" s="1" t="s">
        <v>867</v>
      </c>
      <c r="I280" s="1">
        <v>60558</v>
      </c>
      <c r="J280" s="1" t="s">
        <v>60</v>
      </c>
      <c r="K280" s="1" t="s">
        <v>868</v>
      </c>
      <c r="L280" s="1" t="s">
        <v>21</v>
      </c>
      <c r="M280" s="1" t="str">
        <f>_xlfn.XLOOKUP(Sheet1!F280,Departments!$A$2:$A$6,Departments!$B$2:$B$6)</f>
        <v>HR</v>
      </c>
      <c r="N280" s="1">
        <f>_xlfn.XLOOKUP(A280,Performance!$A$2:$A$501,Performance!$C$2:$C$501)</f>
        <v>2</v>
      </c>
      <c r="O280" s="1" cm="1">
        <f t="array" ref="O280">_xlfn.IFS(N280=5,I280+0.15*I280,N280=4,I280+I280*0.1,N280=3,I280+I280*0.07,N280&lt;3,I280+I280*0.05)</f>
        <v>63585.9</v>
      </c>
    </row>
    <row r="281" spans="1:15" x14ac:dyDescent="0.3">
      <c r="A281" s="1" t="s">
        <v>869</v>
      </c>
      <c r="B281" s="1" t="s">
        <v>49</v>
      </c>
      <c r="C281" s="1" t="s">
        <v>130</v>
      </c>
      <c r="D281" s="1" t="s">
        <v>15</v>
      </c>
      <c r="E281" s="1">
        <v>60</v>
      </c>
      <c r="F281" s="1" t="s">
        <v>25</v>
      </c>
      <c r="G281" s="1" t="s">
        <v>17</v>
      </c>
      <c r="H281" s="1" t="s">
        <v>870</v>
      </c>
      <c r="I281" s="1">
        <v>40802</v>
      </c>
      <c r="J281" s="1" t="s">
        <v>80</v>
      </c>
      <c r="K281" s="1" t="s">
        <v>871</v>
      </c>
      <c r="L281" s="1" t="s">
        <v>21</v>
      </c>
      <c r="M281" s="1" t="str">
        <f>_xlfn.XLOOKUP(Sheet1!F281,Departments!$A$2:$A$6,Departments!$B$2:$B$6)</f>
        <v>IT</v>
      </c>
      <c r="N281" s="1">
        <f>_xlfn.XLOOKUP(A281,Performance!$A$2:$A$501,Performance!$C$2:$C$501)</f>
        <v>1</v>
      </c>
      <c r="O281" s="1" cm="1">
        <f t="array" ref="O281">_xlfn.IFS(N281=5,I281+0.15*I281,N281=4,I281+I281*0.1,N281=3,I281+I281*0.07,N281&lt;3,I281+I281*0.05)</f>
        <v>42842.1</v>
      </c>
    </row>
    <row r="282" spans="1:15" x14ac:dyDescent="0.3">
      <c r="A282" s="1" t="s">
        <v>872</v>
      </c>
      <c r="B282" s="1" t="s">
        <v>143</v>
      </c>
      <c r="C282" s="1" t="s">
        <v>165</v>
      </c>
      <c r="D282" s="1" t="s">
        <v>24</v>
      </c>
      <c r="E282" s="1">
        <v>24</v>
      </c>
      <c r="F282" s="1" t="s">
        <v>39</v>
      </c>
      <c r="G282" s="1" t="s">
        <v>108</v>
      </c>
      <c r="H282" s="1" t="s">
        <v>873</v>
      </c>
      <c r="I282" s="1">
        <v>117454</v>
      </c>
      <c r="J282" s="1" t="s">
        <v>65</v>
      </c>
      <c r="K282" s="1" t="s">
        <v>874</v>
      </c>
      <c r="L282" s="1" t="s">
        <v>36</v>
      </c>
      <c r="M282" s="1" t="str">
        <f>_xlfn.XLOOKUP(Sheet1!F282,Departments!$A$2:$A$6,Departments!$B$2:$B$6)</f>
        <v>Marketing</v>
      </c>
      <c r="N282" s="1">
        <f>_xlfn.XLOOKUP(A282,Performance!$A$2:$A$501,Performance!$C$2:$C$501)</f>
        <v>1</v>
      </c>
      <c r="O282" s="1" cm="1">
        <f t="array" ref="O282">_xlfn.IFS(N282=5,I282+0.15*I282,N282=4,I282+I282*0.1,N282=3,I282+I282*0.07,N282&lt;3,I282+I282*0.05)</f>
        <v>123326.7</v>
      </c>
    </row>
    <row r="283" spans="1:15" x14ac:dyDescent="0.3">
      <c r="A283" s="1" t="s">
        <v>875</v>
      </c>
      <c r="B283" s="1" t="s">
        <v>143</v>
      </c>
      <c r="C283" s="1" t="s">
        <v>95</v>
      </c>
      <c r="D283" s="1" t="s">
        <v>24</v>
      </c>
      <c r="E283" s="1">
        <v>26</v>
      </c>
      <c r="F283" s="1" t="s">
        <v>31</v>
      </c>
      <c r="G283" s="1" t="s">
        <v>32</v>
      </c>
      <c r="H283" s="1" t="s">
        <v>876</v>
      </c>
      <c r="I283" s="1">
        <v>48830</v>
      </c>
      <c r="J283" s="1" t="s">
        <v>65</v>
      </c>
      <c r="K283" s="1" t="s">
        <v>877</v>
      </c>
      <c r="L283" s="1" t="s">
        <v>21</v>
      </c>
      <c r="M283" s="1" t="str">
        <f>_xlfn.XLOOKUP(Sheet1!F283,Departments!$A$2:$A$6,Departments!$B$2:$B$6)</f>
        <v>Sales</v>
      </c>
      <c r="N283" s="1">
        <f>_xlfn.XLOOKUP(A283,Performance!$A$2:$A$501,Performance!$C$2:$C$501)</f>
        <v>1</v>
      </c>
      <c r="O283" s="1" cm="1">
        <f t="array" ref="O283">_xlfn.IFS(N283=5,I283+0.15*I283,N283=4,I283+I283*0.1,N283=3,I283+I283*0.07,N283&lt;3,I283+I283*0.05)</f>
        <v>51271.5</v>
      </c>
    </row>
    <row r="284" spans="1:15" x14ac:dyDescent="0.3">
      <c r="A284" s="1" t="s">
        <v>878</v>
      </c>
      <c r="B284" s="1" t="s">
        <v>58</v>
      </c>
      <c r="C284" s="1" t="s">
        <v>23</v>
      </c>
      <c r="D284" s="1" t="s">
        <v>24</v>
      </c>
      <c r="E284" s="1">
        <v>36</v>
      </c>
      <c r="F284" s="1" t="s">
        <v>50</v>
      </c>
      <c r="G284" s="1" t="s">
        <v>17</v>
      </c>
      <c r="H284" s="1" t="s">
        <v>879</v>
      </c>
      <c r="I284" s="1">
        <v>45532</v>
      </c>
      <c r="J284" s="1" t="s">
        <v>80</v>
      </c>
      <c r="K284" s="1" t="s">
        <v>880</v>
      </c>
      <c r="L284" s="1" t="s">
        <v>36</v>
      </c>
      <c r="M284" s="1" t="str">
        <f>_xlfn.XLOOKUP(Sheet1!F284,Departments!$A$2:$A$6,Departments!$B$2:$B$6)</f>
        <v>Finance</v>
      </c>
      <c r="N284" s="1">
        <f>_xlfn.XLOOKUP(A284,Performance!$A$2:$A$501,Performance!$C$2:$C$501)</f>
        <v>5</v>
      </c>
      <c r="O284" s="1" cm="1">
        <f t="array" ref="O284">_xlfn.IFS(N284=5,I284+0.15*I284,N284=4,I284+I284*0.1,N284=3,I284+I284*0.07,N284&lt;3,I284+I284*0.05)</f>
        <v>52361.8</v>
      </c>
    </row>
    <row r="285" spans="1:15" x14ac:dyDescent="0.3">
      <c r="A285" s="1" t="s">
        <v>881</v>
      </c>
      <c r="B285" s="1" t="s">
        <v>44</v>
      </c>
      <c r="C285" s="1" t="s">
        <v>95</v>
      </c>
      <c r="D285" s="1" t="s">
        <v>24</v>
      </c>
      <c r="E285" s="1">
        <v>43</v>
      </c>
      <c r="F285" s="1" t="s">
        <v>39</v>
      </c>
      <c r="G285" s="1" t="s">
        <v>40</v>
      </c>
      <c r="H285" s="1" t="s">
        <v>216</v>
      </c>
      <c r="I285" s="1">
        <v>44771</v>
      </c>
      <c r="J285" s="1" t="s">
        <v>65</v>
      </c>
      <c r="K285" s="1" t="s">
        <v>882</v>
      </c>
      <c r="L285" s="1" t="s">
        <v>21</v>
      </c>
      <c r="M285" s="1" t="str">
        <f>_xlfn.XLOOKUP(Sheet1!F285,Departments!$A$2:$A$6,Departments!$B$2:$B$6)</f>
        <v>Marketing</v>
      </c>
      <c r="N285" s="1">
        <f>_xlfn.XLOOKUP(A285,Performance!$A$2:$A$501,Performance!$C$2:$C$501)</f>
        <v>2</v>
      </c>
      <c r="O285" s="1" cm="1">
        <f t="array" ref="O285">_xlfn.IFS(N285=5,I285+0.15*I285,N285=4,I285+I285*0.1,N285=3,I285+I285*0.07,N285&lt;3,I285+I285*0.05)</f>
        <v>47009.55</v>
      </c>
    </row>
    <row r="286" spans="1:15" x14ac:dyDescent="0.3">
      <c r="A286" s="1" t="s">
        <v>883</v>
      </c>
      <c r="B286" s="1" t="s">
        <v>54</v>
      </c>
      <c r="C286" s="1" t="s">
        <v>45</v>
      </c>
      <c r="D286" s="1" t="s">
        <v>15</v>
      </c>
      <c r="E286" s="1">
        <v>27</v>
      </c>
      <c r="F286" s="1" t="s">
        <v>39</v>
      </c>
      <c r="G286" s="1" t="s">
        <v>17</v>
      </c>
      <c r="H286" s="1" t="s">
        <v>884</v>
      </c>
      <c r="I286" s="1">
        <v>46998</v>
      </c>
      <c r="J286" s="1" t="s">
        <v>60</v>
      </c>
      <c r="K286" s="1" t="s">
        <v>885</v>
      </c>
      <c r="L286" s="1" t="s">
        <v>36</v>
      </c>
      <c r="M286" s="1" t="str">
        <f>_xlfn.XLOOKUP(Sheet1!F286,Departments!$A$2:$A$6,Departments!$B$2:$B$6)</f>
        <v>Marketing</v>
      </c>
      <c r="N286" s="1">
        <f>_xlfn.XLOOKUP(A286,Performance!$A$2:$A$501,Performance!$C$2:$C$501)</f>
        <v>3</v>
      </c>
      <c r="O286" s="1" cm="1">
        <f t="array" ref="O286">_xlfn.IFS(N286=5,I286+0.15*I286,N286=4,I286+I286*0.1,N286=3,I286+I286*0.07,N286&lt;3,I286+I286*0.05)</f>
        <v>50287.86</v>
      </c>
    </row>
    <row r="287" spans="1:15" x14ac:dyDescent="0.3">
      <c r="A287" s="1" t="s">
        <v>886</v>
      </c>
      <c r="B287" s="1" t="s">
        <v>71</v>
      </c>
      <c r="C287" s="1" t="s">
        <v>45</v>
      </c>
      <c r="D287" s="1" t="s">
        <v>15</v>
      </c>
      <c r="E287" s="1">
        <v>47</v>
      </c>
      <c r="F287" s="1" t="s">
        <v>31</v>
      </c>
      <c r="G287" s="1" t="s">
        <v>26</v>
      </c>
      <c r="H287" s="1" t="s">
        <v>887</v>
      </c>
      <c r="I287" s="1">
        <v>106837</v>
      </c>
      <c r="J287" s="1" t="s">
        <v>80</v>
      </c>
      <c r="K287" s="1" t="s">
        <v>888</v>
      </c>
      <c r="L287" s="1" t="s">
        <v>36</v>
      </c>
      <c r="M287" s="1" t="str">
        <f>_xlfn.XLOOKUP(Sheet1!F287,Departments!$A$2:$A$6,Departments!$B$2:$B$6)</f>
        <v>Sales</v>
      </c>
      <c r="N287" s="1">
        <f>_xlfn.XLOOKUP(A287,Performance!$A$2:$A$501,Performance!$C$2:$C$501)</f>
        <v>3</v>
      </c>
      <c r="O287" s="1" cm="1">
        <f t="array" ref="O287">_xlfn.IFS(N287=5,I287+0.15*I287,N287=4,I287+I287*0.1,N287=3,I287+I287*0.07,N287&lt;3,I287+I287*0.05)</f>
        <v>114315.59</v>
      </c>
    </row>
    <row r="288" spans="1:15" x14ac:dyDescent="0.3">
      <c r="A288" s="1" t="s">
        <v>889</v>
      </c>
      <c r="B288" s="1" t="s">
        <v>58</v>
      </c>
      <c r="C288" s="1" t="s">
        <v>130</v>
      </c>
      <c r="D288" s="1" t="s">
        <v>15</v>
      </c>
      <c r="E288" s="1">
        <v>52</v>
      </c>
      <c r="F288" s="1" t="s">
        <v>31</v>
      </c>
      <c r="G288" s="1" t="s">
        <v>108</v>
      </c>
      <c r="H288" s="1" t="s">
        <v>890</v>
      </c>
      <c r="I288" s="1">
        <v>97878</v>
      </c>
      <c r="J288" s="1" t="s">
        <v>65</v>
      </c>
      <c r="K288" s="1" t="s">
        <v>891</v>
      </c>
      <c r="L288" s="1" t="s">
        <v>36</v>
      </c>
      <c r="M288" s="1" t="str">
        <f>_xlfn.XLOOKUP(Sheet1!F288,Departments!$A$2:$A$6,Departments!$B$2:$B$6)</f>
        <v>Sales</v>
      </c>
      <c r="N288" s="1">
        <f>_xlfn.XLOOKUP(A288,Performance!$A$2:$A$501,Performance!$C$2:$C$501)</f>
        <v>1</v>
      </c>
      <c r="O288" s="1" cm="1">
        <f t="array" ref="O288">_xlfn.IFS(N288=5,I288+0.15*I288,N288=4,I288+I288*0.1,N288=3,I288+I288*0.07,N288&lt;3,I288+I288*0.05)</f>
        <v>102771.9</v>
      </c>
    </row>
    <row r="289" spans="1:15" x14ac:dyDescent="0.3">
      <c r="A289" s="1" t="s">
        <v>892</v>
      </c>
      <c r="B289" s="1" t="s">
        <v>54</v>
      </c>
      <c r="C289" s="1" t="s">
        <v>95</v>
      </c>
      <c r="D289" s="1" t="s">
        <v>15</v>
      </c>
      <c r="E289" s="1">
        <v>52</v>
      </c>
      <c r="F289" s="1" t="s">
        <v>31</v>
      </c>
      <c r="G289" s="1" t="s">
        <v>108</v>
      </c>
      <c r="H289" s="1" t="s">
        <v>893</v>
      </c>
      <c r="I289" s="1">
        <v>42401</v>
      </c>
      <c r="J289" s="1" t="s">
        <v>65</v>
      </c>
      <c r="K289" s="1" t="s">
        <v>894</v>
      </c>
      <c r="L289" s="1" t="s">
        <v>36</v>
      </c>
      <c r="M289" s="1" t="str">
        <f>_xlfn.XLOOKUP(Sheet1!F289,Departments!$A$2:$A$6,Departments!$B$2:$B$6)</f>
        <v>Sales</v>
      </c>
      <c r="N289" s="1">
        <f>_xlfn.XLOOKUP(A289,Performance!$A$2:$A$501,Performance!$C$2:$C$501)</f>
        <v>4</v>
      </c>
      <c r="O289" s="1" cm="1">
        <f t="array" ref="O289">_xlfn.IFS(N289=5,I289+0.15*I289,N289=4,I289+I289*0.1,N289=3,I289+I289*0.07,N289&lt;3,I289+I289*0.05)</f>
        <v>46641.1</v>
      </c>
    </row>
    <row r="290" spans="1:15" x14ac:dyDescent="0.3">
      <c r="A290" s="1" t="s">
        <v>895</v>
      </c>
      <c r="B290" s="1" t="s">
        <v>49</v>
      </c>
      <c r="C290" s="1" t="s">
        <v>165</v>
      </c>
      <c r="D290" s="1" t="s">
        <v>15</v>
      </c>
      <c r="E290" s="1">
        <v>59</v>
      </c>
      <c r="F290" s="1" t="s">
        <v>31</v>
      </c>
      <c r="G290" s="1" t="s">
        <v>26</v>
      </c>
      <c r="H290" s="1" t="s">
        <v>896</v>
      </c>
      <c r="I290" s="1">
        <v>88760</v>
      </c>
      <c r="J290" s="1" t="s">
        <v>19</v>
      </c>
      <c r="K290" s="1" t="s">
        <v>897</v>
      </c>
      <c r="L290" s="1" t="s">
        <v>21</v>
      </c>
      <c r="M290" s="1" t="str">
        <f>_xlfn.XLOOKUP(Sheet1!F290,Departments!$A$2:$A$6,Departments!$B$2:$B$6)</f>
        <v>Sales</v>
      </c>
      <c r="N290" s="1">
        <f>_xlfn.XLOOKUP(A290,Performance!$A$2:$A$501,Performance!$C$2:$C$501)</f>
        <v>1</v>
      </c>
      <c r="O290" s="1" cm="1">
        <f t="array" ref="O290">_xlfn.IFS(N290=5,I290+0.15*I290,N290=4,I290+I290*0.1,N290=3,I290+I290*0.07,N290&lt;3,I290+I290*0.05)</f>
        <v>93198</v>
      </c>
    </row>
    <row r="291" spans="1:15" x14ac:dyDescent="0.3">
      <c r="A291" s="1" t="s">
        <v>898</v>
      </c>
      <c r="B291" s="1" t="s">
        <v>94</v>
      </c>
      <c r="C291" s="1" t="s">
        <v>63</v>
      </c>
      <c r="D291" s="1" t="s">
        <v>24</v>
      </c>
      <c r="E291" s="1">
        <v>43</v>
      </c>
      <c r="F291" s="1" t="s">
        <v>39</v>
      </c>
      <c r="G291" s="1" t="s">
        <v>17</v>
      </c>
      <c r="H291" s="1" t="s">
        <v>899</v>
      </c>
      <c r="I291" s="1">
        <v>55436</v>
      </c>
      <c r="J291" s="1" t="s">
        <v>80</v>
      </c>
      <c r="K291" s="1" t="s">
        <v>900</v>
      </c>
      <c r="L291" s="1" t="s">
        <v>21</v>
      </c>
      <c r="M291" s="1" t="str">
        <f>_xlfn.XLOOKUP(Sheet1!F291,Departments!$A$2:$A$6,Departments!$B$2:$B$6)</f>
        <v>Marketing</v>
      </c>
      <c r="N291" s="1">
        <f>_xlfn.XLOOKUP(A291,Performance!$A$2:$A$501,Performance!$C$2:$C$501)</f>
        <v>5</v>
      </c>
      <c r="O291" s="1" cm="1">
        <f t="array" ref="O291">_xlfn.IFS(N291=5,I291+0.15*I291,N291=4,I291+I291*0.1,N291=3,I291+I291*0.07,N291&lt;3,I291+I291*0.05)</f>
        <v>63751.4</v>
      </c>
    </row>
    <row r="292" spans="1:15" x14ac:dyDescent="0.3">
      <c r="A292" s="1" t="s">
        <v>901</v>
      </c>
      <c r="B292" s="1" t="s">
        <v>58</v>
      </c>
      <c r="C292" s="1" t="s">
        <v>45</v>
      </c>
      <c r="D292" s="1" t="s">
        <v>15</v>
      </c>
      <c r="E292" s="1">
        <v>55</v>
      </c>
      <c r="F292" s="1" t="s">
        <v>31</v>
      </c>
      <c r="G292" s="1" t="s">
        <v>108</v>
      </c>
      <c r="H292" s="1" t="s">
        <v>902</v>
      </c>
      <c r="I292" s="1">
        <v>84404</v>
      </c>
      <c r="J292" s="1" t="s">
        <v>19</v>
      </c>
      <c r="K292" s="1" t="s">
        <v>903</v>
      </c>
      <c r="L292" s="1" t="s">
        <v>36</v>
      </c>
      <c r="M292" s="1" t="str">
        <f>_xlfn.XLOOKUP(Sheet1!F292,Departments!$A$2:$A$6,Departments!$B$2:$B$6)</f>
        <v>Sales</v>
      </c>
      <c r="N292" s="1">
        <f>_xlfn.XLOOKUP(A292,Performance!$A$2:$A$501,Performance!$C$2:$C$501)</f>
        <v>3</v>
      </c>
      <c r="O292" s="1" cm="1">
        <f t="array" ref="O292">_xlfn.IFS(N292=5,I292+0.15*I292,N292=4,I292+I292*0.1,N292=3,I292+I292*0.07,N292&lt;3,I292+I292*0.05)</f>
        <v>90312.28</v>
      </c>
    </row>
    <row r="293" spans="1:15" x14ac:dyDescent="0.3">
      <c r="A293" s="1" t="s">
        <v>904</v>
      </c>
      <c r="B293" s="1" t="s">
        <v>143</v>
      </c>
      <c r="C293" s="1" t="s">
        <v>130</v>
      </c>
      <c r="D293" s="1" t="s">
        <v>24</v>
      </c>
      <c r="E293" s="1">
        <v>24</v>
      </c>
      <c r="F293" s="1" t="s">
        <v>39</v>
      </c>
      <c r="G293" s="1" t="s">
        <v>26</v>
      </c>
      <c r="H293" s="1" t="s">
        <v>905</v>
      </c>
      <c r="I293" s="1">
        <v>83157</v>
      </c>
      <c r="J293" s="1" t="s">
        <v>19</v>
      </c>
      <c r="K293" s="1" t="s">
        <v>906</v>
      </c>
      <c r="L293" s="1" t="s">
        <v>36</v>
      </c>
      <c r="M293" s="1" t="str">
        <f>_xlfn.XLOOKUP(Sheet1!F293,Departments!$A$2:$A$6,Departments!$B$2:$B$6)</f>
        <v>Marketing</v>
      </c>
      <c r="N293" s="1">
        <f>_xlfn.XLOOKUP(A293,Performance!$A$2:$A$501,Performance!$C$2:$C$501)</f>
        <v>3</v>
      </c>
      <c r="O293" s="1" cm="1">
        <f t="array" ref="O293">_xlfn.IFS(N293=5,I293+0.15*I293,N293=4,I293+I293*0.1,N293=3,I293+I293*0.07,N293&lt;3,I293+I293*0.05)</f>
        <v>88977.99</v>
      </c>
    </row>
    <row r="294" spans="1:15" x14ac:dyDescent="0.3">
      <c r="A294" s="1" t="s">
        <v>907</v>
      </c>
      <c r="B294" s="1" t="s">
        <v>38</v>
      </c>
      <c r="C294" s="1" t="s">
        <v>45</v>
      </c>
      <c r="D294" s="1" t="s">
        <v>24</v>
      </c>
      <c r="E294" s="1">
        <v>50</v>
      </c>
      <c r="F294" s="1" t="s">
        <v>31</v>
      </c>
      <c r="G294" s="1" t="s">
        <v>26</v>
      </c>
      <c r="H294" s="1" t="s">
        <v>908</v>
      </c>
      <c r="I294" s="1">
        <v>49330</v>
      </c>
      <c r="J294" s="1" t="s">
        <v>65</v>
      </c>
      <c r="K294" s="1" t="s">
        <v>909</v>
      </c>
      <c r="L294" s="1" t="s">
        <v>21</v>
      </c>
      <c r="M294" s="1" t="str">
        <f>_xlfn.XLOOKUP(Sheet1!F294,Departments!$A$2:$A$6,Departments!$B$2:$B$6)</f>
        <v>Sales</v>
      </c>
      <c r="N294" s="1">
        <f>_xlfn.XLOOKUP(A294,Performance!$A$2:$A$501,Performance!$C$2:$C$501)</f>
        <v>5</v>
      </c>
      <c r="O294" s="1" cm="1">
        <f t="array" ref="O294">_xlfn.IFS(N294=5,I294+0.15*I294,N294=4,I294+I294*0.1,N294=3,I294+I294*0.07,N294&lt;3,I294+I294*0.05)</f>
        <v>56729.5</v>
      </c>
    </row>
    <row r="295" spans="1:15" x14ac:dyDescent="0.3">
      <c r="A295" s="1" t="s">
        <v>910</v>
      </c>
      <c r="B295" s="1" t="s">
        <v>13</v>
      </c>
      <c r="C295" s="1" t="s">
        <v>45</v>
      </c>
      <c r="D295" s="1" t="s">
        <v>24</v>
      </c>
      <c r="E295" s="1">
        <v>40</v>
      </c>
      <c r="F295" s="1" t="s">
        <v>25</v>
      </c>
      <c r="G295" s="1" t="s">
        <v>40</v>
      </c>
      <c r="H295" s="1" t="s">
        <v>911</v>
      </c>
      <c r="I295" s="1">
        <v>89213</v>
      </c>
      <c r="J295" s="1" t="s">
        <v>34</v>
      </c>
      <c r="K295" s="1" t="s">
        <v>912</v>
      </c>
      <c r="L295" s="1" t="s">
        <v>21</v>
      </c>
      <c r="M295" s="1" t="str">
        <f>_xlfn.XLOOKUP(Sheet1!F295,Departments!$A$2:$A$6,Departments!$B$2:$B$6)</f>
        <v>IT</v>
      </c>
      <c r="N295" s="1">
        <f>_xlfn.XLOOKUP(A295,Performance!$A$2:$A$501,Performance!$C$2:$C$501)</f>
        <v>3</v>
      </c>
      <c r="O295" s="1" cm="1">
        <f t="array" ref="O295">_xlfn.IFS(N295=5,I295+0.15*I295,N295=4,I295+I295*0.1,N295=3,I295+I295*0.07,N295&lt;3,I295+I295*0.05)</f>
        <v>95457.91</v>
      </c>
    </row>
    <row r="296" spans="1:15" x14ac:dyDescent="0.3">
      <c r="A296" s="1" t="s">
        <v>913</v>
      </c>
      <c r="B296" s="1" t="s">
        <v>143</v>
      </c>
      <c r="C296" s="1" t="s">
        <v>63</v>
      </c>
      <c r="D296" s="1" t="s">
        <v>24</v>
      </c>
      <c r="E296" s="1">
        <v>29</v>
      </c>
      <c r="F296" s="1" t="s">
        <v>16</v>
      </c>
      <c r="G296" s="1" t="s">
        <v>32</v>
      </c>
      <c r="H296" s="1" t="s">
        <v>914</v>
      </c>
      <c r="I296" s="1">
        <v>75306</v>
      </c>
      <c r="J296" s="1" t="s">
        <v>65</v>
      </c>
      <c r="K296" s="1" t="s">
        <v>915</v>
      </c>
      <c r="L296" s="1" t="s">
        <v>36</v>
      </c>
      <c r="M296" s="1" t="str">
        <f>_xlfn.XLOOKUP(Sheet1!F296,Departments!$A$2:$A$6,Departments!$B$2:$B$6)</f>
        <v>HR</v>
      </c>
      <c r="N296" s="1">
        <f>_xlfn.XLOOKUP(A296,Performance!$A$2:$A$501,Performance!$C$2:$C$501)</f>
        <v>3</v>
      </c>
      <c r="O296" s="1" cm="1">
        <f t="array" ref="O296">_xlfn.IFS(N296=5,I296+0.15*I296,N296=4,I296+I296*0.1,N296=3,I296+I296*0.07,N296&lt;3,I296+I296*0.05)</f>
        <v>80577.42</v>
      </c>
    </row>
    <row r="297" spans="1:15" x14ac:dyDescent="0.3">
      <c r="A297" s="1" t="s">
        <v>916</v>
      </c>
      <c r="B297" s="1" t="s">
        <v>30</v>
      </c>
      <c r="C297" s="1" t="s">
        <v>95</v>
      </c>
      <c r="D297" s="1" t="s">
        <v>15</v>
      </c>
      <c r="E297" s="1">
        <v>33</v>
      </c>
      <c r="F297" s="1" t="s">
        <v>25</v>
      </c>
      <c r="G297" s="1" t="s">
        <v>26</v>
      </c>
      <c r="H297" s="1" t="s">
        <v>917</v>
      </c>
      <c r="I297" s="1">
        <v>88151</v>
      </c>
      <c r="J297" s="1" t="s">
        <v>80</v>
      </c>
      <c r="K297" s="1" t="s">
        <v>918</v>
      </c>
      <c r="L297" s="1" t="s">
        <v>36</v>
      </c>
      <c r="M297" s="1" t="str">
        <f>_xlfn.XLOOKUP(Sheet1!F297,Departments!$A$2:$A$6,Departments!$B$2:$B$6)</f>
        <v>IT</v>
      </c>
      <c r="N297" s="1">
        <f>_xlfn.XLOOKUP(A297,Performance!$A$2:$A$501,Performance!$C$2:$C$501)</f>
        <v>3</v>
      </c>
      <c r="O297" s="1" cm="1">
        <f t="array" ref="O297">_xlfn.IFS(N297=5,I297+0.15*I297,N297=4,I297+I297*0.1,N297=3,I297+I297*0.07,N297&lt;3,I297+I297*0.05)</f>
        <v>94321.57</v>
      </c>
    </row>
    <row r="298" spans="1:15" x14ac:dyDescent="0.3">
      <c r="A298" s="1" t="s">
        <v>919</v>
      </c>
      <c r="B298" s="1" t="s">
        <v>13</v>
      </c>
      <c r="C298" s="1" t="s">
        <v>78</v>
      </c>
      <c r="D298" s="1" t="s">
        <v>24</v>
      </c>
      <c r="E298" s="1">
        <v>36</v>
      </c>
      <c r="F298" s="1" t="s">
        <v>31</v>
      </c>
      <c r="G298" s="1" t="s">
        <v>32</v>
      </c>
      <c r="H298" s="1" t="s">
        <v>920</v>
      </c>
      <c r="I298" s="1">
        <v>112274</v>
      </c>
      <c r="J298" s="1" t="s">
        <v>60</v>
      </c>
      <c r="K298" s="1" t="s">
        <v>921</v>
      </c>
      <c r="L298" s="1" t="s">
        <v>36</v>
      </c>
      <c r="M298" s="1" t="str">
        <f>_xlfn.XLOOKUP(Sheet1!F298,Departments!$A$2:$A$6,Departments!$B$2:$B$6)</f>
        <v>Sales</v>
      </c>
      <c r="N298" s="1">
        <f>_xlfn.XLOOKUP(A298,Performance!$A$2:$A$501,Performance!$C$2:$C$501)</f>
        <v>3</v>
      </c>
      <c r="O298" s="1" cm="1">
        <f t="array" ref="O298">_xlfn.IFS(N298=5,I298+0.15*I298,N298=4,I298+I298*0.1,N298=3,I298+I298*0.07,N298&lt;3,I298+I298*0.05)</f>
        <v>120133.18000000001</v>
      </c>
    </row>
    <row r="299" spans="1:15" x14ac:dyDescent="0.3">
      <c r="A299" s="1" t="s">
        <v>922</v>
      </c>
      <c r="B299" s="1" t="s">
        <v>71</v>
      </c>
      <c r="C299" s="1" t="s">
        <v>14</v>
      </c>
      <c r="D299" s="1" t="s">
        <v>15</v>
      </c>
      <c r="E299" s="1">
        <v>39</v>
      </c>
      <c r="F299" s="1" t="s">
        <v>16</v>
      </c>
      <c r="G299" s="1" t="s">
        <v>40</v>
      </c>
      <c r="H299" s="1" t="s">
        <v>923</v>
      </c>
      <c r="I299" s="1">
        <v>55507</v>
      </c>
      <c r="J299" s="1" t="s">
        <v>80</v>
      </c>
      <c r="K299" s="1" t="s">
        <v>924</v>
      </c>
      <c r="L299" s="1" t="s">
        <v>21</v>
      </c>
      <c r="M299" s="1" t="str">
        <f>_xlfn.XLOOKUP(Sheet1!F299,Departments!$A$2:$A$6,Departments!$B$2:$B$6)</f>
        <v>HR</v>
      </c>
      <c r="N299" s="1">
        <f>_xlfn.XLOOKUP(A299,Performance!$A$2:$A$501,Performance!$C$2:$C$501)</f>
        <v>3</v>
      </c>
      <c r="O299" s="1" cm="1">
        <f t="array" ref="O299">_xlfn.IFS(N299=5,I299+0.15*I299,N299=4,I299+I299*0.1,N299=3,I299+I299*0.07,N299&lt;3,I299+I299*0.05)</f>
        <v>59392.49</v>
      </c>
    </row>
    <row r="300" spans="1:15" x14ac:dyDescent="0.3">
      <c r="A300" s="1" t="s">
        <v>925</v>
      </c>
      <c r="B300" s="1" t="s">
        <v>30</v>
      </c>
      <c r="C300" s="1" t="s">
        <v>95</v>
      </c>
      <c r="D300" s="1" t="s">
        <v>15</v>
      </c>
      <c r="E300" s="1">
        <v>24</v>
      </c>
      <c r="F300" s="1" t="s">
        <v>50</v>
      </c>
      <c r="G300" s="1" t="s">
        <v>17</v>
      </c>
      <c r="H300" s="1" t="s">
        <v>926</v>
      </c>
      <c r="I300" s="1">
        <v>66638</v>
      </c>
      <c r="J300" s="1" t="s">
        <v>65</v>
      </c>
      <c r="K300" s="1" t="s">
        <v>927</v>
      </c>
      <c r="L300" s="1" t="s">
        <v>21</v>
      </c>
      <c r="M300" s="1" t="str">
        <f>_xlfn.XLOOKUP(Sheet1!F300,Departments!$A$2:$A$6,Departments!$B$2:$B$6)</f>
        <v>Finance</v>
      </c>
      <c r="N300" s="1">
        <f>_xlfn.XLOOKUP(A300,Performance!$A$2:$A$501,Performance!$C$2:$C$501)</f>
        <v>5</v>
      </c>
      <c r="O300" s="1" cm="1">
        <f t="array" ref="O300">_xlfn.IFS(N300=5,I300+0.15*I300,N300=4,I300+I300*0.1,N300=3,I300+I300*0.07,N300&lt;3,I300+I300*0.05)</f>
        <v>76633.7</v>
      </c>
    </row>
    <row r="301" spans="1:15" x14ac:dyDescent="0.3">
      <c r="A301" s="1" t="s">
        <v>928</v>
      </c>
      <c r="B301" s="1" t="s">
        <v>44</v>
      </c>
      <c r="C301" s="1" t="s">
        <v>78</v>
      </c>
      <c r="D301" s="1" t="s">
        <v>15</v>
      </c>
      <c r="E301" s="1">
        <v>51</v>
      </c>
      <c r="F301" s="1" t="s">
        <v>16</v>
      </c>
      <c r="G301" s="1" t="s">
        <v>108</v>
      </c>
      <c r="H301" s="1" t="s">
        <v>929</v>
      </c>
      <c r="I301" s="1">
        <v>43356</v>
      </c>
      <c r="J301" s="1" t="s">
        <v>65</v>
      </c>
      <c r="K301" s="1" t="s">
        <v>930</v>
      </c>
      <c r="L301" s="1" t="s">
        <v>21</v>
      </c>
      <c r="M301" s="1" t="str">
        <f>_xlfn.XLOOKUP(Sheet1!F301,Departments!$A$2:$A$6,Departments!$B$2:$B$6)</f>
        <v>HR</v>
      </c>
      <c r="N301" s="1">
        <f>_xlfn.XLOOKUP(A301,Performance!$A$2:$A$501,Performance!$C$2:$C$501)</f>
        <v>1</v>
      </c>
      <c r="O301" s="1" cm="1">
        <f t="array" ref="O301">_xlfn.IFS(N301=5,I301+0.15*I301,N301=4,I301+I301*0.1,N301=3,I301+I301*0.07,N301&lt;3,I301+I301*0.05)</f>
        <v>45523.8</v>
      </c>
    </row>
    <row r="302" spans="1:15" x14ac:dyDescent="0.3">
      <c r="A302" s="1" t="s">
        <v>931</v>
      </c>
      <c r="B302" s="1" t="s">
        <v>38</v>
      </c>
      <c r="C302" s="1" t="s">
        <v>130</v>
      </c>
      <c r="D302" s="1" t="s">
        <v>15</v>
      </c>
      <c r="E302" s="1">
        <v>44</v>
      </c>
      <c r="F302" s="1" t="s">
        <v>31</v>
      </c>
      <c r="G302" s="1" t="s">
        <v>40</v>
      </c>
      <c r="H302" s="1" t="s">
        <v>932</v>
      </c>
      <c r="I302" s="1">
        <v>82425</v>
      </c>
      <c r="J302" s="1" t="s">
        <v>80</v>
      </c>
      <c r="K302" s="1" t="s">
        <v>933</v>
      </c>
      <c r="L302" s="1" t="s">
        <v>21</v>
      </c>
      <c r="M302" s="1" t="str">
        <f>_xlfn.XLOOKUP(Sheet1!F302,Departments!$A$2:$A$6,Departments!$B$2:$B$6)</f>
        <v>Sales</v>
      </c>
      <c r="N302" s="1">
        <f>_xlfn.XLOOKUP(A302,Performance!$A$2:$A$501,Performance!$C$2:$C$501)</f>
        <v>4</v>
      </c>
      <c r="O302" s="1" cm="1">
        <f t="array" ref="O302">_xlfn.IFS(N302=5,I302+0.15*I302,N302=4,I302+I302*0.1,N302=3,I302+I302*0.07,N302&lt;3,I302+I302*0.05)</f>
        <v>90667.5</v>
      </c>
    </row>
    <row r="303" spans="1:15" x14ac:dyDescent="0.3">
      <c r="A303" s="1" t="s">
        <v>934</v>
      </c>
      <c r="B303" s="1" t="s">
        <v>44</v>
      </c>
      <c r="C303" s="1" t="s">
        <v>23</v>
      </c>
      <c r="D303" s="1" t="s">
        <v>15</v>
      </c>
      <c r="E303" s="1">
        <v>23</v>
      </c>
      <c r="F303" s="1" t="s">
        <v>39</v>
      </c>
      <c r="G303" s="1" t="s">
        <v>40</v>
      </c>
      <c r="H303" s="1" t="s">
        <v>415</v>
      </c>
      <c r="I303" s="1">
        <v>79670</v>
      </c>
      <c r="J303" s="1" t="s">
        <v>80</v>
      </c>
      <c r="K303" s="1" t="s">
        <v>935</v>
      </c>
      <c r="L303" s="1" t="s">
        <v>36</v>
      </c>
      <c r="M303" s="1" t="str">
        <f>_xlfn.XLOOKUP(Sheet1!F303,Departments!$A$2:$A$6,Departments!$B$2:$B$6)</f>
        <v>Marketing</v>
      </c>
      <c r="N303" s="1">
        <f>_xlfn.XLOOKUP(A303,Performance!$A$2:$A$501,Performance!$C$2:$C$501)</f>
        <v>2</v>
      </c>
      <c r="O303" s="1" cm="1">
        <f t="array" ref="O303">_xlfn.IFS(N303=5,I303+0.15*I303,N303=4,I303+I303*0.1,N303=3,I303+I303*0.07,N303&lt;3,I303+I303*0.05)</f>
        <v>83653.5</v>
      </c>
    </row>
    <row r="304" spans="1:15" x14ac:dyDescent="0.3">
      <c r="A304" s="1" t="s">
        <v>936</v>
      </c>
      <c r="B304" s="1" t="s">
        <v>13</v>
      </c>
      <c r="C304" s="1" t="s">
        <v>14</v>
      </c>
      <c r="D304" s="1" t="s">
        <v>24</v>
      </c>
      <c r="E304" s="1">
        <v>58</v>
      </c>
      <c r="F304" s="1" t="s">
        <v>50</v>
      </c>
      <c r="G304" s="1" t="s">
        <v>32</v>
      </c>
      <c r="H304" s="1" t="s">
        <v>937</v>
      </c>
      <c r="I304" s="1">
        <v>85427</v>
      </c>
      <c r="J304" s="1" t="s">
        <v>65</v>
      </c>
      <c r="K304" s="1" t="s">
        <v>938</v>
      </c>
      <c r="L304" s="1" t="s">
        <v>36</v>
      </c>
      <c r="M304" s="1" t="str">
        <f>_xlfn.XLOOKUP(Sheet1!F304,Departments!$A$2:$A$6,Departments!$B$2:$B$6)</f>
        <v>Finance</v>
      </c>
      <c r="N304" s="1">
        <f>_xlfn.XLOOKUP(A304,Performance!$A$2:$A$501,Performance!$C$2:$C$501)</f>
        <v>1</v>
      </c>
      <c r="O304" s="1" cm="1">
        <f t="array" ref="O304">_xlfn.IFS(N304=5,I304+0.15*I304,N304=4,I304+I304*0.1,N304=3,I304+I304*0.07,N304&lt;3,I304+I304*0.05)</f>
        <v>89698.35</v>
      </c>
    </row>
    <row r="305" spans="1:15" x14ac:dyDescent="0.3">
      <c r="A305" s="1" t="s">
        <v>939</v>
      </c>
      <c r="B305" s="1" t="s">
        <v>143</v>
      </c>
      <c r="C305" s="1" t="s">
        <v>95</v>
      </c>
      <c r="D305" s="1" t="s">
        <v>15</v>
      </c>
      <c r="E305" s="1">
        <v>25</v>
      </c>
      <c r="F305" s="1" t="s">
        <v>25</v>
      </c>
      <c r="G305" s="1" t="s">
        <v>108</v>
      </c>
      <c r="H305" s="1" t="s">
        <v>940</v>
      </c>
      <c r="I305" s="1">
        <v>76975</v>
      </c>
      <c r="J305" s="1" t="s">
        <v>34</v>
      </c>
      <c r="K305" s="1" t="s">
        <v>941</v>
      </c>
      <c r="L305" s="1" t="s">
        <v>21</v>
      </c>
      <c r="M305" s="1" t="str">
        <f>_xlfn.XLOOKUP(Sheet1!F305,Departments!$A$2:$A$6,Departments!$B$2:$B$6)</f>
        <v>IT</v>
      </c>
      <c r="N305" s="1">
        <f>_xlfn.XLOOKUP(A305,Performance!$A$2:$A$501,Performance!$C$2:$C$501)</f>
        <v>5</v>
      </c>
      <c r="O305" s="1" cm="1">
        <f t="array" ref="O305">_xlfn.IFS(N305=5,I305+0.15*I305,N305=4,I305+I305*0.1,N305=3,I305+I305*0.07,N305&lt;3,I305+I305*0.05)</f>
        <v>88521.25</v>
      </c>
    </row>
    <row r="306" spans="1:15" x14ac:dyDescent="0.3">
      <c r="A306" s="1" t="s">
        <v>942</v>
      </c>
      <c r="B306" s="1" t="s">
        <v>38</v>
      </c>
      <c r="C306" s="1" t="s">
        <v>45</v>
      </c>
      <c r="D306" s="1" t="s">
        <v>15</v>
      </c>
      <c r="E306" s="1">
        <v>40</v>
      </c>
      <c r="F306" s="1" t="s">
        <v>16</v>
      </c>
      <c r="G306" s="1" t="s">
        <v>40</v>
      </c>
      <c r="H306" s="1" t="s">
        <v>943</v>
      </c>
      <c r="I306" s="1">
        <v>52019</v>
      </c>
      <c r="J306" s="1" t="s">
        <v>80</v>
      </c>
      <c r="K306" s="1" t="s">
        <v>944</v>
      </c>
      <c r="L306" s="1" t="s">
        <v>21</v>
      </c>
      <c r="M306" s="1" t="str">
        <f>_xlfn.XLOOKUP(Sheet1!F306,Departments!$A$2:$A$6,Departments!$B$2:$B$6)</f>
        <v>HR</v>
      </c>
      <c r="N306" s="1">
        <f>_xlfn.XLOOKUP(A306,Performance!$A$2:$A$501,Performance!$C$2:$C$501)</f>
        <v>2</v>
      </c>
      <c r="O306" s="1" cm="1">
        <f t="array" ref="O306">_xlfn.IFS(N306=5,I306+0.15*I306,N306=4,I306+I306*0.1,N306=3,I306+I306*0.07,N306&lt;3,I306+I306*0.05)</f>
        <v>54619.95</v>
      </c>
    </row>
    <row r="307" spans="1:15" x14ac:dyDescent="0.3">
      <c r="A307" s="1" t="s">
        <v>945</v>
      </c>
      <c r="B307" s="1" t="s">
        <v>58</v>
      </c>
      <c r="C307" s="1" t="s">
        <v>130</v>
      </c>
      <c r="D307" s="1" t="s">
        <v>15</v>
      </c>
      <c r="E307" s="1">
        <v>22</v>
      </c>
      <c r="F307" s="1" t="s">
        <v>16</v>
      </c>
      <c r="G307" s="1" t="s">
        <v>108</v>
      </c>
      <c r="H307" s="1" t="s">
        <v>946</v>
      </c>
      <c r="I307" s="1">
        <v>89336</v>
      </c>
      <c r="J307" s="1" t="s">
        <v>65</v>
      </c>
      <c r="K307" s="1" t="s">
        <v>947</v>
      </c>
      <c r="L307" s="1" t="s">
        <v>21</v>
      </c>
      <c r="M307" s="1" t="str">
        <f>_xlfn.XLOOKUP(Sheet1!F307,Departments!$A$2:$A$6,Departments!$B$2:$B$6)</f>
        <v>HR</v>
      </c>
      <c r="N307" s="1">
        <f>_xlfn.XLOOKUP(A307,Performance!$A$2:$A$501,Performance!$C$2:$C$501)</f>
        <v>2</v>
      </c>
      <c r="O307" s="1" cm="1">
        <f t="array" ref="O307">_xlfn.IFS(N307=5,I307+0.15*I307,N307=4,I307+I307*0.1,N307=3,I307+I307*0.07,N307&lt;3,I307+I307*0.05)</f>
        <v>93802.8</v>
      </c>
    </row>
    <row r="308" spans="1:15" x14ac:dyDescent="0.3">
      <c r="A308" s="1" t="s">
        <v>948</v>
      </c>
      <c r="B308" s="1" t="s">
        <v>38</v>
      </c>
      <c r="C308" s="1" t="s">
        <v>78</v>
      </c>
      <c r="D308" s="1" t="s">
        <v>24</v>
      </c>
      <c r="E308" s="1">
        <v>41</v>
      </c>
      <c r="F308" s="1" t="s">
        <v>50</v>
      </c>
      <c r="G308" s="1" t="s">
        <v>32</v>
      </c>
      <c r="H308" s="1" t="s">
        <v>949</v>
      </c>
      <c r="I308" s="1">
        <v>81363</v>
      </c>
      <c r="J308" s="1" t="s">
        <v>60</v>
      </c>
      <c r="K308" s="1" t="s">
        <v>950</v>
      </c>
      <c r="L308" s="1" t="s">
        <v>36</v>
      </c>
      <c r="M308" s="1" t="str">
        <f>_xlfn.XLOOKUP(Sheet1!F308,Departments!$A$2:$A$6,Departments!$B$2:$B$6)</f>
        <v>Finance</v>
      </c>
      <c r="N308" s="1">
        <f>_xlfn.XLOOKUP(A308,Performance!$A$2:$A$501,Performance!$C$2:$C$501)</f>
        <v>2</v>
      </c>
      <c r="O308" s="1" cm="1">
        <f t="array" ref="O308">_xlfn.IFS(N308=5,I308+0.15*I308,N308=4,I308+I308*0.1,N308=3,I308+I308*0.07,N308&lt;3,I308+I308*0.05)</f>
        <v>85431.15</v>
      </c>
    </row>
    <row r="309" spans="1:15" x14ac:dyDescent="0.3">
      <c r="A309" s="1" t="s">
        <v>951</v>
      </c>
      <c r="B309" s="1" t="s">
        <v>49</v>
      </c>
      <c r="C309" s="1" t="s">
        <v>83</v>
      </c>
      <c r="D309" s="1" t="s">
        <v>24</v>
      </c>
      <c r="E309" s="1">
        <v>45</v>
      </c>
      <c r="F309" s="1" t="s">
        <v>50</v>
      </c>
      <c r="G309" s="1" t="s">
        <v>17</v>
      </c>
      <c r="H309" s="1" t="s">
        <v>952</v>
      </c>
      <c r="I309" s="1">
        <v>74751</v>
      </c>
      <c r="J309" s="1" t="s">
        <v>60</v>
      </c>
      <c r="K309" s="1" t="s">
        <v>953</v>
      </c>
      <c r="L309" s="1" t="s">
        <v>21</v>
      </c>
      <c r="M309" s="1" t="str">
        <f>_xlfn.XLOOKUP(Sheet1!F309,Departments!$A$2:$A$6,Departments!$B$2:$B$6)</f>
        <v>Finance</v>
      </c>
      <c r="N309" s="1">
        <f>_xlfn.XLOOKUP(A309,Performance!$A$2:$A$501,Performance!$C$2:$C$501)</f>
        <v>3</v>
      </c>
      <c r="O309" s="1" cm="1">
        <f t="array" ref="O309">_xlfn.IFS(N309=5,I309+0.15*I309,N309=4,I309+I309*0.1,N309=3,I309+I309*0.07,N309&lt;3,I309+I309*0.05)</f>
        <v>79983.570000000007</v>
      </c>
    </row>
    <row r="310" spans="1:15" x14ac:dyDescent="0.3">
      <c r="A310" s="1" t="s">
        <v>954</v>
      </c>
      <c r="B310" s="1" t="s">
        <v>143</v>
      </c>
      <c r="C310" s="1" t="s">
        <v>63</v>
      </c>
      <c r="D310" s="1" t="s">
        <v>15</v>
      </c>
      <c r="E310" s="1">
        <v>55</v>
      </c>
      <c r="F310" s="1" t="s">
        <v>50</v>
      </c>
      <c r="G310" s="1" t="s">
        <v>40</v>
      </c>
      <c r="H310" s="1" t="s">
        <v>193</v>
      </c>
      <c r="I310" s="1">
        <v>75014</v>
      </c>
      <c r="J310" s="1" t="s">
        <v>65</v>
      </c>
      <c r="K310" s="1" t="s">
        <v>955</v>
      </c>
      <c r="L310" s="1" t="s">
        <v>21</v>
      </c>
      <c r="M310" s="1" t="str">
        <f>_xlfn.XLOOKUP(Sheet1!F310,Departments!$A$2:$A$6,Departments!$B$2:$B$6)</f>
        <v>Finance</v>
      </c>
      <c r="N310" s="1">
        <f>_xlfn.XLOOKUP(A310,Performance!$A$2:$A$501,Performance!$C$2:$C$501)</f>
        <v>1</v>
      </c>
      <c r="O310" s="1" cm="1">
        <f t="array" ref="O310">_xlfn.IFS(N310=5,I310+0.15*I310,N310=4,I310+I310*0.1,N310=3,I310+I310*0.07,N310&lt;3,I310+I310*0.05)</f>
        <v>78764.7</v>
      </c>
    </row>
    <row r="311" spans="1:15" x14ac:dyDescent="0.3">
      <c r="A311" s="1" t="s">
        <v>956</v>
      </c>
      <c r="B311" s="1" t="s">
        <v>54</v>
      </c>
      <c r="C311" s="1" t="s">
        <v>63</v>
      </c>
      <c r="D311" s="1" t="s">
        <v>15</v>
      </c>
      <c r="E311" s="1">
        <v>55</v>
      </c>
      <c r="F311" s="1" t="s">
        <v>39</v>
      </c>
      <c r="G311" s="1" t="s">
        <v>26</v>
      </c>
      <c r="H311" s="1" t="s">
        <v>957</v>
      </c>
      <c r="I311" s="1">
        <v>98004</v>
      </c>
      <c r="J311" s="1" t="s">
        <v>60</v>
      </c>
      <c r="K311" s="1" t="s">
        <v>958</v>
      </c>
      <c r="L311" s="1" t="s">
        <v>36</v>
      </c>
      <c r="M311" s="1" t="str">
        <f>_xlfn.XLOOKUP(Sheet1!F311,Departments!$A$2:$A$6,Departments!$B$2:$B$6)</f>
        <v>Marketing</v>
      </c>
      <c r="N311" s="1">
        <f>_xlfn.XLOOKUP(A311,Performance!$A$2:$A$501,Performance!$C$2:$C$501)</f>
        <v>3</v>
      </c>
      <c r="O311" s="1" cm="1">
        <f t="array" ref="O311">_xlfn.IFS(N311=5,I311+0.15*I311,N311=4,I311+I311*0.1,N311=3,I311+I311*0.07,N311&lt;3,I311+I311*0.05)</f>
        <v>104864.28</v>
      </c>
    </row>
    <row r="312" spans="1:15" x14ac:dyDescent="0.3">
      <c r="A312" s="1" t="s">
        <v>959</v>
      </c>
      <c r="B312" s="1" t="s">
        <v>54</v>
      </c>
      <c r="C312" s="1" t="s">
        <v>23</v>
      </c>
      <c r="D312" s="1" t="s">
        <v>15</v>
      </c>
      <c r="E312" s="1">
        <v>27</v>
      </c>
      <c r="F312" s="1" t="s">
        <v>50</v>
      </c>
      <c r="G312" s="1" t="s">
        <v>17</v>
      </c>
      <c r="H312" s="1" t="s">
        <v>466</v>
      </c>
      <c r="I312" s="1">
        <v>86048</v>
      </c>
      <c r="J312" s="1" t="s">
        <v>19</v>
      </c>
      <c r="K312" s="1" t="s">
        <v>960</v>
      </c>
      <c r="L312" s="1" t="s">
        <v>21</v>
      </c>
      <c r="M312" s="1" t="str">
        <f>_xlfn.XLOOKUP(Sheet1!F312,Departments!$A$2:$A$6,Departments!$B$2:$B$6)</f>
        <v>Finance</v>
      </c>
      <c r="N312" s="1">
        <f>_xlfn.XLOOKUP(A312,Performance!$A$2:$A$501,Performance!$C$2:$C$501)</f>
        <v>2</v>
      </c>
      <c r="O312" s="1" cm="1">
        <f t="array" ref="O312">_xlfn.IFS(N312=5,I312+0.15*I312,N312=4,I312+I312*0.1,N312=3,I312+I312*0.07,N312&lt;3,I312+I312*0.05)</f>
        <v>90350.399999999994</v>
      </c>
    </row>
    <row r="313" spans="1:15" x14ac:dyDescent="0.3">
      <c r="A313" s="1" t="s">
        <v>961</v>
      </c>
      <c r="B313" s="1" t="s">
        <v>143</v>
      </c>
      <c r="C313" s="1" t="s">
        <v>165</v>
      </c>
      <c r="D313" s="1" t="s">
        <v>24</v>
      </c>
      <c r="E313" s="1">
        <v>47</v>
      </c>
      <c r="F313" s="1" t="s">
        <v>31</v>
      </c>
      <c r="G313" s="1" t="s">
        <v>32</v>
      </c>
      <c r="H313" s="1" t="s">
        <v>962</v>
      </c>
      <c r="I313" s="1">
        <v>105072</v>
      </c>
      <c r="J313" s="1" t="s">
        <v>34</v>
      </c>
      <c r="K313" s="1" t="s">
        <v>963</v>
      </c>
      <c r="L313" s="1" t="s">
        <v>36</v>
      </c>
      <c r="M313" s="1" t="str">
        <f>_xlfn.XLOOKUP(Sheet1!F313,Departments!$A$2:$A$6,Departments!$B$2:$B$6)</f>
        <v>Sales</v>
      </c>
      <c r="N313" s="1">
        <f>_xlfn.XLOOKUP(A313,Performance!$A$2:$A$501,Performance!$C$2:$C$501)</f>
        <v>4</v>
      </c>
      <c r="O313" s="1" cm="1">
        <f t="array" ref="O313">_xlfn.IFS(N313=5,I313+0.15*I313,N313=4,I313+I313*0.1,N313=3,I313+I313*0.07,N313&lt;3,I313+I313*0.05)</f>
        <v>115579.2</v>
      </c>
    </row>
    <row r="314" spans="1:15" x14ac:dyDescent="0.3">
      <c r="A314" s="1" t="s">
        <v>964</v>
      </c>
      <c r="B314" s="1" t="s">
        <v>44</v>
      </c>
      <c r="C314" s="1" t="s">
        <v>165</v>
      </c>
      <c r="D314" s="1" t="s">
        <v>24</v>
      </c>
      <c r="E314" s="1">
        <v>24</v>
      </c>
      <c r="F314" s="1" t="s">
        <v>39</v>
      </c>
      <c r="G314" s="1" t="s">
        <v>17</v>
      </c>
      <c r="H314" s="1" t="s">
        <v>965</v>
      </c>
      <c r="I314" s="1">
        <v>54389</v>
      </c>
      <c r="J314" s="1" t="s">
        <v>34</v>
      </c>
      <c r="K314" s="1" t="s">
        <v>966</v>
      </c>
      <c r="L314" s="1" t="s">
        <v>36</v>
      </c>
      <c r="M314" s="1" t="str">
        <f>_xlfn.XLOOKUP(Sheet1!F314,Departments!$A$2:$A$6,Departments!$B$2:$B$6)</f>
        <v>Marketing</v>
      </c>
      <c r="N314" s="1">
        <f>_xlfn.XLOOKUP(A314,Performance!$A$2:$A$501,Performance!$C$2:$C$501)</f>
        <v>5</v>
      </c>
      <c r="O314" s="1" cm="1">
        <f t="array" ref="O314">_xlfn.IFS(N314=5,I314+0.15*I314,N314=4,I314+I314*0.1,N314=3,I314+I314*0.07,N314&lt;3,I314+I314*0.05)</f>
        <v>62547.35</v>
      </c>
    </row>
    <row r="315" spans="1:15" x14ac:dyDescent="0.3">
      <c r="A315" s="1" t="s">
        <v>967</v>
      </c>
      <c r="B315" s="1" t="s">
        <v>30</v>
      </c>
      <c r="C315" s="1" t="s">
        <v>23</v>
      </c>
      <c r="D315" s="1" t="s">
        <v>15</v>
      </c>
      <c r="E315" s="1">
        <v>58</v>
      </c>
      <c r="F315" s="1" t="s">
        <v>50</v>
      </c>
      <c r="G315" s="1" t="s">
        <v>17</v>
      </c>
      <c r="H315" s="1" t="s">
        <v>968</v>
      </c>
      <c r="I315" s="1">
        <v>48029</v>
      </c>
      <c r="J315" s="1" t="s">
        <v>34</v>
      </c>
      <c r="K315" s="1" t="s">
        <v>969</v>
      </c>
      <c r="L315" s="1" t="s">
        <v>21</v>
      </c>
      <c r="M315" s="1" t="str">
        <f>_xlfn.XLOOKUP(Sheet1!F315,Departments!$A$2:$A$6,Departments!$B$2:$B$6)</f>
        <v>Finance</v>
      </c>
      <c r="N315" s="1">
        <f>_xlfn.XLOOKUP(A315,Performance!$A$2:$A$501,Performance!$C$2:$C$501)</f>
        <v>3</v>
      </c>
      <c r="O315" s="1" cm="1">
        <f t="array" ref="O315">_xlfn.IFS(N315=5,I315+0.15*I315,N315=4,I315+I315*0.1,N315=3,I315+I315*0.07,N315&lt;3,I315+I315*0.05)</f>
        <v>51391.03</v>
      </c>
    </row>
    <row r="316" spans="1:15" x14ac:dyDescent="0.3">
      <c r="A316" s="1" t="s">
        <v>970</v>
      </c>
      <c r="B316" s="1" t="s">
        <v>13</v>
      </c>
      <c r="C316" s="1" t="s">
        <v>165</v>
      </c>
      <c r="D316" s="1" t="s">
        <v>15</v>
      </c>
      <c r="E316" s="1">
        <v>45</v>
      </c>
      <c r="F316" s="1" t="s">
        <v>50</v>
      </c>
      <c r="G316" s="1" t="s">
        <v>17</v>
      </c>
      <c r="H316" s="1" t="s">
        <v>971</v>
      </c>
      <c r="I316" s="1">
        <v>98879</v>
      </c>
      <c r="J316" s="1" t="s">
        <v>65</v>
      </c>
      <c r="K316" s="1" t="s">
        <v>972</v>
      </c>
      <c r="L316" s="1" t="s">
        <v>21</v>
      </c>
      <c r="M316" s="1" t="str">
        <f>_xlfn.XLOOKUP(Sheet1!F316,Departments!$A$2:$A$6,Departments!$B$2:$B$6)</f>
        <v>Finance</v>
      </c>
      <c r="N316" s="1">
        <f>_xlfn.XLOOKUP(A316,Performance!$A$2:$A$501,Performance!$C$2:$C$501)</f>
        <v>1</v>
      </c>
      <c r="O316" s="1" cm="1">
        <f t="array" ref="O316">_xlfn.IFS(N316=5,I316+0.15*I316,N316=4,I316+I316*0.1,N316=3,I316+I316*0.07,N316&lt;3,I316+I316*0.05)</f>
        <v>103822.95</v>
      </c>
    </row>
    <row r="317" spans="1:15" x14ac:dyDescent="0.3">
      <c r="A317" s="1" t="s">
        <v>973</v>
      </c>
      <c r="B317" s="1" t="s">
        <v>54</v>
      </c>
      <c r="C317" s="1" t="s">
        <v>130</v>
      </c>
      <c r="D317" s="1" t="s">
        <v>15</v>
      </c>
      <c r="E317" s="1">
        <v>41</v>
      </c>
      <c r="F317" s="1" t="s">
        <v>39</v>
      </c>
      <c r="G317" s="1" t="s">
        <v>40</v>
      </c>
      <c r="H317" s="1" t="s">
        <v>974</v>
      </c>
      <c r="I317" s="1">
        <v>41158</v>
      </c>
      <c r="J317" s="1" t="s">
        <v>19</v>
      </c>
      <c r="K317" s="1" t="s">
        <v>975</v>
      </c>
      <c r="L317" s="1" t="s">
        <v>36</v>
      </c>
      <c r="M317" s="1" t="str">
        <f>_xlfn.XLOOKUP(Sheet1!F317,Departments!$A$2:$A$6,Departments!$B$2:$B$6)</f>
        <v>Marketing</v>
      </c>
      <c r="N317" s="1">
        <f>_xlfn.XLOOKUP(A317,Performance!$A$2:$A$501,Performance!$C$2:$C$501)</f>
        <v>5</v>
      </c>
      <c r="O317" s="1" cm="1">
        <f t="array" ref="O317">_xlfn.IFS(N317=5,I317+0.15*I317,N317=4,I317+I317*0.1,N317=3,I317+I317*0.07,N317&lt;3,I317+I317*0.05)</f>
        <v>47331.7</v>
      </c>
    </row>
    <row r="318" spans="1:15" x14ac:dyDescent="0.3">
      <c r="A318" s="1" t="s">
        <v>976</v>
      </c>
      <c r="B318" s="1" t="s">
        <v>54</v>
      </c>
      <c r="C318" s="1" t="s">
        <v>23</v>
      </c>
      <c r="D318" s="1" t="s">
        <v>24</v>
      </c>
      <c r="E318" s="1">
        <v>31</v>
      </c>
      <c r="F318" s="1" t="s">
        <v>31</v>
      </c>
      <c r="G318" s="1" t="s">
        <v>26</v>
      </c>
      <c r="H318" s="1" t="s">
        <v>977</v>
      </c>
      <c r="I318" s="1">
        <v>57027</v>
      </c>
      <c r="J318" s="1" t="s">
        <v>34</v>
      </c>
      <c r="K318" s="1" t="s">
        <v>978</v>
      </c>
      <c r="L318" s="1" t="s">
        <v>36</v>
      </c>
      <c r="M318" s="1" t="str">
        <f>_xlfn.XLOOKUP(Sheet1!F318,Departments!$A$2:$A$6,Departments!$B$2:$B$6)</f>
        <v>Sales</v>
      </c>
      <c r="N318" s="1">
        <f>_xlfn.XLOOKUP(A318,Performance!$A$2:$A$501,Performance!$C$2:$C$501)</f>
        <v>2</v>
      </c>
      <c r="O318" s="1" cm="1">
        <f t="array" ref="O318">_xlfn.IFS(N318=5,I318+0.15*I318,N318=4,I318+I318*0.1,N318=3,I318+I318*0.07,N318&lt;3,I318+I318*0.05)</f>
        <v>59878.35</v>
      </c>
    </row>
    <row r="319" spans="1:15" x14ac:dyDescent="0.3">
      <c r="A319" s="1" t="s">
        <v>979</v>
      </c>
      <c r="B319" s="1" t="s">
        <v>143</v>
      </c>
      <c r="C319" s="1" t="s">
        <v>130</v>
      </c>
      <c r="D319" s="1" t="s">
        <v>15</v>
      </c>
      <c r="E319" s="1">
        <v>24</v>
      </c>
      <c r="F319" s="1" t="s">
        <v>31</v>
      </c>
      <c r="G319" s="1" t="s">
        <v>26</v>
      </c>
      <c r="H319" s="1" t="s">
        <v>980</v>
      </c>
      <c r="I319" s="1">
        <v>56782</v>
      </c>
      <c r="J319" s="1" t="s">
        <v>34</v>
      </c>
      <c r="K319" s="1" t="s">
        <v>981</v>
      </c>
      <c r="L319" s="1" t="s">
        <v>21</v>
      </c>
      <c r="M319" s="1" t="str">
        <f>_xlfn.XLOOKUP(Sheet1!F319,Departments!$A$2:$A$6,Departments!$B$2:$B$6)</f>
        <v>Sales</v>
      </c>
      <c r="N319" s="1">
        <f>_xlfn.XLOOKUP(A319,Performance!$A$2:$A$501,Performance!$C$2:$C$501)</f>
        <v>2</v>
      </c>
      <c r="O319" s="1" cm="1">
        <f t="array" ref="O319">_xlfn.IFS(N319=5,I319+0.15*I319,N319=4,I319+I319*0.1,N319=3,I319+I319*0.07,N319&lt;3,I319+I319*0.05)</f>
        <v>59621.1</v>
      </c>
    </row>
    <row r="320" spans="1:15" x14ac:dyDescent="0.3">
      <c r="A320" s="1" t="s">
        <v>982</v>
      </c>
      <c r="B320" s="1" t="s">
        <v>38</v>
      </c>
      <c r="C320" s="1" t="s">
        <v>95</v>
      </c>
      <c r="D320" s="1" t="s">
        <v>15</v>
      </c>
      <c r="E320" s="1">
        <v>53</v>
      </c>
      <c r="F320" s="1" t="s">
        <v>31</v>
      </c>
      <c r="G320" s="1" t="s">
        <v>17</v>
      </c>
      <c r="H320" s="1" t="s">
        <v>983</v>
      </c>
      <c r="I320" s="1">
        <v>50653</v>
      </c>
      <c r="J320" s="1" t="s">
        <v>19</v>
      </c>
      <c r="K320" s="1" t="s">
        <v>984</v>
      </c>
      <c r="L320" s="1" t="s">
        <v>36</v>
      </c>
      <c r="M320" s="1" t="str">
        <f>_xlfn.XLOOKUP(Sheet1!F320,Departments!$A$2:$A$6,Departments!$B$2:$B$6)</f>
        <v>Sales</v>
      </c>
      <c r="N320" s="1">
        <f>_xlfn.XLOOKUP(A320,Performance!$A$2:$A$501,Performance!$C$2:$C$501)</f>
        <v>3</v>
      </c>
      <c r="O320" s="1" cm="1">
        <f t="array" ref="O320">_xlfn.IFS(N320=5,I320+0.15*I320,N320=4,I320+I320*0.1,N320=3,I320+I320*0.07,N320&lt;3,I320+I320*0.05)</f>
        <v>54198.71</v>
      </c>
    </row>
    <row r="321" spans="1:15" x14ac:dyDescent="0.3">
      <c r="A321" s="1" t="s">
        <v>985</v>
      </c>
      <c r="B321" s="1" t="s">
        <v>38</v>
      </c>
      <c r="C321" s="1" t="s">
        <v>83</v>
      </c>
      <c r="D321" s="1" t="s">
        <v>15</v>
      </c>
      <c r="E321" s="1">
        <v>37</v>
      </c>
      <c r="F321" s="1" t="s">
        <v>16</v>
      </c>
      <c r="G321" s="1" t="s">
        <v>40</v>
      </c>
      <c r="H321" s="1" t="s">
        <v>475</v>
      </c>
      <c r="I321" s="1">
        <v>104915</v>
      </c>
      <c r="J321" s="1" t="s">
        <v>80</v>
      </c>
      <c r="K321" s="1" t="s">
        <v>986</v>
      </c>
      <c r="L321" s="1" t="s">
        <v>36</v>
      </c>
      <c r="M321" s="1" t="str">
        <f>_xlfn.XLOOKUP(Sheet1!F321,Departments!$A$2:$A$6,Departments!$B$2:$B$6)</f>
        <v>HR</v>
      </c>
      <c r="N321" s="1">
        <f>_xlfn.XLOOKUP(A321,Performance!$A$2:$A$501,Performance!$C$2:$C$501)</f>
        <v>2</v>
      </c>
      <c r="O321" s="1" cm="1">
        <f t="array" ref="O321">_xlfn.IFS(N321=5,I321+0.15*I321,N321=4,I321+I321*0.1,N321=3,I321+I321*0.07,N321&lt;3,I321+I321*0.05)</f>
        <v>110160.75</v>
      </c>
    </row>
    <row r="322" spans="1:15" x14ac:dyDescent="0.3">
      <c r="A322" s="1" t="s">
        <v>987</v>
      </c>
      <c r="B322" s="1" t="s">
        <v>44</v>
      </c>
      <c r="C322" s="1" t="s">
        <v>95</v>
      </c>
      <c r="D322" s="1" t="s">
        <v>24</v>
      </c>
      <c r="E322" s="1">
        <v>43</v>
      </c>
      <c r="F322" s="1" t="s">
        <v>31</v>
      </c>
      <c r="G322" s="1" t="s">
        <v>40</v>
      </c>
      <c r="H322" s="1" t="s">
        <v>988</v>
      </c>
      <c r="I322" s="1">
        <v>87776</v>
      </c>
      <c r="J322" s="1" t="s">
        <v>80</v>
      </c>
      <c r="K322" s="1" t="s">
        <v>989</v>
      </c>
      <c r="L322" s="1" t="s">
        <v>36</v>
      </c>
      <c r="M322" s="1" t="str">
        <f>_xlfn.XLOOKUP(Sheet1!F322,Departments!$A$2:$A$6,Departments!$B$2:$B$6)</f>
        <v>Sales</v>
      </c>
      <c r="N322" s="1">
        <f>_xlfn.XLOOKUP(A322,Performance!$A$2:$A$501,Performance!$C$2:$C$501)</f>
        <v>5</v>
      </c>
      <c r="O322" s="1" cm="1">
        <f t="array" ref="O322">_xlfn.IFS(N322=5,I322+0.15*I322,N322=4,I322+I322*0.1,N322=3,I322+I322*0.07,N322&lt;3,I322+I322*0.05)</f>
        <v>100942.39999999999</v>
      </c>
    </row>
    <row r="323" spans="1:15" x14ac:dyDescent="0.3">
      <c r="A323" s="1" t="s">
        <v>990</v>
      </c>
      <c r="B323" s="1" t="s">
        <v>58</v>
      </c>
      <c r="C323" s="1" t="s">
        <v>130</v>
      </c>
      <c r="D323" s="1" t="s">
        <v>15</v>
      </c>
      <c r="E323" s="1">
        <v>49</v>
      </c>
      <c r="F323" s="1" t="s">
        <v>39</v>
      </c>
      <c r="G323" s="1" t="s">
        <v>32</v>
      </c>
      <c r="H323" s="1" t="s">
        <v>991</v>
      </c>
      <c r="I323" s="1">
        <v>52338</v>
      </c>
      <c r="J323" s="1" t="s">
        <v>60</v>
      </c>
      <c r="K323" s="1" t="s">
        <v>992</v>
      </c>
      <c r="L323" s="1" t="s">
        <v>36</v>
      </c>
      <c r="M323" s="1" t="str">
        <f>_xlfn.XLOOKUP(Sheet1!F323,Departments!$A$2:$A$6,Departments!$B$2:$B$6)</f>
        <v>Marketing</v>
      </c>
      <c r="N323" s="1">
        <f>_xlfn.XLOOKUP(A323,Performance!$A$2:$A$501,Performance!$C$2:$C$501)</f>
        <v>3</v>
      </c>
      <c r="O323" s="1" cm="1">
        <f t="array" ref="O323">_xlfn.IFS(N323=5,I323+0.15*I323,N323=4,I323+I323*0.1,N323=3,I323+I323*0.07,N323&lt;3,I323+I323*0.05)</f>
        <v>56001.66</v>
      </c>
    </row>
    <row r="324" spans="1:15" x14ac:dyDescent="0.3">
      <c r="A324" s="1" t="s">
        <v>993</v>
      </c>
      <c r="B324" s="1" t="s">
        <v>30</v>
      </c>
      <c r="C324" s="1" t="s">
        <v>45</v>
      </c>
      <c r="D324" s="1" t="s">
        <v>15</v>
      </c>
      <c r="E324" s="1">
        <v>53</v>
      </c>
      <c r="F324" s="1" t="s">
        <v>39</v>
      </c>
      <c r="G324" s="1" t="s">
        <v>32</v>
      </c>
      <c r="H324" s="1" t="s">
        <v>994</v>
      </c>
      <c r="I324" s="1">
        <v>45630</v>
      </c>
      <c r="J324" s="1" t="s">
        <v>65</v>
      </c>
      <c r="K324" s="1" t="s">
        <v>995</v>
      </c>
      <c r="L324" s="1" t="s">
        <v>36</v>
      </c>
      <c r="M324" s="1" t="str">
        <f>_xlfn.XLOOKUP(Sheet1!F324,Departments!$A$2:$A$6,Departments!$B$2:$B$6)</f>
        <v>Marketing</v>
      </c>
      <c r="N324" s="1">
        <f>_xlfn.XLOOKUP(A324,Performance!$A$2:$A$501,Performance!$C$2:$C$501)</f>
        <v>3</v>
      </c>
      <c r="O324" s="1" cm="1">
        <f t="array" ref="O324">_xlfn.IFS(N324=5,I324+0.15*I324,N324=4,I324+I324*0.1,N324=3,I324+I324*0.07,N324&lt;3,I324+I324*0.05)</f>
        <v>48824.1</v>
      </c>
    </row>
    <row r="325" spans="1:15" x14ac:dyDescent="0.3">
      <c r="A325" s="1" t="s">
        <v>996</v>
      </c>
      <c r="B325" s="1" t="s">
        <v>38</v>
      </c>
      <c r="C325" s="1" t="s">
        <v>45</v>
      </c>
      <c r="D325" s="1" t="s">
        <v>24</v>
      </c>
      <c r="E325" s="1">
        <v>44</v>
      </c>
      <c r="F325" s="1" t="s">
        <v>39</v>
      </c>
      <c r="G325" s="1" t="s">
        <v>32</v>
      </c>
      <c r="H325" s="1" t="s">
        <v>997</v>
      </c>
      <c r="I325" s="1">
        <v>80403</v>
      </c>
      <c r="J325" s="1" t="s">
        <v>60</v>
      </c>
      <c r="K325" s="1" t="s">
        <v>998</v>
      </c>
      <c r="L325" s="1" t="s">
        <v>21</v>
      </c>
      <c r="M325" s="1" t="str">
        <f>_xlfn.XLOOKUP(Sheet1!F325,Departments!$A$2:$A$6,Departments!$B$2:$B$6)</f>
        <v>Marketing</v>
      </c>
      <c r="N325" s="1">
        <f>_xlfn.XLOOKUP(A325,Performance!$A$2:$A$501,Performance!$C$2:$C$501)</f>
        <v>4</v>
      </c>
      <c r="O325" s="1" cm="1">
        <f t="array" ref="O325">_xlfn.IFS(N325=5,I325+0.15*I325,N325=4,I325+I325*0.1,N325=3,I325+I325*0.07,N325&lt;3,I325+I325*0.05)</f>
        <v>88443.3</v>
      </c>
    </row>
    <row r="326" spans="1:15" x14ac:dyDescent="0.3">
      <c r="A326" s="1" t="s">
        <v>999</v>
      </c>
      <c r="B326" s="1" t="s">
        <v>44</v>
      </c>
      <c r="C326" s="1" t="s">
        <v>45</v>
      </c>
      <c r="D326" s="1" t="s">
        <v>24</v>
      </c>
      <c r="E326" s="1">
        <v>51</v>
      </c>
      <c r="F326" s="1" t="s">
        <v>39</v>
      </c>
      <c r="G326" s="1" t="s">
        <v>26</v>
      </c>
      <c r="H326" s="1" t="s">
        <v>1000</v>
      </c>
      <c r="I326" s="1">
        <v>82902</v>
      </c>
      <c r="J326" s="1" t="s">
        <v>80</v>
      </c>
      <c r="K326" s="1" t="s">
        <v>1001</v>
      </c>
      <c r="L326" s="1" t="s">
        <v>36</v>
      </c>
      <c r="M326" s="1" t="str">
        <f>_xlfn.XLOOKUP(Sheet1!F326,Departments!$A$2:$A$6,Departments!$B$2:$B$6)</f>
        <v>Marketing</v>
      </c>
      <c r="N326" s="1">
        <f>_xlfn.XLOOKUP(A326,Performance!$A$2:$A$501,Performance!$C$2:$C$501)</f>
        <v>1</v>
      </c>
      <c r="O326" s="1" cm="1">
        <f t="array" ref="O326">_xlfn.IFS(N326=5,I326+0.15*I326,N326=4,I326+I326*0.1,N326=3,I326+I326*0.07,N326&lt;3,I326+I326*0.05)</f>
        <v>87047.1</v>
      </c>
    </row>
    <row r="327" spans="1:15" x14ac:dyDescent="0.3">
      <c r="A327" s="1" t="s">
        <v>1002</v>
      </c>
      <c r="B327" s="1" t="s">
        <v>13</v>
      </c>
      <c r="C327" s="1" t="s">
        <v>165</v>
      </c>
      <c r="D327" s="1" t="s">
        <v>24</v>
      </c>
      <c r="E327" s="1">
        <v>46</v>
      </c>
      <c r="F327" s="1" t="s">
        <v>39</v>
      </c>
      <c r="G327" s="1" t="s">
        <v>108</v>
      </c>
      <c r="H327" s="1" t="s">
        <v>1003</v>
      </c>
      <c r="I327" s="1">
        <v>89841</v>
      </c>
      <c r="J327" s="1" t="s">
        <v>80</v>
      </c>
      <c r="K327" s="1" t="s">
        <v>1004</v>
      </c>
      <c r="L327" s="1" t="s">
        <v>21</v>
      </c>
      <c r="M327" s="1" t="str">
        <f>_xlfn.XLOOKUP(Sheet1!F327,Departments!$A$2:$A$6,Departments!$B$2:$B$6)</f>
        <v>Marketing</v>
      </c>
      <c r="N327" s="1">
        <f>_xlfn.XLOOKUP(A327,Performance!$A$2:$A$501,Performance!$C$2:$C$501)</f>
        <v>1</v>
      </c>
      <c r="O327" s="1" cm="1">
        <f t="array" ref="O327">_xlfn.IFS(N327=5,I327+0.15*I327,N327=4,I327+I327*0.1,N327=3,I327+I327*0.07,N327&lt;3,I327+I327*0.05)</f>
        <v>94333.05</v>
      </c>
    </row>
    <row r="328" spans="1:15" x14ac:dyDescent="0.3">
      <c r="A328" s="1" t="s">
        <v>1005</v>
      </c>
      <c r="B328" s="1" t="s">
        <v>54</v>
      </c>
      <c r="C328" s="1" t="s">
        <v>90</v>
      </c>
      <c r="D328" s="1" t="s">
        <v>24</v>
      </c>
      <c r="E328" s="1">
        <v>36</v>
      </c>
      <c r="F328" s="1" t="s">
        <v>25</v>
      </c>
      <c r="G328" s="1" t="s">
        <v>26</v>
      </c>
      <c r="H328" s="1" t="s">
        <v>1006</v>
      </c>
      <c r="I328" s="1">
        <v>112396</v>
      </c>
      <c r="J328" s="1" t="s">
        <v>60</v>
      </c>
      <c r="K328" s="1" t="s">
        <v>1007</v>
      </c>
      <c r="L328" s="1" t="s">
        <v>21</v>
      </c>
      <c r="M328" s="1" t="str">
        <f>_xlfn.XLOOKUP(Sheet1!F328,Departments!$A$2:$A$6,Departments!$B$2:$B$6)</f>
        <v>IT</v>
      </c>
      <c r="N328" s="1">
        <f>_xlfn.XLOOKUP(A328,Performance!$A$2:$A$501,Performance!$C$2:$C$501)</f>
        <v>5</v>
      </c>
      <c r="O328" s="1" cm="1">
        <f t="array" ref="O328">_xlfn.IFS(N328=5,I328+0.15*I328,N328=4,I328+I328*0.1,N328=3,I328+I328*0.07,N328&lt;3,I328+I328*0.05)</f>
        <v>129255.4</v>
      </c>
    </row>
    <row r="329" spans="1:15" x14ac:dyDescent="0.3">
      <c r="A329" s="1" t="s">
        <v>1008</v>
      </c>
      <c r="B329" s="1" t="s">
        <v>54</v>
      </c>
      <c r="C329" s="1" t="s">
        <v>23</v>
      </c>
      <c r="D329" s="1" t="s">
        <v>24</v>
      </c>
      <c r="E329" s="1">
        <v>39</v>
      </c>
      <c r="F329" s="1" t="s">
        <v>16</v>
      </c>
      <c r="G329" s="1" t="s">
        <v>108</v>
      </c>
      <c r="H329" s="1" t="s">
        <v>1009</v>
      </c>
      <c r="I329" s="1">
        <v>91433</v>
      </c>
      <c r="J329" s="1" t="s">
        <v>80</v>
      </c>
      <c r="K329" s="1" t="s">
        <v>1010</v>
      </c>
      <c r="L329" s="1" t="s">
        <v>36</v>
      </c>
      <c r="M329" s="1" t="str">
        <f>_xlfn.XLOOKUP(Sheet1!F329,Departments!$A$2:$A$6,Departments!$B$2:$B$6)</f>
        <v>HR</v>
      </c>
      <c r="N329" s="1">
        <f>_xlfn.XLOOKUP(A329,Performance!$A$2:$A$501,Performance!$C$2:$C$501)</f>
        <v>5</v>
      </c>
      <c r="O329" s="1" cm="1">
        <f t="array" ref="O329">_xlfn.IFS(N329=5,I329+0.15*I329,N329=4,I329+I329*0.1,N329=3,I329+I329*0.07,N329&lt;3,I329+I329*0.05)</f>
        <v>105147.95</v>
      </c>
    </row>
    <row r="330" spans="1:15" x14ac:dyDescent="0.3">
      <c r="A330" s="1" t="s">
        <v>1011</v>
      </c>
      <c r="B330" s="1" t="s">
        <v>49</v>
      </c>
      <c r="C330" s="1" t="s">
        <v>95</v>
      </c>
      <c r="D330" s="1" t="s">
        <v>15</v>
      </c>
      <c r="E330" s="1">
        <v>58</v>
      </c>
      <c r="F330" s="1" t="s">
        <v>39</v>
      </c>
      <c r="G330" s="1" t="s">
        <v>32</v>
      </c>
      <c r="H330" s="1" t="s">
        <v>1012</v>
      </c>
      <c r="I330" s="1">
        <v>75628</v>
      </c>
      <c r="J330" s="1" t="s">
        <v>60</v>
      </c>
      <c r="K330" s="1" t="s">
        <v>1013</v>
      </c>
      <c r="L330" s="1" t="s">
        <v>21</v>
      </c>
      <c r="M330" s="1" t="str">
        <f>_xlfn.XLOOKUP(Sheet1!F330,Departments!$A$2:$A$6,Departments!$B$2:$B$6)</f>
        <v>Marketing</v>
      </c>
      <c r="N330" s="1">
        <f>_xlfn.XLOOKUP(A330,Performance!$A$2:$A$501,Performance!$C$2:$C$501)</f>
        <v>5</v>
      </c>
      <c r="O330" s="1" cm="1">
        <f t="array" ref="O330">_xlfn.IFS(N330=5,I330+0.15*I330,N330=4,I330+I330*0.1,N330=3,I330+I330*0.07,N330&lt;3,I330+I330*0.05)</f>
        <v>86972.2</v>
      </c>
    </row>
    <row r="331" spans="1:15" x14ac:dyDescent="0.3">
      <c r="A331" s="1" t="s">
        <v>1014</v>
      </c>
      <c r="B331" s="1" t="s">
        <v>13</v>
      </c>
      <c r="C331" s="1" t="s">
        <v>45</v>
      </c>
      <c r="D331" s="1" t="s">
        <v>15</v>
      </c>
      <c r="E331" s="1">
        <v>56</v>
      </c>
      <c r="F331" s="1" t="s">
        <v>50</v>
      </c>
      <c r="G331" s="1" t="s">
        <v>17</v>
      </c>
      <c r="H331" s="1" t="s">
        <v>1015</v>
      </c>
      <c r="I331" s="1">
        <v>68036</v>
      </c>
      <c r="J331" s="1" t="s">
        <v>80</v>
      </c>
      <c r="K331" s="1" t="s">
        <v>1016</v>
      </c>
      <c r="L331" s="1" t="s">
        <v>36</v>
      </c>
      <c r="M331" s="1" t="str">
        <f>_xlfn.XLOOKUP(Sheet1!F331,Departments!$A$2:$A$6,Departments!$B$2:$B$6)</f>
        <v>Finance</v>
      </c>
      <c r="N331" s="1">
        <f>_xlfn.XLOOKUP(A331,Performance!$A$2:$A$501,Performance!$C$2:$C$501)</f>
        <v>1</v>
      </c>
      <c r="O331" s="1" cm="1">
        <f t="array" ref="O331">_xlfn.IFS(N331=5,I331+0.15*I331,N331=4,I331+I331*0.1,N331=3,I331+I331*0.07,N331&lt;3,I331+I331*0.05)</f>
        <v>71437.8</v>
      </c>
    </row>
    <row r="332" spans="1:15" x14ac:dyDescent="0.3">
      <c r="A332" s="1" t="s">
        <v>1017</v>
      </c>
      <c r="B332" s="1" t="s">
        <v>94</v>
      </c>
      <c r="C332" s="1" t="s">
        <v>78</v>
      </c>
      <c r="D332" s="1" t="s">
        <v>24</v>
      </c>
      <c r="E332" s="1">
        <v>50</v>
      </c>
      <c r="F332" s="1" t="s">
        <v>16</v>
      </c>
      <c r="G332" s="1" t="s">
        <v>108</v>
      </c>
      <c r="H332" s="1" t="s">
        <v>1018</v>
      </c>
      <c r="I332" s="1">
        <v>61746</v>
      </c>
      <c r="J332" s="1" t="s">
        <v>65</v>
      </c>
      <c r="K332" s="1" t="s">
        <v>1019</v>
      </c>
      <c r="L332" s="1" t="s">
        <v>36</v>
      </c>
      <c r="M332" s="1" t="str">
        <f>_xlfn.XLOOKUP(Sheet1!F332,Departments!$A$2:$A$6,Departments!$B$2:$B$6)</f>
        <v>HR</v>
      </c>
      <c r="N332" s="1">
        <f>_xlfn.XLOOKUP(A332,Performance!$A$2:$A$501,Performance!$C$2:$C$501)</f>
        <v>1</v>
      </c>
      <c r="O332" s="1" cm="1">
        <f t="array" ref="O332">_xlfn.IFS(N332=5,I332+0.15*I332,N332=4,I332+I332*0.1,N332=3,I332+I332*0.07,N332&lt;3,I332+I332*0.05)</f>
        <v>64833.3</v>
      </c>
    </row>
    <row r="333" spans="1:15" x14ac:dyDescent="0.3">
      <c r="A333" s="1" t="s">
        <v>1020</v>
      </c>
      <c r="B333" s="1" t="s">
        <v>143</v>
      </c>
      <c r="C333" s="1" t="s">
        <v>63</v>
      </c>
      <c r="D333" s="1" t="s">
        <v>15</v>
      </c>
      <c r="E333" s="1">
        <v>26</v>
      </c>
      <c r="F333" s="1" t="s">
        <v>16</v>
      </c>
      <c r="G333" s="1" t="s">
        <v>108</v>
      </c>
      <c r="H333" s="1" t="s">
        <v>510</v>
      </c>
      <c r="I333" s="1">
        <v>47221</v>
      </c>
      <c r="J333" s="1" t="s">
        <v>60</v>
      </c>
      <c r="K333" s="1" t="s">
        <v>1021</v>
      </c>
      <c r="L333" s="1" t="s">
        <v>36</v>
      </c>
      <c r="M333" s="1" t="str">
        <f>_xlfn.XLOOKUP(Sheet1!F333,Departments!$A$2:$A$6,Departments!$B$2:$B$6)</f>
        <v>HR</v>
      </c>
      <c r="N333" s="1">
        <f>_xlfn.XLOOKUP(A333,Performance!$A$2:$A$501,Performance!$C$2:$C$501)</f>
        <v>5</v>
      </c>
      <c r="O333" s="1" cm="1">
        <f t="array" ref="O333">_xlfn.IFS(N333=5,I333+0.15*I333,N333=4,I333+I333*0.1,N333=3,I333+I333*0.07,N333&lt;3,I333+I333*0.05)</f>
        <v>54304.15</v>
      </c>
    </row>
    <row r="334" spans="1:15" x14ac:dyDescent="0.3">
      <c r="A334" s="1" t="s">
        <v>1022</v>
      </c>
      <c r="B334" s="1" t="s">
        <v>71</v>
      </c>
      <c r="C334" s="1" t="s">
        <v>165</v>
      </c>
      <c r="D334" s="1" t="s">
        <v>15</v>
      </c>
      <c r="E334" s="1">
        <v>32</v>
      </c>
      <c r="F334" s="1" t="s">
        <v>31</v>
      </c>
      <c r="G334" s="1" t="s">
        <v>108</v>
      </c>
      <c r="H334" s="1" t="s">
        <v>1023</v>
      </c>
      <c r="I334" s="1">
        <v>75595</v>
      </c>
      <c r="J334" s="1" t="s">
        <v>19</v>
      </c>
      <c r="K334" s="1" t="s">
        <v>1024</v>
      </c>
      <c r="L334" s="1" t="s">
        <v>21</v>
      </c>
      <c r="M334" s="1" t="str">
        <f>_xlfn.XLOOKUP(Sheet1!F334,Departments!$A$2:$A$6,Departments!$B$2:$B$6)</f>
        <v>Sales</v>
      </c>
      <c r="N334" s="1">
        <f>_xlfn.XLOOKUP(A334,Performance!$A$2:$A$501,Performance!$C$2:$C$501)</f>
        <v>3</v>
      </c>
      <c r="O334" s="1" cm="1">
        <f t="array" ref="O334">_xlfn.IFS(N334=5,I334+0.15*I334,N334=4,I334+I334*0.1,N334=3,I334+I334*0.07,N334&lt;3,I334+I334*0.05)</f>
        <v>80886.649999999994</v>
      </c>
    </row>
    <row r="335" spans="1:15" x14ac:dyDescent="0.3">
      <c r="A335" s="1" t="s">
        <v>1025</v>
      </c>
      <c r="B335" s="1" t="s">
        <v>38</v>
      </c>
      <c r="C335" s="1" t="s">
        <v>83</v>
      </c>
      <c r="D335" s="1" t="s">
        <v>15</v>
      </c>
      <c r="E335" s="1">
        <v>46</v>
      </c>
      <c r="F335" s="1" t="s">
        <v>50</v>
      </c>
      <c r="G335" s="1" t="s">
        <v>17</v>
      </c>
      <c r="H335" s="1" t="s">
        <v>1026</v>
      </c>
      <c r="I335" s="1">
        <v>104179</v>
      </c>
      <c r="J335" s="1" t="s">
        <v>34</v>
      </c>
      <c r="K335" s="1" t="s">
        <v>1027</v>
      </c>
      <c r="L335" s="1" t="s">
        <v>36</v>
      </c>
      <c r="M335" s="1" t="str">
        <f>_xlfn.XLOOKUP(Sheet1!F335,Departments!$A$2:$A$6,Departments!$B$2:$B$6)</f>
        <v>Finance</v>
      </c>
      <c r="N335" s="1">
        <f>_xlfn.XLOOKUP(A335,Performance!$A$2:$A$501,Performance!$C$2:$C$501)</f>
        <v>3</v>
      </c>
      <c r="O335" s="1" cm="1">
        <f t="array" ref="O335">_xlfn.IFS(N335=5,I335+0.15*I335,N335=4,I335+I335*0.1,N335=3,I335+I335*0.07,N335&lt;3,I335+I335*0.05)</f>
        <v>111471.53</v>
      </c>
    </row>
    <row r="336" spans="1:15" x14ac:dyDescent="0.3">
      <c r="A336" s="1" t="s">
        <v>1028</v>
      </c>
      <c r="B336" s="1" t="s">
        <v>44</v>
      </c>
      <c r="C336" s="1" t="s">
        <v>130</v>
      </c>
      <c r="D336" s="1" t="s">
        <v>15</v>
      </c>
      <c r="E336" s="1">
        <v>37</v>
      </c>
      <c r="F336" s="1" t="s">
        <v>16</v>
      </c>
      <c r="G336" s="1" t="s">
        <v>108</v>
      </c>
      <c r="H336" s="1" t="s">
        <v>1029</v>
      </c>
      <c r="I336" s="1">
        <v>46212</v>
      </c>
      <c r="J336" s="1" t="s">
        <v>19</v>
      </c>
      <c r="K336" s="1" t="s">
        <v>1030</v>
      </c>
      <c r="L336" s="1" t="s">
        <v>21</v>
      </c>
      <c r="M336" s="1" t="str">
        <f>_xlfn.XLOOKUP(Sheet1!F336,Departments!$A$2:$A$6,Departments!$B$2:$B$6)</f>
        <v>HR</v>
      </c>
      <c r="N336" s="1">
        <f>_xlfn.XLOOKUP(A336,Performance!$A$2:$A$501,Performance!$C$2:$C$501)</f>
        <v>1</v>
      </c>
      <c r="O336" s="1" cm="1">
        <f t="array" ref="O336">_xlfn.IFS(N336=5,I336+0.15*I336,N336=4,I336+I336*0.1,N336=3,I336+I336*0.07,N336&lt;3,I336+I336*0.05)</f>
        <v>48522.6</v>
      </c>
    </row>
    <row r="337" spans="1:15" x14ac:dyDescent="0.3">
      <c r="A337" s="1" t="s">
        <v>1031</v>
      </c>
      <c r="B337" s="1" t="s">
        <v>58</v>
      </c>
      <c r="C337" s="1" t="s">
        <v>90</v>
      </c>
      <c r="D337" s="1" t="s">
        <v>24</v>
      </c>
      <c r="E337" s="1">
        <v>47</v>
      </c>
      <c r="F337" s="1" t="s">
        <v>39</v>
      </c>
      <c r="G337" s="1" t="s">
        <v>40</v>
      </c>
      <c r="H337" s="1" t="s">
        <v>1032</v>
      </c>
      <c r="I337" s="1">
        <v>39091</v>
      </c>
      <c r="J337" s="1" t="s">
        <v>80</v>
      </c>
      <c r="K337" s="1" t="s">
        <v>1033</v>
      </c>
      <c r="L337" s="1" t="s">
        <v>21</v>
      </c>
      <c r="M337" s="1" t="str">
        <f>_xlfn.XLOOKUP(Sheet1!F337,Departments!$A$2:$A$6,Departments!$B$2:$B$6)</f>
        <v>Marketing</v>
      </c>
      <c r="N337" s="1">
        <f>_xlfn.XLOOKUP(A337,Performance!$A$2:$A$501,Performance!$C$2:$C$501)</f>
        <v>2</v>
      </c>
      <c r="O337" s="1" cm="1">
        <f t="array" ref="O337">_xlfn.IFS(N337=5,I337+0.15*I337,N337=4,I337+I337*0.1,N337=3,I337+I337*0.07,N337&lt;3,I337+I337*0.05)</f>
        <v>41045.550000000003</v>
      </c>
    </row>
    <row r="338" spans="1:15" x14ac:dyDescent="0.3">
      <c r="A338" s="1" t="s">
        <v>1034</v>
      </c>
      <c r="B338" s="1" t="s">
        <v>30</v>
      </c>
      <c r="C338" s="1" t="s">
        <v>83</v>
      </c>
      <c r="D338" s="1" t="s">
        <v>24</v>
      </c>
      <c r="E338" s="1">
        <v>43</v>
      </c>
      <c r="F338" s="1" t="s">
        <v>31</v>
      </c>
      <c r="G338" s="1" t="s">
        <v>40</v>
      </c>
      <c r="H338" s="1" t="s">
        <v>1035</v>
      </c>
      <c r="I338" s="1">
        <v>73436</v>
      </c>
      <c r="J338" s="1" t="s">
        <v>60</v>
      </c>
      <c r="K338" s="1" t="s">
        <v>1036</v>
      </c>
      <c r="L338" s="1" t="s">
        <v>36</v>
      </c>
      <c r="M338" s="1" t="str">
        <f>_xlfn.XLOOKUP(Sheet1!F338,Departments!$A$2:$A$6,Departments!$B$2:$B$6)</f>
        <v>Sales</v>
      </c>
      <c r="N338" s="1">
        <f>_xlfn.XLOOKUP(A338,Performance!$A$2:$A$501,Performance!$C$2:$C$501)</f>
        <v>1</v>
      </c>
      <c r="O338" s="1" cm="1">
        <f t="array" ref="O338">_xlfn.IFS(N338=5,I338+0.15*I338,N338=4,I338+I338*0.1,N338=3,I338+I338*0.07,N338&lt;3,I338+I338*0.05)</f>
        <v>77107.8</v>
      </c>
    </row>
    <row r="339" spans="1:15" x14ac:dyDescent="0.3">
      <c r="A339" s="1" t="s">
        <v>1037</v>
      </c>
      <c r="B339" s="1" t="s">
        <v>143</v>
      </c>
      <c r="C339" s="1" t="s">
        <v>78</v>
      </c>
      <c r="D339" s="1" t="s">
        <v>15</v>
      </c>
      <c r="E339" s="1">
        <v>57</v>
      </c>
      <c r="F339" s="1" t="s">
        <v>25</v>
      </c>
      <c r="G339" s="1" t="s">
        <v>40</v>
      </c>
      <c r="H339" s="1" t="s">
        <v>1038</v>
      </c>
      <c r="I339" s="1">
        <v>62199</v>
      </c>
      <c r="J339" s="1" t="s">
        <v>60</v>
      </c>
      <c r="K339" s="1" t="s">
        <v>1039</v>
      </c>
      <c r="L339" s="1" t="s">
        <v>21</v>
      </c>
      <c r="M339" s="1" t="str">
        <f>_xlfn.XLOOKUP(Sheet1!F339,Departments!$A$2:$A$6,Departments!$B$2:$B$6)</f>
        <v>IT</v>
      </c>
      <c r="N339" s="1">
        <f>_xlfn.XLOOKUP(A339,Performance!$A$2:$A$501,Performance!$C$2:$C$501)</f>
        <v>1</v>
      </c>
      <c r="O339" s="1" cm="1">
        <f t="array" ref="O339">_xlfn.IFS(N339=5,I339+0.15*I339,N339=4,I339+I339*0.1,N339=3,I339+I339*0.07,N339&lt;3,I339+I339*0.05)</f>
        <v>65308.95</v>
      </c>
    </row>
    <row r="340" spans="1:15" x14ac:dyDescent="0.3">
      <c r="A340" s="1" t="s">
        <v>1040</v>
      </c>
      <c r="B340" s="1" t="s">
        <v>54</v>
      </c>
      <c r="C340" s="1" t="s">
        <v>95</v>
      </c>
      <c r="D340" s="1" t="s">
        <v>24</v>
      </c>
      <c r="E340" s="1">
        <v>41</v>
      </c>
      <c r="F340" s="1" t="s">
        <v>50</v>
      </c>
      <c r="G340" s="1" t="s">
        <v>26</v>
      </c>
      <c r="H340" s="1" t="s">
        <v>1041</v>
      </c>
      <c r="I340" s="1">
        <v>53338</v>
      </c>
      <c r="J340" s="1" t="s">
        <v>34</v>
      </c>
      <c r="K340" s="1" t="s">
        <v>1042</v>
      </c>
      <c r="L340" s="1" t="s">
        <v>21</v>
      </c>
      <c r="M340" s="1" t="str">
        <f>_xlfn.XLOOKUP(Sheet1!F340,Departments!$A$2:$A$6,Departments!$B$2:$B$6)</f>
        <v>Finance</v>
      </c>
      <c r="N340" s="1">
        <f>_xlfn.XLOOKUP(A340,Performance!$A$2:$A$501,Performance!$C$2:$C$501)</f>
        <v>3</v>
      </c>
      <c r="O340" s="1" cm="1">
        <f t="array" ref="O340">_xlfn.IFS(N340=5,I340+0.15*I340,N340=4,I340+I340*0.1,N340=3,I340+I340*0.07,N340&lt;3,I340+I340*0.05)</f>
        <v>57071.66</v>
      </c>
    </row>
    <row r="341" spans="1:15" x14ac:dyDescent="0.3">
      <c r="A341" s="1" t="s">
        <v>1043</v>
      </c>
      <c r="B341" s="1" t="s">
        <v>94</v>
      </c>
      <c r="C341" s="1" t="s">
        <v>45</v>
      </c>
      <c r="D341" s="1" t="s">
        <v>15</v>
      </c>
      <c r="E341" s="1">
        <v>38</v>
      </c>
      <c r="F341" s="1" t="s">
        <v>25</v>
      </c>
      <c r="G341" s="1" t="s">
        <v>108</v>
      </c>
      <c r="H341" s="1" t="s">
        <v>1044</v>
      </c>
      <c r="I341" s="1">
        <v>64542</v>
      </c>
      <c r="J341" s="1" t="s">
        <v>65</v>
      </c>
      <c r="K341" s="1" t="s">
        <v>1045</v>
      </c>
      <c r="L341" s="1" t="s">
        <v>21</v>
      </c>
      <c r="M341" s="1" t="str">
        <f>_xlfn.XLOOKUP(Sheet1!F341,Departments!$A$2:$A$6,Departments!$B$2:$B$6)</f>
        <v>IT</v>
      </c>
      <c r="N341" s="1">
        <f>_xlfn.XLOOKUP(A341,Performance!$A$2:$A$501,Performance!$C$2:$C$501)</f>
        <v>3</v>
      </c>
      <c r="O341" s="1" cm="1">
        <f t="array" ref="O341">_xlfn.IFS(N341=5,I341+0.15*I341,N341=4,I341+I341*0.1,N341=3,I341+I341*0.07,N341&lt;3,I341+I341*0.05)</f>
        <v>69059.94</v>
      </c>
    </row>
    <row r="342" spans="1:15" x14ac:dyDescent="0.3">
      <c r="A342" s="1" t="s">
        <v>1046</v>
      </c>
      <c r="B342" s="1" t="s">
        <v>58</v>
      </c>
      <c r="C342" s="1" t="s">
        <v>130</v>
      </c>
      <c r="D342" s="1" t="s">
        <v>15</v>
      </c>
      <c r="E342" s="1">
        <v>59</v>
      </c>
      <c r="F342" s="1" t="s">
        <v>31</v>
      </c>
      <c r="G342" s="1" t="s">
        <v>108</v>
      </c>
      <c r="H342" s="1" t="s">
        <v>1047</v>
      </c>
      <c r="I342" s="1">
        <v>38117</v>
      </c>
      <c r="J342" s="1" t="s">
        <v>34</v>
      </c>
      <c r="K342" s="1" t="s">
        <v>1048</v>
      </c>
      <c r="L342" s="1" t="s">
        <v>21</v>
      </c>
      <c r="M342" s="1" t="str">
        <f>_xlfn.XLOOKUP(Sheet1!F342,Departments!$A$2:$A$6,Departments!$B$2:$B$6)</f>
        <v>Sales</v>
      </c>
      <c r="N342" s="1">
        <f>_xlfn.XLOOKUP(A342,Performance!$A$2:$A$501,Performance!$C$2:$C$501)</f>
        <v>2</v>
      </c>
      <c r="O342" s="1" cm="1">
        <f t="array" ref="O342">_xlfn.IFS(N342=5,I342+0.15*I342,N342=4,I342+I342*0.1,N342=3,I342+I342*0.07,N342&lt;3,I342+I342*0.05)</f>
        <v>40022.85</v>
      </c>
    </row>
    <row r="343" spans="1:15" x14ac:dyDescent="0.3">
      <c r="A343" s="1" t="s">
        <v>1049</v>
      </c>
      <c r="B343" s="1" t="s">
        <v>30</v>
      </c>
      <c r="C343" s="1" t="s">
        <v>83</v>
      </c>
      <c r="D343" s="1" t="s">
        <v>24</v>
      </c>
      <c r="E343" s="1">
        <v>25</v>
      </c>
      <c r="F343" s="1" t="s">
        <v>16</v>
      </c>
      <c r="G343" s="1" t="s">
        <v>108</v>
      </c>
      <c r="H343" s="1" t="s">
        <v>1050</v>
      </c>
      <c r="I343" s="1">
        <v>101879</v>
      </c>
      <c r="J343" s="1" t="s">
        <v>19</v>
      </c>
      <c r="K343" s="1" t="s">
        <v>1051</v>
      </c>
      <c r="L343" s="1" t="s">
        <v>21</v>
      </c>
      <c r="M343" s="1" t="str">
        <f>_xlfn.XLOOKUP(Sheet1!F343,Departments!$A$2:$A$6,Departments!$B$2:$B$6)</f>
        <v>HR</v>
      </c>
      <c r="N343" s="1">
        <f>_xlfn.XLOOKUP(A343,Performance!$A$2:$A$501,Performance!$C$2:$C$501)</f>
        <v>5</v>
      </c>
      <c r="O343" s="1" cm="1">
        <f t="array" ref="O343">_xlfn.IFS(N343=5,I343+0.15*I343,N343=4,I343+I343*0.1,N343=3,I343+I343*0.07,N343&lt;3,I343+I343*0.05)</f>
        <v>117160.85</v>
      </c>
    </row>
    <row r="344" spans="1:15" x14ac:dyDescent="0.3">
      <c r="A344" s="1" t="s">
        <v>1052</v>
      </c>
      <c r="B344" s="1" t="s">
        <v>71</v>
      </c>
      <c r="C344" s="1" t="s">
        <v>23</v>
      </c>
      <c r="D344" s="1" t="s">
        <v>24</v>
      </c>
      <c r="E344" s="1">
        <v>43</v>
      </c>
      <c r="F344" s="1" t="s">
        <v>25</v>
      </c>
      <c r="G344" s="1" t="s">
        <v>108</v>
      </c>
      <c r="H344" s="1" t="s">
        <v>1053</v>
      </c>
      <c r="I344" s="1">
        <v>78777</v>
      </c>
      <c r="J344" s="1" t="s">
        <v>65</v>
      </c>
      <c r="K344" s="1" t="s">
        <v>1054</v>
      </c>
      <c r="L344" s="1" t="s">
        <v>21</v>
      </c>
      <c r="M344" s="1" t="str">
        <f>_xlfn.XLOOKUP(Sheet1!F344,Departments!$A$2:$A$6,Departments!$B$2:$B$6)</f>
        <v>IT</v>
      </c>
      <c r="N344" s="1">
        <f>_xlfn.XLOOKUP(A344,Performance!$A$2:$A$501,Performance!$C$2:$C$501)</f>
        <v>4</v>
      </c>
      <c r="O344" s="1" cm="1">
        <f t="array" ref="O344">_xlfn.IFS(N344=5,I344+0.15*I344,N344=4,I344+I344*0.1,N344=3,I344+I344*0.07,N344&lt;3,I344+I344*0.05)</f>
        <v>86654.7</v>
      </c>
    </row>
    <row r="345" spans="1:15" x14ac:dyDescent="0.3">
      <c r="A345" s="1" t="s">
        <v>1055</v>
      </c>
      <c r="B345" s="1" t="s">
        <v>30</v>
      </c>
      <c r="C345" s="1" t="s">
        <v>95</v>
      </c>
      <c r="D345" s="1" t="s">
        <v>15</v>
      </c>
      <c r="E345" s="1">
        <v>33</v>
      </c>
      <c r="F345" s="1" t="s">
        <v>16</v>
      </c>
      <c r="G345" s="1" t="s">
        <v>108</v>
      </c>
      <c r="H345" s="1" t="s">
        <v>1056</v>
      </c>
      <c r="I345" s="1">
        <v>43206</v>
      </c>
      <c r="J345" s="1" t="s">
        <v>65</v>
      </c>
      <c r="K345" s="1" t="s">
        <v>1057</v>
      </c>
      <c r="L345" s="1" t="s">
        <v>36</v>
      </c>
      <c r="M345" s="1" t="str">
        <f>_xlfn.XLOOKUP(Sheet1!F345,Departments!$A$2:$A$6,Departments!$B$2:$B$6)</f>
        <v>HR</v>
      </c>
      <c r="N345" s="1">
        <f>_xlfn.XLOOKUP(A345,Performance!$A$2:$A$501,Performance!$C$2:$C$501)</f>
        <v>5</v>
      </c>
      <c r="O345" s="1" cm="1">
        <f t="array" ref="O345">_xlfn.IFS(N345=5,I345+0.15*I345,N345=4,I345+I345*0.1,N345=3,I345+I345*0.07,N345&lt;3,I345+I345*0.05)</f>
        <v>49686.9</v>
      </c>
    </row>
    <row r="346" spans="1:15" x14ac:dyDescent="0.3">
      <c r="A346" s="1" t="s">
        <v>1058</v>
      </c>
      <c r="B346" s="1" t="s">
        <v>71</v>
      </c>
      <c r="C346" s="1" t="s">
        <v>90</v>
      </c>
      <c r="D346" s="1" t="s">
        <v>15</v>
      </c>
      <c r="E346" s="1">
        <v>42</v>
      </c>
      <c r="F346" s="1" t="s">
        <v>50</v>
      </c>
      <c r="G346" s="1" t="s">
        <v>26</v>
      </c>
      <c r="H346" s="1" t="s">
        <v>1059</v>
      </c>
      <c r="I346" s="1">
        <v>80745</v>
      </c>
      <c r="J346" s="1" t="s">
        <v>80</v>
      </c>
      <c r="K346" s="1" t="s">
        <v>1060</v>
      </c>
      <c r="L346" s="1" t="s">
        <v>36</v>
      </c>
      <c r="M346" s="1" t="str">
        <f>_xlfn.XLOOKUP(Sheet1!F346,Departments!$A$2:$A$6,Departments!$B$2:$B$6)</f>
        <v>Finance</v>
      </c>
      <c r="N346" s="1">
        <f>_xlfn.XLOOKUP(A346,Performance!$A$2:$A$501,Performance!$C$2:$C$501)</f>
        <v>2</v>
      </c>
      <c r="O346" s="1" cm="1">
        <f t="array" ref="O346">_xlfn.IFS(N346=5,I346+0.15*I346,N346=4,I346+I346*0.1,N346=3,I346+I346*0.07,N346&lt;3,I346+I346*0.05)</f>
        <v>84782.25</v>
      </c>
    </row>
    <row r="347" spans="1:15" x14ac:dyDescent="0.3">
      <c r="A347" s="1" t="s">
        <v>1061</v>
      </c>
      <c r="B347" s="1" t="s">
        <v>44</v>
      </c>
      <c r="C347" s="1" t="s">
        <v>83</v>
      </c>
      <c r="D347" s="1" t="s">
        <v>24</v>
      </c>
      <c r="E347" s="1">
        <v>24</v>
      </c>
      <c r="F347" s="1" t="s">
        <v>50</v>
      </c>
      <c r="G347" s="1" t="s">
        <v>108</v>
      </c>
      <c r="H347" s="1" t="s">
        <v>1062</v>
      </c>
      <c r="I347" s="1">
        <v>67559</v>
      </c>
      <c r="J347" s="1" t="s">
        <v>34</v>
      </c>
      <c r="K347" s="1" t="s">
        <v>1063</v>
      </c>
      <c r="L347" s="1" t="s">
        <v>21</v>
      </c>
      <c r="M347" s="1" t="str">
        <f>_xlfn.XLOOKUP(Sheet1!F347,Departments!$A$2:$A$6,Departments!$B$2:$B$6)</f>
        <v>Finance</v>
      </c>
      <c r="N347" s="1">
        <f>_xlfn.XLOOKUP(A347,Performance!$A$2:$A$501,Performance!$C$2:$C$501)</f>
        <v>3</v>
      </c>
      <c r="O347" s="1" cm="1">
        <f t="array" ref="O347">_xlfn.IFS(N347=5,I347+0.15*I347,N347=4,I347+I347*0.1,N347=3,I347+I347*0.07,N347&lt;3,I347+I347*0.05)</f>
        <v>72288.13</v>
      </c>
    </row>
    <row r="348" spans="1:15" x14ac:dyDescent="0.3">
      <c r="A348" s="1" t="s">
        <v>1064</v>
      </c>
      <c r="B348" s="1" t="s">
        <v>58</v>
      </c>
      <c r="C348" s="1" t="s">
        <v>78</v>
      </c>
      <c r="D348" s="1" t="s">
        <v>24</v>
      </c>
      <c r="E348" s="1">
        <v>47</v>
      </c>
      <c r="F348" s="1" t="s">
        <v>39</v>
      </c>
      <c r="G348" s="1" t="s">
        <v>26</v>
      </c>
      <c r="H348" s="1" t="s">
        <v>1065</v>
      </c>
      <c r="I348" s="1">
        <v>106379</v>
      </c>
      <c r="J348" s="1" t="s">
        <v>34</v>
      </c>
      <c r="K348" s="1" t="s">
        <v>1066</v>
      </c>
      <c r="L348" s="1" t="s">
        <v>21</v>
      </c>
      <c r="M348" s="1" t="str">
        <f>_xlfn.XLOOKUP(Sheet1!F348,Departments!$A$2:$A$6,Departments!$B$2:$B$6)</f>
        <v>Marketing</v>
      </c>
      <c r="N348" s="1">
        <f>_xlfn.XLOOKUP(A348,Performance!$A$2:$A$501,Performance!$C$2:$C$501)</f>
        <v>1</v>
      </c>
      <c r="O348" s="1" cm="1">
        <f t="array" ref="O348">_xlfn.IFS(N348=5,I348+0.15*I348,N348=4,I348+I348*0.1,N348=3,I348+I348*0.07,N348&lt;3,I348+I348*0.05)</f>
        <v>111697.95</v>
      </c>
    </row>
    <row r="349" spans="1:15" x14ac:dyDescent="0.3">
      <c r="A349" s="1" t="s">
        <v>1067</v>
      </c>
      <c r="B349" s="1" t="s">
        <v>13</v>
      </c>
      <c r="C349" s="1" t="s">
        <v>63</v>
      </c>
      <c r="D349" s="1" t="s">
        <v>24</v>
      </c>
      <c r="E349" s="1">
        <v>30</v>
      </c>
      <c r="F349" s="1" t="s">
        <v>31</v>
      </c>
      <c r="G349" s="1" t="s">
        <v>26</v>
      </c>
      <c r="H349" s="1" t="s">
        <v>1068</v>
      </c>
      <c r="I349" s="1">
        <v>103395</v>
      </c>
      <c r="J349" s="1" t="s">
        <v>19</v>
      </c>
      <c r="K349" s="1" t="s">
        <v>1069</v>
      </c>
      <c r="L349" s="1" t="s">
        <v>36</v>
      </c>
      <c r="M349" s="1" t="str">
        <f>_xlfn.XLOOKUP(Sheet1!F349,Departments!$A$2:$A$6,Departments!$B$2:$B$6)</f>
        <v>Sales</v>
      </c>
      <c r="N349" s="1">
        <f>_xlfn.XLOOKUP(A349,Performance!$A$2:$A$501,Performance!$C$2:$C$501)</f>
        <v>2</v>
      </c>
      <c r="O349" s="1" cm="1">
        <f t="array" ref="O349">_xlfn.IFS(N349=5,I349+0.15*I349,N349=4,I349+I349*0.1,N349=3,I349+I349*0.07,N349&lt;3,I349+I349*0.05)</f>
        <v>108564.75</v>
      </c>
    </row>
    <row r="350" spans="1:15" x14ac:dyDescent="0.3">
      <c r="A350" s="1" t="s">
        <v>1070</v>
      </c>
      <c r="B350" s="1" t="s">
        <v>94</v>
      </c>
      <c r="C350" s="1" t="s">
        <v>130</v>
      </c>
      <c r="D350" s="1" t="s">
        <v>15</v>
      </c>
      <c r="E350" s="1">
        <v>33</v>
      </c>
      <c r="F350" s="1" t="s">
        <v>39</v>
      </c>
      <c r="G350" s="1" t="s">
        <v>32</v>
      </c>
      <c r="H350" s="1" t="s">
        <v>1071</v>
      </c>
      <c r="I350" s="1">
        <v>76025</v>
      </c>
      <c r="J350" s="1" t="s">
        <v>34</v>
      </c>
      <c r="K350" s="1" t="s">
        <v>1072</v>
      </c>
      <c r="L350" s="1" t="s">
        <v>36</v>
      </c>
      <c r="M350" s="1" t="str">
        <f>_xlfn.XLOOKUP(Sheet1!F350,Departments!$A$2:$A$6,Departments!$B$2:$B$6)</f>
        <v>Marketing</v>
      </c>
      <c r="N350" s="1">
        <f>_xlfn.XLOOKUP(A350,Performance!$A$2:$A$501,Performance!$C$2:$C$501)</f>
        <v>3</v>
      </c>
      <c r="O350" s="1" cm="1">
        <f t="array" ref="O350">_xlfn.IFS(N350=5,I350+0.15*I350,N350=4,I350+I350*0.1,N350=3,I350+I350*0.07,N350&lt;3,I350+I350*0.05)</f>
        <v>81346.75</v>
      </c>
    </row>
    <row r="351" spans="1:15" x14ac:dyDescent="0.3">
      <c r="A351" s="1" t="s">
        <v>1073</v>
      </c>
      <c r="B351" s="1" t="s">
        <v>49</v>
      </c>
      <c r="C351" s="1" t="s">
        <v>14</v>
      </c>
      <c r="D351" s="1" t="s">
        <v>15</v>
      </c>
      <c r="E351" s="1">
        <v>33</v>
      </c>
      <c r="F351" s="1" t="s">
        <v>31</v>
      </c>
      <c r="G351" s="1" t="s">
        <v>17</v>
      </c>
      <c r="H351" s="1" t="s">
        <v>1074</v>
      </c>
      <c r="I351" s="1">
        <v>69952</v>
      </c>
      <c r="J351" s="1" t="s">
        <v>60</v>
      </c>
      <c r="K351" s="1" t="s">
        <v>1075</v>
      </c>
      <c r="L351" s="1" t="s">
        <v>36</v>
      </c>
      <c r="M351" s="1" t="str">
        <f>_xlfn.XLOOKUP(Sheet1!F351,Departments!$A$2:$A$6,Departments!$B$2:$B$6)</f>
        <v>Sales</v>
      </c>
      <c r="N351" s="1">
        <f>_xlfn.XLOOKUP(A351,Performance!$A$2:$A$501,Performance!$C$2:$C$501)</f>
        <v>4</v>
      </c>
      <c r="O351" s="1" cm="1">
        <f t="array" ref="O351">_xlfn.IFS(N351=5,I351+0.15*I351,N351=4,I351+I351*0.1,N351=3,I351+I351*0.07,N351&lt;3,I351+I351*0.05)</f>
        <v>76947.199999999997</v>
      </c>
    </row>
    <row r="352" spans="1:15" x14ac:dyDescent="0.3">
      <c r="A352" s="1" t="s">
        <v>1076</v>
      </c>
      <c r="B352" s="1" t="s">
        <v>49</v>
      </c>
      <c r="C352" s="1" t="s">
        <v>45</v>
      </c>
      <c r="D352" s="1" t="s">
        <v>15</v>
      </c>
      <c r="E352" s="1">
        <v>42</v>
      </c>
      <c r="F352" s="1" t="s">
        <v>16</v>
      </c>
      <c r="G352" s="1" t="s">
        <v>26</v>
      </c>
      <c r="H352" s="1" t="s">
        <v>1077</v>
      </c>
      <c r="I352" s="1">
        <v>108637</v>
      </c>
      <c r="J352" s="1" t="s">
        <v>34</v>
      </c>
      <c r="K352" s="1" t="s">
        <v>1078</v>
      </c>
      <c r="L352" s="1" t="s">
        <v>36</v>
      </c>
      <c r="M352" s="1" t="str">
        <f>_xlfn.XLOOKUP(Sheet1!F352,Departments!$A$2:$A$6,Departments!$B$2:$B$6)</f>
        <v>HR</v>
      </c>
      <c r="N352" s="1">
        <f>_xlfn.XLOOKUP(A352,Performance!$A$2:$A$501,Performance!$C$2:$C$501)</f>
        <v>2</v>
      </c>
      <c r="O352" s="1" cm="1">
        <f t="array" ref="O352">_xlfn.IFS(N352=5,I352+0.15*I352,N352=4,I352+I352*0.1,N352=3,I352+I352*0.07,N352&lt;3,I352+I352*0.05)</f>
        <v>114068.85</v>
      </c>
    </row>
    <row r="353" spans="1:15" x14ac:dyDescent="0.3">
      <c r="A353" s="1" t="s">
        <v>1079</v>
      </c>
      <c r="B353" s="1" t="s">
        <v>44</v>
      </c>
      <c r="C353" s="1" t="s">
        <v>90</v>
      </c>
      <c r="D353" s="1" t="s">
        <v>15</v>
      </c>
      <c r="E353" s="1">
        <v>27</v>
      </c>
      <c r="F353" s="1" t="s">
        <v>31</v>
      </c>
      <c r="G353" s="1" t="s">
        <v>32</v>
      </c>
      <c r="H353" s="1" t="s">
        <v>1080</v>
      </c>
      <c r="I353" s="1">
        <v>65699</v>
      </c>
      <c r="J353" s="1" t="s">
        <v>34</v>
      </c>
      <c r="K353" s="1" t="s">
        <v>1081</v>
      </c>
      <c r="L353" s="1" t="s">
        <v>21</v>
      </c>
      <c r="M353" s="1" t="str">
        <f>_xlfn.XLOOKUP(Sheet1!F353,Departments!$A$2:$A$6,Departments!$B$2:$B$6)</f>
        <v>Sales</v>
      </c>
      <c r="N353" s="1">
        <f>_xlfn.XLOOKUP(A353,Performance!$A$2:$A$501,Performance!$C$2:$C$501)</f>
        <v>2</v>
      </c>
      <c r="O353" s="1" cm="1">
        <f t="array" ref="O353">_xlfn.IFS(N353=5,I353+0.15*I353,N353=4,I353+I353*0.1,N353=3,I353+I353*0.07,N353&lt;3,I353+I353*0.05)</f>
        <v>68983.95</v>
      </c>
    </row>
    <row r="354" spans="1:15" x14ac:dyDescent="0.3">
      <c r="A354" s="1" t="s">
        <v>1082</v>
      </c>
      <c r="B354" s="1" t="s">
        <v>143</v>
      </c>
      <c r="C354" s="1" t="s">
        <v>63</v>
      </c>
      <c r="D354" s="1" t="s">
        <v>24</v>
      </c>
      <c r="E354" s="1">
        <v>50</v>
      </c>
      <c r="F354" s="1" t="s">
        <v>16</v>
      </c>
      <c r="G354" s="1" t="s">
        <v>40</v>
      </c>
      <c r="H354" s="1" t="s">
        <v>1083</v>
      </c>
      <c r="I354" s="1">
        <v>90340</v>
      </c>
      <c r="J354" s="1" t="s">
        <v>19</v>
      </c>
      <c r="K354" s="1" t="s">
        <v>1084</v>
      </c>
      <c r="L354" s="1" t="s">
        <v>21</v>
      </c>
      <c r="M354" s="1" t="str">
        <f>_xlfn.XLOOKUP(Sheet1!F354,Departments!$A$2:$A$6,Departments!$B$2:$B$6)</f>
        <v>HR</v>
      </c>
      <c r="N354" s="1">
        <f>_xlfn.XLOOKUP(A354,Performance!$A$2:$A$501,Performance!$C$2:$C$501)</f>
        <v>1</v>
      </c>
      <c r="O354" s="1" cm="1">
        <f t="array" ref="O354">_xlfn.IFS(N354=5,I354+0.15*I354,N354=4,I354+I354*0.1,N354=3,I354+I354*0.07,N354&lt;3,I354+I354*0.05)</f>
        <v>94857</v>
      </c>
    </row>
    <row r="355" spans="1:15" x14ac:dyDescent="0.3">
      <c r="A355" s="1" t="s">
        <v>1085</v>
      </c>
      <c r="B355" s="1" t="s">
        <v>71</v>
      </c>
      <c r="C355" s="1" t="s">
        <v>95</v>
      </c>
      <c r="D355" s="1" t="s">
        <v>15</v>
      </c>
      <c r="E355" s="1">
        <v>31</v>
      </c>
      <c r="F355" s="1" t="s">
        <v>25</v>
      </c>
      <c r="G355" s="1" t="s">
        <v>40</v>
      </c>
      <c r="H355" s="1" t="s">
        <v>1086</v>
      </c>
      <c r="I355" s="1">
        <v>114818</v>
      </c>
      <c r="J355" s="1" t="s">
        <v>34</v>
      </c>
      <c r="K355" s="1" t="s">
        <v>1087</v>
      </c>
      <c r="L355" s="1" t="s">
        <v>36</v>
      </c>
      <c r="M355" s="1" t="str">
        <f>_xlfn.XLOOKUP(Sheet1!F355,Departments!$A$2:$A$6,Departments!$B$2:$B$6)</f>
        <v>IT</v>
      </c>
      <c r="N355" s="1">
        <f>_xlfn.XLOOKUP(A355,Performance!$A$2:$A$501,Performance!$C$2:$C$501)</f>
        <v>1</v>
      </c>
      <c r="O355" s="1" cm="1">
        <f t="array" ref="O355">_xlfn.IFS(N355=5,I355+0.15*I355,N355=4,I355+I355*0.1,N355=3,I355+I355*0.07,N355&lt;3,I355+I355*0.05)</f>
        <v>120558.9</v>
      </c>
    </row>
    <row r="356" spans="1:15" x14ac:dyDescent="0.3">
      <c r="A356" s="1" t="s">
        <v>1088</v>
      </c>
      <c r="B356" s="1" t="s">
        <v>54</v>
      </c>
      <c r="C356" s="1" t="s">
        <v>14</v>
      </c>
      <c r="D356" s="1" t="s">
        <v>15</v>
      </c>
      <c r="E356" s="1">
        <v>39</v>
      </c>
      <c r="F356" s="1" t="s">
        <v>31</v>
      </c>
      <c r="G356" s="1" t="s">
        <v>108</v>
      </c>
      <c r="H356" s="1" t="s">
        <v>1089</v>
      </c>
      <c r="I356" s="1">
        <v>82417</v>
      </c>
      <c r="J356" s="1" t="s">
        <v>34</v>
      </c>
      <c r="K356" s="1" t="s">
        <v>1090</v>
      </c>
      <c r="L356" s="1" t="s">
        <v>36</v>
      </c>
      <c r="M356" s="1" t="str">
        <f>_xlfn.XLOOKUP(Sheet1!F356,Departments!$A$2:$A$6,Departments!$B$2:$B$6)</f>
        <v>Sales</v>
      </c>
      <c r="N356" s="1">
        <f>_xlfn.XLOOKUP(A356,Performance!$A$2:$A$501,Performance!$C$2:$C$501)</f>
        <v>5</v>
      </c>
      <c r="O356" s="1" cm="1">
        <f t="array" ref="O356">_xlfn.IFS(N356=5,I356+0.15*I356,N356=4,I356+I356*0.1,N356=3,I356+I356*0.07,N356&lt;3,I356+I356*0.05)</f>
        <v>94779.55</v>
      </c>
    </row>
    <row r="357" spans="1:15" x14ac:dyDescent="0.3">
      <c r="A357" s="1" t="s">
        <v>1091</v>
      </c>
      <c r="B357" s="1" t="s">
        <v>54</v>
      </c>
      <c r="C357" s="1" t="s">
        <v>90</v>
      </c>
      <c r="D357" s="1" t="s">
        <v>24</v>
      </c>
      <c r="E357" s="1">
        <v>38</v>
      </c>
      <c r="F357" s="1" t="s">
        <v>39</v>
      </c>
      <c r="G357" s="1" t="s">
        <v>17</v>
      </c>
      <c r="H357" s="1" t="s">
        <v>1092</v>
      </c>
      <c r="I357" s="1">
        <v>116569</v>
      </c>
      <c r="J357" s="1" t="s">
        <v>80</v>
      </c>
      <c r="K357" s="1" t="s">
        <v>1093</v>
      </c>
      <c r="L357" s="1" t="s">
        <v>21</v>
      </c>
      <c r="M357" s="1" t="str">
        <f>_xlfn.XLOOKUP(Sheet1!F357,Departments!$A$2:$A$6,Departments!$B$2:$B$6)</f>
        <v>Marketing</v>
      </c>
      <c r="N357" s="1">
        <f>_xlfn.XLOOKUP(A357,Performance!$A$2:$A$501,Performance!$C$2:$C$501)</f>
        <v>1</v>
      </c>
      <c r="O357" s="1" cm="1">
        <f t="array" ref="O357">_xlfn.IFS(N357=5,I357+0.15*I357,N357=4,I357+I357*0.1,N357=3,I357+I357*0.07,N357&lt;3,I357+I357*0.05)</f>
        <v>122397.45</v>
      </c>
    </row>
    <row r="358" spans="1:15" x14ac:dyDescent="0.3">
      <c r="A358" s="1" t="s">
        <v>1094</v>
      </c>
      <c r="B358" s="1" t="s">
        <v>58</v>
      </c>
      <c r="C358" s="1" t="s">
        <v>83</v>
      </c>
      <c r="D358" s="1" t="s">
        <v>24</v>
      </c>
      <c r="E358" s="1">
        <v>37</v>
      </c>
      <c r="F358" s="1" t="s">
        <v>50</v>
      </c>
      <c r="G358" s="1" t="s">
        <v>26</v>
      </c>
      <c r="H358" s="1" t="s">
        <v>1095</v>
      </c>
      <c r="I358" s="1">
        <v>98489</v>
      </c>
      <c r="J358" s="1" t="s">
        <v>60</v>
      </c>
      <c r="K358" s="1" t="s">
        <v>1096</v>
      </c>
      <c r="L358" s="1" t="s">
        <v>36</v>
      </c>
      <c r="M358" s="1" t="str">
        <f>_xlfn.XLOOKUP(Sheet1!F358,Departments!$A$2:$A$6,Departments!$B$2:$B$6)</f>
        <v>Finance</v>
      </c>
      <c r="N358" s="1">
        <f>_xlfn.XLOOKUP(A358,Performance!$A$2:$A$501,Performance!$C$2:$C$501)</f>
        <v>4</v>
      </c>
      <c r="O358" s="1" cm="1">
        <f t="array" ref="O358">_xlfn.IFS(N358=5,I358+0.15*I358,N358=4,I358+I358*0.1,N358=3,I358+I358*0.07,N358&lt;3,I358+I358*0.05)</f>
        <v>108337.9</v>
      </c>
    </row>
    <row r="359" spans="1:15" x14ac:dyDescent="0.3">
      <c r="A359" s="1" t="s">
        <v>1097</v>
      </c>
      <c r="B359" s="1" t="s">
        <v>58</v>
      </c>
      <c r="C359" s="1" t="s">
        <v>95</v>
      </c>
      <c r="D359" s="1" t="s">
        <v>15</v>
      </c>
      <c r="E359" s="1">
        <v>58</v>
      </c>
      <c r="F359" s="1" t="s">
        <v>31</v>
      </c>
      <c r="G359" s="1" t="s">
        <v>26</v>
      </c>
      <c r="H359" s="1" t="s">
        <v>1098</v>
      </c>
      <c r="I359" s="1">
        <v>60665</v>
      </c>
      <c r="J359" s="1" t="s">
        <v>60</v>
      </c>
      <c r="K359" s="1" t="s">
        <v>1099</v>
      </c>
      <c r="L359" s="1" t="s">
        <v>36</v>
      </c>
      <c r="M359" s="1" t="str">
        <f>_xlfn.XLOOKUP(Sheet1!F359,Departments!$A$2:$A$6,Departments!$B$2:$B$6)</f>
        <v>Sales</v>
      </c>
      <c r="N359" s="1">
        <f>_xlfn.XLOOKUP(A359,Performance!$A$2:$A$501,Performance!$C$2:$C$501)</f>
        <v>5</v>
      </c>
      <c r="O359" s="1" cm="1">
        <f t="array" ref="O359">_xlfn.IFS(N359=5,I359+0.15*I359,N359=4,I359+I359*0.1,N359=3,I359+I359*0.07,N359&lt;3,I359+I359*0.05)</f>
        <v>69764.75</v>
      </c>
    </row>
    <row r="360" spans="1:15" x14ac:dyDescent="0.3">
      <c r="A360" s="1" t="s">
        <v>1100</v>
      </c>
      <c r="B360" s="1" t="s">
        <v>30</v>
      </c>
      <c r="C360" s="1" t="s">
        <v>130</v>
      </c>
      <c r="D360" s="1" t="s">
        <v>24</v>
      </c>
      <c r="E360" s="1">
        <v>59</v>
      </c>
      <c r="F360" s="1" t="s">
        <v>25</v>
      </c>
      <c r="G360" s="1" t="s">
        <v>40</v>
      </c>
      <c r="H360" s="1" t="s">
        <v>1101</v>
      </c>
      <c r="I360" s="1">
        <v>91685</v>
      </c>
      <c r="J360" s="1" t="s">
        <v>19</v>
      </c>
      <c r="K360" s="1" t="s">
        <v>1102</v>
      </c>
      <c r="L360" s="1" t="s">
        <v>36</v>
      </c>
      <c r="M360" s="1" t="str">
        <f>_xlfn.XLOOKUP(Sheet1!F360,Departments!$A$2:$A$6,Departments!$B$2:$B$6)</f>
        <v>IT</v>
      </c>
      <c r="N360" s="1">
        <f>_xlfn.XLOOKUP(A360,Performance!$A$2:$A$501,Performance!$C$2:$C$501)</f>
        <v>3</v>
      </c>
      <c r="O360" s="1" cm="1">
        <f t="array" ref="O360">_xlfn.IFS(N360=5,I360+0.15*I360,N360=4,I360+I360*0.1,N360=3,I360+I360*0.07,N360&lt;3,I360+I360*0.05)</f>
        <v>98102.95</v>
      </c>
    </row>
    <row r="361" spans="1:15" x14ac:dyDescent="0.3">
      <c r="A361" s="1" t="s">
        <v>1103</v>
      </c>
      <c r="B361" s="1" t="s">
        <v>58</v>
      </c>
      <c r="C361" s="1" t="s">
        <v>130</v>
      </c>
      <c r="D361" s="1" t="s">
        <v>15</v>
      </c>
      <c r="E361" s="1">
        <v>55</v>
      </c>
      <c r="F361" s="1" t="s">
        <v>50</v>
      </c>
      <c r="G361" s="1" t="s">
        <v>108</v>
      </c>
      <c r="H361" s="1" t="s">
        <v>1104</v>
      </c>
      <c r="I361" s="1">
        <v>76843</v>
      </c>
      <c r="J361" s="1" t="s">
        <v>60</v>
      </c>
      <c r="K361" s="1" t="s">
        <v>1105</v>
      </c>
      <c r="L361" s="1" t="s">
        <v>21</v>
      </c>
      <c r="M361" s="1" t="str">
        <f>_xlfn.XLOOKUP(Sheet1!F361,Departments!$A$2:$A$6,Departments!$B$2:$B$6)</f>
        <v>Finance</v>
      </c>
      <c r="N361" s="1">
        <f>_xlfn.XLOOKUP(A361,Performance!$A$2:$A$501,Performance!$C$2:$C$501)</f>
        <v>3</v>
      </c>
      <c r="O361" s="1" cm="1">
        <f t="array" ref="O361">_xlfn.IFS(N361=5,I361+0.15*I361,N361=4,I361+I361*0.1,N361=3,I361+I361*0.07,N361&lt;3,I361+I361*0.05)</f>
        <v>82222.009999999995</v>
      </c>
    </row>
    <row r="362" spans="1:15" x14ac:dyDescent="0.3">
      <c r="A362" s="1" t="s">
        <v>1106</v>
      </c>
      <c r="B362" s="1" t="s">
        <v>58</v>
      </c>
      <c r="C362" s="1" t="s">
        <v>14</v>
      </c>
      <c r="D362" s="1" t="s">
        <v>24</v>
      </c>
      <c r="E362" s="1">
        <v>35</v>
      </c>
      <c r="F362" s="1" t="s">
        <v>39</v>
      </c>
      <c r="G362" s="1" t="s">
        <v>40</v>
      </c>
      <c r="H362" s="1" t="s">
        <v>1107</v>
      </c>
      <c r="I362" s="1">
        <v>91860</v>
      </c>
      <c r="J362" s="1" t="s">
        <v>60</v>
      </c>
      <c r="K362" s="1" t="s">
        <v>1108</v>
      </c>
      <c r="L362" s="1" t="s">
        <v>21</v>
      </c>
      <c r="M362" s="1" t="str">
        <f>_xlfn.XLOOKUP(Sheet1!F362,Departments!$A$2:$A$6,Departments!$B$2:$B$6)</f>
        <v>Marketing</v>
      </c>
      <c r="N362" s="1">
        <f>_xlfn.XLOOKUP(A362,Performance!$A$2:$A$501,Performance!$C$2:$C$501)</f>
        <v>4</v>
      </c>
      <c r="O362" s="1" cm="1">
        <f t="array" ref="O362">_xlfn.IFS(N362=5,I362+0.15*I362,N362=4,I362+I362*0.1,N362=3,I362+I362*0.07,N362&lt;3,I362+I362*0.05)</f>
        <v>101046</v>
      </c>
    </row>
    <row r="363" spans="1:15" x14ac:dyDescent="0.3">
      <c r="A363" s="1" t="s">
        <v>1109</v>
      </c>
      <c r="B363" s="1" t="s">
        <v>71</v>
      </c>
      <c r="C363" s="1" t="s">
        <v>14</v>
      </c>
      <c r="D363" s="1" t="s">
        <v>24</v>
      </c>
      <c r="E363" s="1">
        <v>60</v>
      </c>
      <c r="F363" s="1" t="s">
        <v>16</v>
      </c>
      <c r="G363" s="1" t="s">
        <v>17</v>
      </c>
      <c r="H363" s="1" t="s">
        <v>1110</v>
      </c>
      <c r="I363" s="1">
        <v>117041</v>
      </c>
      <c r="J363" s="1" t="s">
        <v>19</v>
      </c>
      <c r="K363" s="1" t="s">
        <v>1111</v>
      </c>
      <c r="L363" s="1" t="s">
        <v>36</v>
      </c>
      <c r="M363" s="1" t="str">
        <f>_xlfn.XLOOKUP(Sheet1!F363,Departments!$A$2:$A$6,Departments!$B$2:$B$6)</f>
        <v>HR</v>
      </c>
      <c r="N363" s="1">
        <f>_xlfn.XLOOKUP(A363,Performance!$A$2:$A$501,Performance!$C$2:$C$501)</f>
        <v>5</v>
      </c>
      <c r="O363" s="1" cm="1">
        <f t="array" ref="O363">_xlfn.IFS(N363=5,I363+0.15*I363,N363=4,I363+I363*0.1,N363=3,I363+I363*0.07,N363&lt;3,I363+I363*0.05)</f>
        <v>134597.15</v>
      </c>
    </row>
    <row r="364" spans="1:15" x14ac:dyDescent="0.3">
      <c r="A364" s="1" t="s">
        <v>1112</v>
      </c>
      <c r="B364" s="1" t="s">
        <v>13</v>
      </c>
      <c r="C364" s="1" t="s">
        <v>14</v>
      </c>
      <c r="D364" s="1" t="s">
        <v>24</v>
      </c>
      <c r="E364" s="1">
        <v>45</v>
      </c>
      <c r="F364" s="1" t="s">
        <v>31</v>
      </c>
      <c r="G364" s="1" t="s">
        <v>108</v>
      </c>
      <c r="H364" s="1" t="s">
        <v>1113</v>
      </c>
      <c r="I364" s="1">
        <v>93769</v>
      </c>
      <c r="J364" s="1" t="s">
        <v>80</v>
      </c>
      <c r="K364" s="1" t="s">
        <v>1114</v>
      </c>
      <c r="L364" s="1" t="s">
        <v>21</v>
      </c>
      <c r="M364" s="1" t="str">
        <f>_xlfn.XLOOKUP(Sheet1!F364,Departments!$A$2:$A$6,Departments!$B$2:$B$6)</f>
        <v>Sales</v>
      </c>
      <c r="N364" s="1">
        <f>_xlfn.XLOOKUP(A364,Performance!$A$2:$A$501,Performance!$C$2:$C$501)</f>
        <v>5</v>
      </c>
      <c r="O364" s="1" cm="1">
        <f t="array" ref="O364">_xlfn.IFS(N364=5,I364+0.15*I364,N364=4,I364+I364*0.1,N364=3,I364+I364*0.07,N364&lt;3,I364+I364*0.05)</f>
        <v>107834.35</v>
      </c>
    </row>
    <row r="365" spans="1:15" x14ac:dyDescent="0.3">
      <c r="A365" s="1" t="s">
        <v>1115</v>
      </c>
      <c r="B365" s="1" t="s">
        <v>143</v>
      </c>
      <c r="C365" s="1" t="s">
        <v>165</v>
      </c>
      <c r="D365" s="1" t="s">
        <v>24</v>
      </c>
      <c r="E365" s="1">
        <v>37</v>
      </c>
      <c r="F365" s="1" t="s">
        <v>50</v>
      </c>
      <c r="G365" s="1" t="s">
        <v>108</v>
      </c>
      <c r="H365" s="1" t="s">
        <v>1116</v>
      </c>
      <c r="I365" s="1">
        <v>43224</v>
      </c>
      <c r="J365" s="1" t="s">
        <v>34</v>
      </c>
      <c r="K365" s="1" t="s">
        <v>1117</v>
      </c>
      <c r="L365" s="1" t="s">
        <v>21</v>
      </c>
      <c r="M365" s="1" t="str">
        <f>_xlfn.XLOOKUP(Sheet1!F365,Departments!$A$2:$A$6,Departments!$B$2:$B$6)</f>
        <v>Finance</v>
      </c>
      <c r="N365" s="1">
        <f>_xlfn.XLOOKUP(A365,Performance!$A$2:$A$501,Performance!$C$2:$C$501)</f>
        <v>3</v>
      </c>
      <c r="O365" s="1" cm="1">
        <f t="array" ref="O365">_xlfn.IFS(N365=5,I365+0.15*I365,N365=4,I365+I365*0.1,N365=3,I365+I365*0.07,N365&lt;3,I365+I365*0.05)</f>
        <v>46249.68</v>
      </c>
    </row>
    <row r="366" spans="1:15" x14ac:dyDescent="0.3">
      <c r="A366" s="1" t="s">
        <v>1118</v>
      </c>
      <c r="B366" s="1" t="s">
        <v>143</v>
      </c>
      <c r="C366" s="1" t="s">
        <v>14</v>
      </c>
      <c r="D366" s="1" t="s">
        <v>24</v>
      </c>
      <c r="E366" s="1">
        <v>43</v>
      </c>
      <c r="F366" s="1" t="s">
        <v>50</v>
      </c>
      <c r="G366" s="1" t="s">
        <v>26</v>
      </c>
      <c r="H366" s="1" t="s">
        <v>1119</v>
      </c>
      <c r="I366" s="1">
        <v>101866</v>
      </c>
      <c r="J366" s="1" t="s">
        <v>80</v>
      </c>
      <c r="K366" s="1" t="s">
        <v>1120</v>
      </c>
      <c r="L366" s="1" t="s">
        <v>36</v>
      </c>
      <c r="M366" s="1" t="str">
        <f>_xlfn.XLOOKUP(Sheet1!F366,Departments!$A$2:$A$6,Departments!$B$2:$B$6)</f>
        <v>Finance</v>
      </c>
      <c r="N366" s="1">
        <f>_xlfn.XLOOKUP(A366,Performance!$A$2:$A$501,Performance!$C$2:$C$501)</f>
        <v>3</v>
      </c>
      <c r="O366" s="1" cm="1">
        <f t="array" ref="O366">_xlfn.IFS(N366=5,I366+0.15*I366,N366=4,I366+I366*0.1,N366=3,I366+I366*0.07,N366&lt;3,I366+I366*0.05)</f>
        <v>108996.62</v>
      </c>
    </row>
    <row r="367" spans="1:15" x14ac:dyDescent="0.3">
      <c r="A367" s="1" t="s">
        <v>1121</v>
      </c>
      <c r="B367" s="1" t="s">
        <v>49</v>
      </c>
      <c r="C367" s="1" t="s">
        <v>95</v>
      </c>
      <c r="D367" s="1" t="s">
        <v>15</v>
      </c>
      <c r="E367" s="1">
        <v>56</v>
      </c>
      <c r="F367" s="1" t="s">
        <v>39</v>
      </c>
      <c r="G367" s="1" t="s">
        <v>40</v>
      </c>
      <c r="H367" s="1" t="s">
        <v>1122</v>
      </c>
      <c r="I367" s="1">
        <v>101636</v>
      </c>
      <c r="J367" s="1" t="s">
        <v>80</v>
      </c>
      <c r="K367" s="1" t="s">
        <v>1123</v>
      </c>
      <c r="L367" s="1" t="s">
        <v>36</v>
      </c>
      <c r="M367" s="1" t="str">
        <f>_xlfn.XLOOKUP(Sheet1!F367,Departments!$A$2:$A$6,Departments!$B$2:$B$6)</f>
        <v>Marketing</v>
      </c>
      <c r="N367" s="1">
        <f>_xlfn.XLOOKUP(A367,Performance!$A$2:$A$501,Performance!$C$2:$C$501)</f>
        <v>3</v>
      </c>
      <c r="O367" s="1" cm="1">
        <f t="array" ref="O367">_xlfn.IFS(N367=5,I367+0.15*I367,N367=4,I367+I367*0.1,N367=3,I367+I367*0.07,N367&lt;3,I367+I367*0.05)</f>
        <v>108750.52</v>
      </c>
    </row>
    <row r="368" spans="1:15" x14ac:dyDescent="0.3">
      <c r="A368" s="1" t="s">
        <v>1124</v>
      </c>
      <c r="B368" s="1" t="s">
        <v>54</v>
      </c>
      <c r="C368" s="1" t="s">
        <v>78</v>
      </c>
      <c r="D368" s="1" t="s">
        <v>24</v>
      </c>
      <c r="E368" s="1">
        <v>42</v>
      </c>
      <c r="F368" s="1" t="s">
        <v>25</v>
      </c>
      <c r="G368" s="1" t="s">
        <v>17</v>
      </c>
      <c r="H368" s="1" t="s">
        <v>1125</v>
      </c>
      <c r="I368" s="1">
        <v>106833</v>
      </c>
      <c r="J368" s="1" t="s">
        <v>19</v>
      </c>
      <c r="K368" s="1" t="s">
        <v>1126</v>
      </c>
      <c r="L368" s="1" t="s">
        <v>36</v>
      </c>
      <c r="M368" s="1" t="str">
        <f>_xlfn.XLOOKUP(Sheet1!F368,Departments!$A$2:$A$6,Departments!$B$2:$B$6)</f>
        <v>IT</v>
      </c>
      <c r="N368" s="1">
        <f>_xlfn.XLOOKUP(A368,Performance!$A$2:$A$501,Performance!$C$2:$C$501)</f>
        <v>5</v>
      </c>
      <c r="O368" s="1" cm="1">
        <f t="array" ref="O368">_xlfn.IFS(N368=5,I368+0.15*I368,N368=4,I368+I368*0.1,N368=3,I368+I368*0.07,N368&lt;3,I368+I368*0.05)</f>
        <v>122857.95</v>
      </c>
    </row>
    <row r="369" spans="1:15" x14ac:dyDescent="0.3">
      <c r="A369" s="1" t="s">
        <v>1127</v>
      </c>
      <c r="B369" s="1" t="s">
        <v>30</v>
      </c>
      <c r="C369" s="1" t="s">
        <v>45</v>
      </c>
      <c r="D369" s="1" t="s">
        <v>15</v>
      </c>
      <c r="E369" s="1">
        <v>42</v>
      </c>
      <c r="F369" s="1" t="s">
        <v>16</v>
      </c>
      <c r="G369" s="1" t="s">
        <v>32</v>
      </c>
      <c r="H369" s="1" t="s">
        <v>1128</v>
      </c>
      <c r="I369" s="1">
        <v>75163</v>
      </c>
      <c r="J369" s="1" t="s">
        <v>34</v>
      </c>
      <c r="K369" s="1" t="s">
        <v>1129</v>
      </c>
      <c r="L369" s="1" t="s">
        <v>21</v>
      </c>
      <c r="M369" s="1" t="str">
        <f>_xlfn.XLOOKUP(Sheet1!F369,Departments!$A$2:$A$6,Departments!$B$2:$B$6)</f>
        <v>HR</v>
      </c>
      <c r="N369" s="1">
        <f>_xlfn.XLOOKUP(A369,Performance!$A$2:$A$501,Performance!$C$2:$C$501)</f>
        <v>2</v>
      </c>
      <c r="O369" s="1" cm="1">
        <f t="array" ref="O369">_xlfn.IFS(N369=5,I369+0.15*I369,N369=4,I369+I369*0.1,N369=3,I369+I369*0.07,N369&lt;3,I369+I369*0.05)</f>
        <v>78921.149999999994</v>
      </c>
    </row>
    <row r="370" spans="1:15" x14ac:dyDescent="0.3">
      <c r="A370" s="1" t="s">
        <v>1130</v>
      </c>
      <c r="B370" s="1" t="s">
        <v>58</v>
      </c>
      <c r="C370" s="1" t="s">
        <v>130</v>
      </c>
      <c r="D370" s="1" t="s">
        <v>24</v>
      </c>
      <c r="E370" s="1">
        <v>41</v>
      </c>
      <c r="F370" s="1" t="s">
        <v>50</v>
      </c>
      <c r="G370" s="1" t="s">
        <v>26</v>
      </c>
      <c r="H370" s="1" t="s">
        <v>1131</v>
      </c>
      <c r="I370" s="1">
        <v>86763</v>
      </c>
      <c r="J370" s="1" t="s">
        <v>60</v>
      </c>
      <c r="K370" s="1" t="s">
        <v>1132</v>
      </c>
      <c r="L370" s="1" t="s">
        <v>36</v>
      </c>
      <c r="M370" s="1" t="str">
        <f>_xlfn.XLOOKUP(Sheet1!F370,Departments!$A$2:$A$6,Departments!$B$2:$B$6)</f>
        <v>Finance</v>
      </c>
      <c r="N370" s="1">
        <f>_xlfn.XLOOKUP(A370,Performance!$A$2:$A$501,Performance!$C$2:$C$501)</f>
        <v>5</v>
      </c>
      <c r="O370" s="1" cm="1">
        <f t="array" ref="O370">_xlfn.IFS(N370=5,I370+0.15*I370,N370=4,I370+I370*0.1,N370=3,I370+I370*0.07,N370&lt;3,I370+I370*0.05)</f>
        <v>99777.45</v>
      </c>
    </row>
    <row r="371" spans="1:15" x14ac:dyDescent="0.3">
      <c r="A371" s="1" t="s">
        <v>1133</v>
      </c>
      <c r="B371" s="1" t="s">
        <v>94</v>
      </c>
      <c r="C371" s="1" t="s">
        <v>130</v>
      </c>
      <c r="D371" s="1" t="s">
        <v>15</v>
      </c>
      <c r="E371" s="1">
        <v>49</v>
      </c>
      <c r="F371" s="1" t="s">
        <v>50</v>
      </c>
      <c r="G371" s="1" t="s">
        <v>40</v>
      </c>
      <c r="H371" s="1" t="s">
        <v>1134</v>
      </c>
      <c r="I371" s="1">
        <v>54974</v>
      </c>
      <c r="J371" s="1" t="s">
        <v>80</v>
      </c>
      <c r="K371" s="1" t="s">
        <v>1135</v>
      </c>
      <c r="L371" s="1" t="s">
        <v>36</v>
      </c>
      <c r="M371" s="1" t="str">
        <f>_xlfn.XLOOKUP(Sheet1!F371,Departments!$A$2:$A$6,Departments!$B$2:$B$6)</f>
        <v>Finance</v>
      </c>
      <c r="N371" s="1">
        <f>_xlfn.XLOOKUP(A371,Performance!$A$2:$A$501,Performance!$C$2:$C$501)</f>
        <v>2</v>
      </c>
      <c r="O371" s="1" cm="1">
        <f t="array" ref="O371">_xlfn.IFS(N371=5,I371+0.15*I371,N371=4,I371+I371*0.1,N371=3,I371+I371*0.07,N371&lt;3,I371+I371*0.05)</f>
        <v>57722.7</v>
      </c>
    </row>
    <row r="372" spans="1:15" x14ac:dyDescent="0.3">
      <c r="A372" s="1" t="s">
        <v>1136</v>
      </c>
      <c r="B372" s="1" t="s">
        <v>143</v>
      </c>
      <c r="C372" s="1" t="s">
        <v>63</v>
      </c>
      <c r="D372" s="1" t="s">
        <v>15</v>
      </c>
      <c r="E372" s="1">
        <v>30</v>
      </c>
      <c r="F372" s="1" t="s">
        <v>31</v>
      </c>
      <c r="G372" s="1" t="s">
        <v>32</v>
      </c>
      <c r="H372" s="1" t="s">
        <v>1137</v>
      </c>
      <c r="I372" s="1">
        <v>74728</v>
      </c>
      <c r="J372" s="1" t="s">
        <v>19</v>
      </c>
      <c r="K372" s="1" t="s">
        <v>1138</v>
      </c>
      <c r="L372" s="1" t="s">
        <v>36</v>
      </c>
      <c r="M372" s="1" t="str">
        <f>_xlfn.XLOOKUP(Sheet1!F372,Departments!$A$2:$A$6,Departments!$B$2:$B$6)</f>
        <v>Sales</v>
      </c>
      <c r="N372" s="1">
        <f>_xlfn.XLOOKUP(A372,Performance!$A$2:$A$501,Performance!$C$2:$C$501)</f>
        <v>4</v>
      </c>
      <c r="O372" s="1" cm="1">
        <f t="array" ref="O372">_xlfn.IFS(N372=5,I372+0.15*I372,N372=4,I372+I372*0.1,N372=3,I372+I372*0.07,N372&lt;3,I372+I372*0.05)</f>
        <v>82200.800000000003</v>
      </c>
    </row>
    <row r="373" spans="1:15" x14ac:dyDescent="0.3">
      <c r="A373" s="1" t="s">
        <v>1139</v>
      </c>
      <c r="B373" s="1" t="s">
        <v>13</v>
      </c>
      <c r="C373" s="1" t="s">
        <v>130</v>
      </c>
      <c r="D373" s="1" t="s">
        <v>24</v>
      </c>
      <c r="E373" s="1">
        <v>58</v>
      </c>
      <c r="F373" s="1" t="s">
        <v>31</v>
      </c>
      <c r="G373" s="1" t="s">
        <v>40</v>
      </c>
      <c r="H373" s="1" t="s">
        <v>196</v>
      </c>
      <c r="I373" s="1">
        <v>88207</v>
      </c>
      <c r="J373" s="1" t="s">
        <v>80</v>
      </c>
      <c r="K373" s="1" t="s">
        <v>1140</v>
      </c>
      <c r="L373" s="1" t="s">
        <v>36</v>
      </c>
      <c r="M373" s="1" t="str">
        <f>_xlfn.XLOOKUP(Sheet1!F373,Departments!$A$2:$A$6,Departments!$B$2:$B$6)</f>
        <v>Sales</v>
      </c>
      <c r="N373" s="1">
        <f>_xlfn.XLOOKUP(A373,Performance!$A$2:$A$501,Performance!$C$2:$C$501)</f>
        <v>1</v>
      </c>
      <c r="O373" s="1" cm="1">
        <f t="array" ref="O373">_xlfn.IFS(N373=5,I373+0.15*I373,N373=4,I373+I373*0.1,N373=3,I373+I373*0.07,N373&lt;3,I373+I373*0.05)</f>
        <v>92617.35</v>
      </c>
    </row>
    <row r="374" spans="1:15" x14ac:dyDescent="0.3">
      <c r="A374" s="1" t="s">
        <v>1141</v>
      </c>
      <c r="B374" s="1" t="s">
        <v>30</v>
      </c>
      <c r="C374" s="1" t="s">
        <v>78</v>
      </c>
      <c r="D374" s="1" t="s">
        <v>24</v>
      </c>
      <c r="E374" s="1">
        <v>56</v>
      </c>
      <c r="F374" s="1" t="s">
        <v>39</v>
      </c>
      <c r="G374" s="1" t="s">
        <v>40</v>
      </c>
      <c r="H374" s="1" t="s">
        <v>618</v>
      </c>
      <c r="I374" s="1">
        <v>96878</v>
      </c>
      <c r="J374" s="1" t="s">
        <v>60</v>
      </c>
      <c r="K374" s="1" t="s">
        <v>1142</v>
      </c>
      <c r="L374" s="1" t="s">
        <v>21</v>
      </c>
      <c r="M374" s="1" t="str">
        <f>_xlfn.XLOOKUP(Sheet1!F374,Departments!$A$2:$A$6,Departments!$B$2:$B$6)</f>
        <v>Marketing</v>
      </c>
      <c r="N374" s="1">
        <f>_xlfn.XLOOKUP(A374,Performance!$A$2:$A$501,Performance!$C$2:$C$501)</f>
        <v>5</v>
      </c>
      <c r="O374" s="1" cm="1">
        <f t="array" ref="O374">_xlfn.IFS(N374=5,I374+0.15*I374,N374=4,I374+I374*0.1,N374=3,I374+I374*0.07,N374&lt;3,I374+I374*0.05)</f>
        <v>111409.7</v>
      </c>
    </row>
    <row r="375" spans="1:15" x14ac:dyDescent="0.3">
      <c r="A375" s="1" t="s">
        <v>1143</v>
      </c>
      <c r="B375" s="1" t="s">
        <v>54</v>
      </c>
      <c r="C375" s="1" t="s">
        <v>90</v>
      </c>
      <c r="D375" s="1" t="s">
        <v>15</v>
      </c>
      <c r="E375" s="1">
        <v>27</v>
      </c>
      <c r="F375" s="1" t="s">
        <v>25</v>
      </c>
      <c r="G375" s="1" t="s">
        <v>40</v>
      </c>
      <c r="H375" s="1" t="s">
        <v>1144</v>
      </c>
      <c r="I375" s="1">
        <v>49341</v>
      </c>
      <c r="J375" s="1" t="s">
        <v>60</v>
      </c>
      <c r="K375" s="1" t="s">
        <v>1145</v>
      </c>
      <c r="L375" s="1" t="s">
        <v>36</v>
      </c>
      <c r="M375" s="1" t="str">
        <f>_xlfn.XLOOKUP(Sheet1!F375,Departments!$A$2:$A$6,Departments!$B$2:$B$6)</f>
        <v>IT</v>
      </c>
      <c r="N375" s="1">
        <f>_xlfn.XLOOKUP(A375,Performance!$A$2:$A$501,Performance!$C$2:$C$501)</f>
        <v>5</v>
      </c>
      <c r="O375" s="1" cm="1">
        <f t="array" ref="O375">_xlfn.IFS(N375=5,I375+0.15*I375,N375=4,I375+I375*0.1,N375=3,I375+I375*0.07,N375&lt;3,I375+I375*0.05)</f>
        <v>56742.15</v>
      </c>
    </row>
    <row r="376" spans="1:15" x14ac:dyDescent="0.3">
      <c r="A376" s="1" t="s">
        <v>1146</v>
      </c>
      <c r="B376" s="1" t="s">
        <v>13</v>
      </c>
      <c r="C376" s="1" t="s">
        <v>165</v>
      </c>
      <c r="D376" s="1" t="s">
        <v>15</v>
      </c>
      <c r="E376" s="1">
        <v>57</v>
      </c>
      <c r="F376" s="1" t="s">
        <v>39</v>
      </c>
      <c r="G376" s="1" t="s">
        <v>26</v>
      </c>
      <c r="H376" s="1" t="s">
        <v>1147</v>
      </c>
      <c r="I376" s="1">
        <v>87757</v>
      </c>
      <c r="J376" s="1" t="s">
        <v>19</v>
      </c>
      <c r="K376" s="1" t="s">
        <v>1148</v>
      </c>
      <c r="L376" s="1" t="s">
        <v>21</v>
      </c>
      <c r="M376" s="1" t="str">
        <f>_xlfn.XLOOKUP(Sheet1!F376,Departments!$A$2:$A$6,Departments!$B$2:$B$6)</f>
        <v>Marketing</v>
      </c>
      <c r="N376" s="1">
        <f>_xlfn.XLOOKUP(A376,Performance!$A$2:$A$501,Performance!$C$2:$C$501)</f>
        <v>3</v>
      </c>
      <c r="O376" s="1" cm="1">
        <f t="array" ref="O376">_xlfn.IFS(N376=5,I376+0.15*I376,N376=4,I376+I376*0.1,N376=3,I376+I376*0.07,N376&lt;3,I376+I376*0.05)</f>
        <v>93899.99</v>
      </c>
    </row>
    <row r="377" spans="1:15" x14ac:dyDescent="0.3">
      <c r="A377" s="1" t="s">
        <v>1149</v>
      </c>
      <c r="B377" s="1" t="s">
        <v>94</v>
      </c>
      <c r="C377" s="1" t="s">
        <v>14</v>
      </c>
      <c r="D377" s="1" t="s">
        <v>15</v>
      </c>
      <c r="E377" s="1">
        <v>28</v>
      </c>
      <c r="F377" s="1" t="s">
        <v>50</v>
      </c>
      <c r="G377" s="1" t="s">
        <v>17</v>
      </c>
      <c r="H377" s="1" t="s">
        <v>1150</v>
      </c>
      <c r="I377" s="1">
        <v>113590</v>
      </c>
      <c r="J377" s="1" t="s">
        <v>19</v>
      </c>
      <c r="K377" s="1" t="s">
        <v>1151</v>
      </c>
      <c r="L377" s="1" t="s">
        <v>36</v>
      </c>
      <c r="M377" s="1" t="str">
        <f>_xlfn.XLOOKUP(Sheet1!F377,Departments!$A$2:$A$6,Departments!$B$2:$B$6)</f>
        <v>Finance</v>
      </c>
      <c r="N377" s="1">
        <f>_xlfn.XLOOKUP(A377,Performance!$A$2:$A$501,Performance!$C$2:$C$501)</f>
        <v>3</v>
      </c>
      <c r="O377" s="1" cm="1">
        <f t="array" ref="O377">_xlfn.IFS(N377=5,I377+0.15*I377,N377=4,I377+I377*0.1,N377=3,I377+I377*0.07,N377&lt;3,I377+I377*0.05)</f>
        <v>121541.3</v>
      </c>
    </row>
    <row r="378" spans="1:15" x14ac:dyDescent="0.3">
      <c r="A378" s="1" t="s">
        <v>1152</v>
      </c>
      <c r="B378" s="1" t="s">
        <v>54</v>
      </c>
      <c r="C378" s="1" t="s">
        <v>90</v>
      </c>
      <c r="D378" s="1" t="s">
        <v>15</v>
      </c>
      <c r="E378" s="1">
        <v>37</v>
      </c>
      <c r="F378" s="1" t="s">
        <v>16</v>
      </c>
      <c r="G378" s="1" t="s">
        <v>32</v>
      </c>
      <c r="H378" s="1" t="s">
        <v>1153</v>
      </c>
      <c r="I378" s="1">
        <v>82897</v>
      </c>
      <c r="J378" s="1" t="s">
        <v>34</v>
      </c>
      <c r="K378" s="1" t="s">
        <v>1154</v>
      </c>
      <c r="L378" s="1" t="s">
        <v>21</v>
      </c>
      <c r="M378" s="1" t="str">
        <f>_xlfn.XLOOKUP(Sheet1!F378,Departments!$A$2:$A$6,Departments!$B$2:$B$6)</f>
        <v>HR</v>
      </c>
      <c r="N378" s="1">
        <f>_xlfn.XLOOKUP(A378,Performance!$A$2:$A$501,Performance!$C$2:$C$501)</f>
        <v>1</v>
      </c>
      <c r="O378" s="1" cm="1">
        <f t="array" ref="O378">_xlfn.IFS(N378=5,I378+0.15*I378,N378=4,I378+I378*0.1,N378=3,I378+I378*0.07,N378&lt;3,I378+I378*0.05)</f>
        <v>87041.85</v>
      </c>
    </row>
    <row r="379" spans="1:15" x14ac:dyDescent="0.3">
      <c r="A379" s="1" t="s">
        <v>1155</v>
      </c>
      <c r="B379" s="1" t="s">
        <v>94</v>
      </c>
      <c r="C379" s="1" t="s">
        <v>90</v>
      </c>
      <c r="D379" s="1" t="s">
        <v>15</v>
      </c>
      <c r="E379" s="1">
        <v>37</v>
      </c>
      <c r="F379" s="1" t="s">
        <v>25</v>
      </c>
      <c r="G379" s="1" t="s">
        <v>32</v>
      </c>
      <c r="H379" s="1" t="s">
        <v>1156</v>
      </c>
      <c r="I379" s="1">
        <v>69652</v>
      </c>
      <c r="J379" s="1" t="s">
        <v>65</v>
      </c>
      <c r="K379" s="1" t="s">
        <v>1157</v>
      </c>
      <c r="L379" s="1" t="s">
        <v>36</v>
      </c>
      <c r="M379" s="1" t="str">
        <f>_xlfn.XLOOKUP(Sheet1!F379,Departments!$A$2:$A$6,Departments!$B$2:$B$6)</f>
        <v>IT</v>
      </c>
      <c r="N379" s="1">
        <f>_xlfn.XLOOKUP(A379,Performance!$A$2:$A$501,Performance!$C$2:$C$501)</f>
        <v>3</v>
      </c>
      <c r="O379" s="1" cm="1">
        <f t="array" ref="O379">_xlfn.IFS(N379=5,I379+0.15*I379,N379=4,I379+I379*0.1,N379=3,I379+I379*0.07,N379&lt;3,I379+I379*0.05)</f>
        <v>74527.64</v>
      </c>
    </row>
    <row r="380" spans="1:15" x14ac:dyDescent="0.3">
      <c r="A380" s="1" t="s">
        <v>1158</v>
      </c>
      <c r="B380" s="1" t="s">
        <v>58</v>
      </c>
      <c r="C380" s="1" t="s">
        <v>14</v>
      </c>
      <c r="D380" s="1" t="s">
        <v>15</v>
      </c>
      <c r="E380" s="1">
        <v>22</v>
      </c>
      <c r="F380" s="1" t="s">
        <v>25</v>
      </c>
      <c r="G380" s="1" t="s">
        <v>108</v>
      </c>
      <c r="H380" s="1" t="s">
        <v>1159</v>
      </c>
      <c r="I380" s="1">
        <v>92754</v>
      </c>
      <c r="J380" s="1" t="s">
        <v>19</v>
      </c>
      <c r="K380" s="1" t="s">
        <v>1160</v>
      </c>
      <c r="L380" s="1" t="s">
        <v>21</v>
      </c>
      <c r="M380" s="1" t="str">
        <f>_xlfn.XLOOKUP(Sheet1!F380,Departments!$A$2:$A$6,Departments!$B$2:$B$6)</f>
        <v>IT</v>
      </c>
      <c r="N380" s="1">
        <f>_xlfn.XLOOKUP(A380,Performance!$A$2:$A$501,Performance!$C$2:$C$501)</f>
        <v>3</v>
      </c>
      <c r="O380" s="1" cm="1">
        <f t="array" ref="O380">_xlfn.IFS(N380=5,I380+0.15*I380,N380=4,I380+I380*0.1,N380=3,I380+I380*0.07,N380&lt;3,I380+I380*0.05)</f>
        <v>99246.78</v>
      </c>
    </row>
    <row r="381" spans="1:15" x14ac:dyDescent="0.3">
      <c r="A381" s="1" t="s">
        <v>1161</v>
      </c>
      <c r="B381" s="1" t="s">
        <v>49</v>
      </c>
      <c r="C381" s="1" t="s">
        <v>14</v>
      </c>
      <c r="D381" s="1" t="s">
        <v>24</v>
      </c>
      <c r="E381" s="1">
        <v>24</v>
      </c>
      <c r="F381" s="1" t="s">
        <v>25</v>
      </c>
      <c r="G381" s="1" t="s">
        <v>17</v>
      </c>
      <c r="H381" s="1" t="s">
        <v>1162</v>
      </c>
      <c r="I381" s="1">
        <v>65180</v>
      </c>
      <c r="J381" s="1" t="s">
        <v>65</v>
      </c>
      <c r="K381" s="1" t="s">
        <v>1163</v>
      </c>
      <c r="L381" s="1" t="s">
        <v>21</v>
      </c>
      <c r="M381" s="1" t="str">
        <f>_xlfn.XLOOKUP(Sheet1!F381,Departments!$A$2:$A$6,Departments!$B$2:$B$6)</f>
        <v>IT</v>
      </c>
      <c r="N381" s="1">
        <f>_xlfn.XLOOKUP(A381,Performance!$A$2:$A$501,Performance!$C$2:$C$501)</f>
        <v>2</v>
      </c>
      <c r="O381" s="1" cm="1">
        <f t="array" ref="O381">_xlfn.IFS(N381=5,I381+0.15*I381,N381=4,I381+I381*0.1,N381=3,I381+I381*0.07,N381&lt;3,I381+I381*0.05)</f>
        <v>68439</v>
      </c>
    </row>
    <row r="382" spans="1:15" x14ac:dyDescent="0.3">
      <c r="A382" s="1" t="s">
        <v>1164</v>
      </c>
      <c r="B382" s="1" t="s">
        <v>38</v>
      </c>
      <c r="C382" s="1" t="s">
        <v>63</v>
      </c>
      <c r="D382" s="1" t="s">
        <v>15</v>
      </c>
      <c r="E382" s="1">
        <v>60</v>
      </c>
      <c r="F382" s="1" t="s">
        <v>31</v>
      </c>
      <c r="G382" s="1" t="s">
        <v>26</v>
      </c>
      <c r="H382" s="1" t="s">
        <v>258</v>
      </c>
      <c r="I382" s="1">
        <v>93081</v>
      </c>
      <c r="J382" s="1" t="s">
        <v>65</v>
      </c>
      <c r="K382" s="1" t="s">
        <v>1165</v>
      </c>
      <c r="L382" s="1" t="s">
        <v>21</v>
      </c>
      <c r="M382" s="1" t="str">
        <f>_xlfn.XLOOKUP(Sheet1!F382,Departments!$A$2:$A$6,Departments!$B$2:$B$6)</f>
        <v>Sales</v>
      </c>
      <c r="N382" s="1">
        <f>_xlfn.XLOOKUP(A382,Performance!$A$2:$A$501,Performance!$C$2:$C$501)</f>
        <v>4</v>
      </c>
      <c r="O382" s="1" cm="1">
        <f t="array" ref="O382">_xlfn.IFS(N382=5,I382+0.15*I382,N382=4,I382+I382*0.1,N382=3,I382+I382*0.07,N382&lt;3,I382+I382*0.05)</f>
        <v>102389.1</v>
      </c>
    </row>
    <row r="383" spans="1:15" x14ac:dyDescent="0.3">
      <c r="A383" s="1" t="s">
        <v>1166</v>
      </c>
      <c r="B383" s="1" t="s">
        <v>38</v>
      </c>
      <c r="C383" s="1" t="s">
        <v>63</v>
      </c>
      <c r="D383" s="1" t="s">
        <v>15</v>
      </c>
      <c r="E383" s="1">
        <v>57</v>
      </c>
      <c r="F383" s="1" t="s">
        <v>25</v>
      </c>
      <c r="G383" s="1" t="s">
        <v>32</v>
      </c>
      <c r="H383" s="1" t="s">
        <v>1167</v>
      </c>
      <c r="I383" s="1">
        <v>91007</v>
      </c>
      <c r="J383" s="1" t="s">
        <v>60</v>
      </c>
      <c r="K383" s="1" t="s">
        <v>1168</v>
      </c>
      <c r="L383" s="1" t="s">
        <v>36</v>
      </c>
      <c r="M383" s="1" t="str">
        <f>_xlfn.XLOOKUP(Sheet1!F383,Departments!$A$2:$A$6,Departments!$B$2:$B$6)</f>
        <v>IT</v>
      </c>
      <c r="N383" s="1">
        <f>_xlfn.XLOOKUP(A383,Performance!$A$2:$A$501,Performance!$C$2:$C$501)</f>
        <v>3</v>
      </c>
      <c r="O383" s="1" cm="1">
        <f t="array" ref="O383">_xlfn.IFS(N383=5,I383+0.15*I383,N383=4,I383+I383*0.1,N383=3,I383+I383*0.07,N383&lt;3,I383+I383*0.05)</f>
        <v>97377.49</v>
      </c>
    </row>
    <row r="384" spans="1:15" x14ac:dyDescent="0.3">
      <c r="A384" s="1" t="s">
        <v>1169</v>
      </c>
      <c r="B384" s="1" t="s">
        <v>44</v>
      </c>
      <c r="C384" s="1" t="s">
        <v>130</v>
      </c>
      <c r="D384" s="1" t="s">
        <v>15</v>
      </c>
      <c r="E384" s="1">
        <v>32</v>
      </c>
      <c r="F384" s="1" t="s">
        <v>25</v>
      </c>
      <c r="G384" s="1" t="s">
        <v>40</v>
      </c>
      <c r="H384" s="1" t="s">
        <v>1170</v>
      </c>
      <c r="I384" s="1">
        <v>88127</v>
      </c>
      <c r="J384" s="1" t="s">
        <v>65</v>
      </c>
      <c r="K384" s="1" t="s">
        <v>1171</v>
      </c>
      <c r="L384" s="1" t="s">
        <v>21</v>
      </c>
      <c r="M384" s="1" t="str">
        <f>_xlfn.XLOOKUP(Sheet1!F384,Departments!$A$2:$A$6,Departments!$B$2:$B$6)</f>
        <v>IT</v>
      </c>
      <c r="N384" s="1">
        <f>_xlfn.XLOOKUP(A384,Performance!$A$2:$A$501,Performance!$C$2:$C$501)</f>
        <v>4</v>
      </c>
      <c r="O384" s="1" cm="1">
        <f t="array" ref="O384">_xlfn.IFS(N384=5,I384+0.15*I384,N384=4,I384+I384*0.1,N384=3,I384+I384*0.07,N384&lt;3,I384+I384*0.05)</f>
        <v>96939.7</v>
      </c>
    </row>
    <row r="385" spans="1:15" x14ac:dyDescent="0.3">
      <c r="A385" s="1" t="s">
        <v>1172</v>
      </c>
      <c r="B385" s="1" t="s">
        <v>30</v>
      </c>
      <c r="C385" s="1" t="s">
        <v>78</v>
      </c>
      <c r="D385" s="1" t="s">
        <v>24</v>
      </c>
      <c r="E385" s="1">
        <v>34</v>
      </c>
      <c r="F385" s="1" t="s">
        <v>16</v>
      </c>
      <c r="G385" s="1" t="s">
        <v>26</v>
      </c>
      <c r="H385" s="1" t="s">
        <v>1173</v>
      </c>
      <c r="I385" s="1">
        <v>70318</v>
      </c>
      <c r="J385" s="1" t="s">
        <v>19</v>
      </c>
      <c r="K385" s="1" t="s">
        <v>1174</v>
      </c>
      <c r="L385" s="1" t="s">
        <v>36</v>
      </c>
      <c r="M385" s="1" t="str">
        <f>_xlfn.XLOOKUP(Sheet1!F385,Departments!$A$2:$A$6,Departments!$B$2:$B$6)</f>
        <v>HR</v>
      </c>
      <c r="N385" s="1">
        <f>_xlfn.XLOOKUP(A385,Performance!$A$2:$A$501,Performance!$C$2:$C$501)</f>
        <v>2</v>
      </c>
      <c r="O385" s="1" cm="1">
        <f t="array" ref="O385">_xlfn.IFS(N385=5,I385+0.15*I385,N385=4,I385+I385*0.1,N385=3,I385+I385*0.07,N385&lt;3,I385+I385*0.05)</f>
        <v>73833.899999999994</v>
      </c>
    </row>
    <row r="386" spans="1:15" x14ac:dyDescent="0.3">
      <c r="A386" s="1" t="s">
        <v>1175</v>
      </c>
      <c r="B386" s="1" t="s">
        <v>30</v>
      </c>
      <c r="C386" s="1" t="s">
        <v>95</v>
      </c>
      <c r="D386" s="1" t="s">
        <v>15</v>
      </c>
      <c r="E386" s="1">
        <v>31</v>
      </c>
      <c r="F386" s="1" t="s">
        <v>31</v>
      </c>
      <c r="G386" s="1" t="s">
        <v>108</v>
      </c>
      <c r="H386" s="1" t="s">
        <v>566</v>
      </c>
      <c r="I386" s="1">
        <v>47884</v>
      </c>
      <c r="J386" s="1" t="s">
        <v>34</v>
      </c>
      <c r="K386" s="1" t="s">
        <v>1176</v>
      </c>
      <c r="L386" s="1" t="s">
        <v>21</v>
      </c>
      <c r="M386" s="1" t="str">
        <f>_xlfn.XLOOKUP(Sheet1!F386,Departments!$A$2:$A$6,Departments!$B$2:$B$6)</f>
        <v>Sales</v>
      </c>
      <c r="N386" s="1">
        <f>_xlfn.XLOOKUP(A386,Performance!$A$2:$A$501,Performance!$C$2:$C$501)</f>
        <v>4</v>
      </c>
      <c r="O386" s="1" cm="1">
        <f t="array" ref="O386">_xlfn.IFS(N386=5,I386+0.15*I386,N386=4,I386+I386*0.1,N386=3,I386+I386*0.07,N386&lt;3,I386+I386*0.05)</f>
        <v>52672.4</v>
      </c>
    </row>
    <row r="387" spans="1:15" x14ac:dyDescent="0.3">
      <c r="A387" s="1" t="s">
        <v>1177</v>
      </c>
      <c r="B387" s="1" t="s">
        <v>143</v>
      </c>
      <c r="C387" s="1" t="s">
        <v>14</v>
      </c>
      <c r="D387" s="1" t="s">
        <v>15</v>
      </c>
      <c r="E387" s="1">
        <v>48</v>
      </c>
      <c r="F387" s="1" t="s">
        <v>50</v>
      </c>
      <c r="G387" s="1" t="s">
        <v>108</v>
      </c>
      <c r="H387" s="1" t="s">
        <v>1178</v>
      </c>
      <c r="I387" s="1">
        <v>71987</v>
      </c>
      <c r="J387" s="1" t="s">
        <v>34</v>
      </c>
      <c r="K387" s="1" t="s">
        <v>1179</v>
      </c>
      <c r="L387" s="1" t="s">
        <v>36</v>
      </c>
      <c r="M387" s="1" t="str">
        <f>_xlfn.XLOOKUP(Sheet1!F387,Departments!$A$2:$A$6,Departments!$B$2:$B$6)</f>
        <v>Finance</v>
      </c>
      <c r="N387" s="1">
        <f>_xlfn.XLOOKUP(A387,Performance!$A$2:$A$501,Performance!$C$2:$C$501)</f>
        <v>4</v>
      </c>
      <c r="O387" s="1" cm="1">
        <f t="array" ref="O387">_xlfn.IFS(N387=5,I387+0.15*I387,N387=4,I387+I387*0.1,N387=3,I387+I387*0.07,N387&lt;3,I387+I387*0.05)</f>
        <v>79185.7</v>
      </c>
    </row>
    <row r="388" spans="1:15" x14ac:dyDescent="0.3">
      <c r="A388" s="1" t="s">
        <v>1180</v>
      </c>
      <c r="B388" s="1" t="s">
        <v>58</v>
      </c>
      <c r="C388" s="1" t="s">
        <v>130</v>
      </c>
      <c r="D388" s="1" t="s">
        <v>24</v>
      </c>
      <c r="E388" s="1">
        <v>52</v>
      </c>
      <c r="F388" s="1" t="s">
        <v>39</v>
      </c>
      <c r="G388" s="1" t="s">
        <v>40</v>
      </c>
      <c r="H388" s="1" t="s">
        <v>1181</v>
      </c>
      <c r="I388" s="1">
        <v>108773</v>
      </c>
      <c r="J388" s="1" t="s">
        <v>60</v>
      </c>
      <c r="K388" s="1" t="s">
        <v>1182</v>
      </c>
      <c r="L388" s="1" t="s">
        <v>36</v>
      </c>
      <c r="M388" s="1" t="str">
        <f>_xlfn.XLOOKUP(Sheet1!F388,Departments!$A$2:$A$6,Departments!$B$2:$B$6)</f>
        <v>Marketing</v>
      </c>
      <c r="N388" s="1">
        <f>_xlfn.XLOOKUP(A388,Performance!$A$2:$A$501,Performance!$C$2:$C$501)</f>
        <v>1</v>
      </c>
      <c r="O388" s="1" cm="1">
        <f t="array" ref="O388">_xlfn.IFS(N388=5,I388+0.15*I388,N388=4,I388+I388*0.1,N388=3,I388+I388*0.07,N388&lt;3,I388+I388*0.05)</f>
        <v>114211.65</v>
      </c>
    </row>
    <row r="389" spans="1:15" x14ac:dyDescent="0.3">
      <c r="A389" s="1" t="s">
        <v>1183</v>
      </c>
      <c r="B389" s="1" t="s">
        <v>71</v>
      </c>
      <c r="C389" s="1" t="s">
        <v>130</v>
      </c>
      <c r="D389" s="1" t="s">
        <v>15</v>
      </c>
      <c r="E389" s="1">
        <v>58</v>
      </c>
      <c r="F389" s="1" t="s">
        <v>25</v>
      </c>
      <c r="G389" s="1" t="s">
        <v>40</v>
      </c>
      <c r="H389" s="1" t="s">
        <v>1184</v>
      </c>
      <c r="I389" s="1">
        <v>115133</v>
      </c>
      <c r="J389" s="1" t="s">
        <v>34</v>
      </c>
      <c r="K389" s="1" t="s">
        <v>1185</v>
      </c>
      <c r="L389" s="1" t="s">
        <v>21</v>
      </c>
      <c r="M389" s="1" t="str">
        <f>_xlfn.XLOOKUP(Sheet1!F389,Departments!$A$2:$A$6,Departments!$B$2:$B$6)</f>
        <v>IT</v>
      </c>
      <c r="N389" s="1">
        <f>_xlfn.XLOOKUP(A389,Performance!$A$2:$A$501,Performance!$C$2:$C$501)</f>
        <v>1</v>
      </c>
      <c r="O389" s="1" cm="1">
        <f t="array" ref="O389">_xlfn.IFS(N389=5,I389+0.15*I389,N389=4,I389+I389*0.1,N389=3,I389+I389*0.07,N389&lt;3,I389+I389*0.05)</f>
        <v>120889.65</v>
      </c>
    </row>
    <row r="390" spans="1:15" x14ac:dyDescent="0.3">
      <c r="A390" s="1" t="s">
        <v>1186</v>
      </c>
      <c r="B390" s="1" t="s">
        <v>94</v>
      </c>
      <c r="C390" s="1" t="s">
        <v>165</v>
      </c>
      <c r="D390" s="1" t="s">
        <v>24</v>
      </c>
      <c r="E390" s="1">
        <v>50</v>
      </c>
      <c r="F390" s="1" t="s">
        <v>16</v>
      </c>
      <c r="G390" s="1" t="s">
        <v>26</v>
      </c>
      <c r="H390" s="1" t="s">
        <v>1187</v>
      </c>
      <c r="I390" s="1">
        <v>44417</v>
      </c>
      <c r="J390" s="1" t="s">
        <v>80</v>
      </c>
      <c r="K390" s="1" t="s">
        <v>1188</v>
      </c>
      <c r="L390" s="1" t="s">
        <v>36</v>
      </c>
      <c r="M390" s="1" t="str">
        <f>_xlfn.XLOOKUP(Sheet1!F390,Departments!$A$2:$A$6,Departments!$B$2:$B$6)</f>
        <v>HR</v>
      </c>
      <c r="N390" s="1">
        <f>_xlfn.XLOOKUP(A390,Performance!$A$2:$A$501,Performance!$C$2:$C$501)</f>
        <v>3</v>
      </c>
      <c r="O390" s="1" cm="1">
        <f t="array" ref="O390">_xlfn.IFS(N390=5,I390+0.15*I390,N390=4,I390+I390*0.1,N390=3,I390+I390*0.07,N390&lt;3,I390+I390*0.05)</f>
        <v>47526.19</v>
      </c>
    </row>
    <row r="391" spans="1:15" x14ac:dyDescent="0.3">
      <c r="A391" s="1" t="s">
        <v>1189</v>
      </c>
      <c r="B391" s="1" t="s">
        <v>30</v>
      </c>
      <c r="C391" s="1" t="s">
        <v>78</v>
      </c>
      <c r="D391" s="1" t="s">
        <v>24</v>
      </c>
      <c r="E391" s="1">
        <v>46</v>
      </c>
      <c r="F391" s="1" t="s">
        <v>31</v>
      </c>
      <c r="G391" s="1" t="s">
        <v>17</v>
      </c>
      <c r="H391" s="1" t="s">
        <v>1190</v>
      </c>
      <c r="I391" s="1">
        <v>107012</v>
      </c>
      <c r="J391" s="1" t="s">
        <v>65</v>
      </c>
      <c r="K391" s="1" t="s">
        <v>1191</v>
      </c>
      <c r="L391" s="1" t="s">
        <v>21</v>
      </c>
      <c r="M391" s="1" t="str">
        <f>_xlfn.XLOOKUP(Sheet1!F391,Departments!$A$2:$A$6,Departments!$B$2:$B$6)</f>
        <v>Sales</v>
      </c>
      <c r="N391" s="1">
        <f>_xlfn.XLOOKUP(A391,Performance!$A$2:$A$501,Performance!$C$2:$C$501)</f>
        <v>5</v>
      </c>
      <c r="O391" s="1" cm="1">
        <f t="array" ref="O391">_xlfn.IFS(N391=5,I391+0.15*I391,N391=4,I391+I391*0.1,N391=3,I391+I391*0.07,N391&lt;3,I391+I391*0.05)</f>
        <v>123063.8</v>
      </c>
    </row>
    <row r="392" spans="1:15" x14ac:dyDescent="0.3">
      <c r="A392" s="1" t="s">
        <v>1192</v>
      </c>
      <c r="B392" s="1" t="s">
        <v>49</v>
      </c>
      <c r="C392" s="1" t="s">
        <v>78</v>
      </c>
      <c r="D392" s="1" t="s">
        <v>15</v>
      </c>
      <c r="E392" s="1">
        <v>23</v>
      </c>
      <c r="F392" s="1" t="s">
        <v>50</v>
      </c>
      <c r="G392" s="1" t="s">
        <v>26</v>
      </c>
      <c r="H392" s="1" t="s">
        <v>1193</v>
      </c>
      <c r="I392" s="1">
        <v>78597</v>
      </c>
      <c r="J392" s="1" t="s">
        <v>34</v>
      </c>
      <c r="K392" s="1" t="s">
        <v>1194</v>
      </c>
      <c r="L392" s="1" t="s">
        <v>21</v>
      </c>
      <c r="M392" s="1" t="str">
        <f>_xlfn.XLOOKUP(Sheet1!F392,Departments!$A$2:$A$6,Departments!$B$2:$B$6)</f>
        <v>Finance</v>
      </c>
      <c r="N392" s="1">
        <f>_xlfn.XLOOKUP(A392,Performance!$A$2:$A$501,Performance!$C$2:$C$501)</f>
        <v>5</v>
      </c>
      <c r="O392" s="1" cm="1">
        <f t="array" ref="O392">_xlfn.IFS(N392=5,I392+0.15*I392,N392=4,I392+I392*0.1,N392=3,I392+I392*0.07,N392&lt;3,I392+I392*0.05)</f>
        <v>90386.55</v>
      </c>
    </row>
    <row r="393" spans="1:15" x14ac:dyDescent="0.3">
      <c r="A393" s="1" t="s">
        <v>1195</v>
      </c>
      <c r="B393" s="1" t="s">
        <v>58</v>
      </c>
      <c r="C393" s="1" t="s">
        <v>90</v>
      </c>
      <c r="D393" s="1" t="s">
        <v>15</v>
      </c>
      <c r="E393" s="1">
        <v>44</v>
      </c>
      <c r="F393" s="1" t="s">
        <v>25</v>
      </c>
      <c r="G393" s="1" t="s">
        <v>108</v>
      </c>
      <c r="H393" s="1" t="s">
        <v>1196</v>
      </c>
      <c r="I393" s="1">
        <v>77085</v>
      </c>
      <c r="J393" s="1" t="s">
        <v>80</v>
      </c>
      <c r="K393" s="1" t="s">
        <v>1197</v>
      </c>
      <c r="L393" s="1" t="s">
        <v>36</v>
      </c>
      <c r="M393" s="1" t="str">
        <f>_xlfn.XLOOKUP(Sheet1!F393,Departments!$A$2:$A$6,Departments!$B$2:$B$6)</f>
        <v>IT</v>
      </c>
      <c r="N393" s="1">
        <f>_xlfn.XLOOKUP(A393,Performance!$A$2:$A$501,Performance!$C$2:$C$501)</f>
        <v>4</v>
      </c>
      <c r="O393" s="1" cm="1">
        <f t="array" ref="O393">_xlfn.IFS(N393=5,I393+0.15*I393,N393=4,I393+I393*0.1,N393=3,I393+I393*0.07,N393&lt;3,I393+I393*0.05)</f>
        <v>84793.5</v>
      </c>
    </row>
    <row r="394" spans="1:15" x14ac:dyDescent="0.3">
      <c r="A394" s="1" t="s">
        <v>1198</v>
      </c>
      <c r="B394" s="1" t="s">
        <v>44</v>
      </c>
      <c r="C394" s="1" t="s">
        <v>90</v>
      </c>
      <c r="D394" s="1" t="s">
        <v>24</v>
      </c>
      <c r="E394" s="1">
        <v>52</v>
      </c>
      <c r="F394" s="1" t="s">
        <v>50</v>
      </c>
      <c r="G394" s="1" t="s">
        <v>108</v>
      </c>
      <c r="H394" s="1" t="s">
        <v>1199</v>
      </c>
      <c r="I394" s="1">
        <v>98031</v>
      </c>
      <c r="J394" s="1" t="s">
        <v>60</v>
      </c>
      <c r="K394" s="1" t="s">
        <v>1200</v>
      </c>
      <c r="L394" s="1" t="s">
        <v>36</v>
      </c>
      <c r="M394" s="1" t="str">
        <f>_xlfn.XLOOKUP(Sheet1!F394,Departments!$A$2:$A$6,Departments!$B$2:$B$6)</f>
        <v>Finance</v>
      </c>
      <c r="N394" s="1">
        <f>_xlfn.XLOOKUP(A394,Performance!$A$2:$A$501,Performance!$C$2:$C$501)</f>
        <v>4</v>
      </c>
      <c r="O394" s="1" cm="1">
        <f t="array" ref="O394">_xlfn.IFS(N394=5,I394+0.15*I394,N394=4,I394+I394*0.1,N394=3,I394+I394*0.07,N394&lt;3,I394+I394*0.05)</f>
        <v>107834.1</v>
      </c>
    </row>
    <row r="395" spans="1:15" x14ac:dyDescent="0.3">
      <c r="A395" s="1" t="s">
        <v>1201</v>
      </c>
      <c r="B395" s="1" t="s">
        <v>54</v>
      </c>
      <c r="C395" s="1" t="s">
        <v>83</v>
      </c>
      <c r="D395" s="1" t="s">
        <v>24</v>
      </c>
      <c r="E395" s="1">
        <v>47</v>
      </c>
      <c r="F395" s="1" t="s">
        <v>31</v>
      </c>
      <c r="G395" s="1" t="s">
        <v>26</v>
      </c>
      <c r="H395" s="1" t="s">
        <v>1202</v>
      </c>
      <c r="I395" s="1">
        <v>59479</v>
      </c>
      <c r="J395" s="1" t="s">
        <v>34</v>
      </c>
      <c r="K395" s="1" t="s">
        <v>1203</v>
      </c>
      <c r="L395" s="1" t="s">
        <v>36</v>
      </c>
      <c r="M395" s="1" t="str">
        <f>_xlfn.XLOOKUP(Sheet1!F395,Departments!$A$2:$A$6,Departments!$B$2:$B$6)</f>
        <v>Sales</v>
      </c>
      <c r="N395" s="1">
        <f>_xlfn.XLOOKUP(A395,Performance!$A$2:$A$501,Performance!$C$2:$C$501)</f>
        <v>4</v>
      </c>
      <c r="O395" s="1" cm="1">
        <f t="array" ref="O395">_xlfn.IFS(N395=5,I395+0.15*I395,N395=4,I395+I395*0.1,N395=3,I395+I395*0.07,N395&lt;3,I395+I395*0.05)</f>
        <v>65426.9</v>
      </c>
    </row>
    <row r="396" spans="1:15" x14ac:dyDescent="0.3">
      <c r="A396" s="1" t="s">
        <v>1204</v>
      </c>
      <c r="B396" s="1" t="s">
        <v>49</v>
      </c>
      <c r="C396" s="1" t="s">
        <v>14</v>
      </c>
      <c r="D396" s="1" t="s">
        <v>24</v>
      </c>
      <c r="E396" s="1">
        <v>25</v>
      </c>
      <c r="F396" s="1" t="s">
        <v>50</v>
      </c>
      <c r="G396" s="1" t="s">
        <v>40</v>
      </c>
      <c r="H396" s="1" t="s">
        <v>1205</v>
      </c>
      <c r="I396" s="1">
        <v>82566</v>
      </c>
      <c r="J396" s="1" t="s">
        <v>19</v>
      </c>
      <c r="K396" s="1" t="s">
        <v>1206</v>
      </c>
      <c r="L396" s="1" t="s">
        <v>21</v>
      </c>
      <c r="M396" s="1" t="str">
        <f>_xlfn.XLOOKUP(Sheet1!F396,Departments!$A$2:$A$6,Departments!$B$2:$B$6)</f>
        <v>Finance</v>
      </c>
      <c r="N396" s="1">
        <f>_xlfn.XLOOKUP(A396,Performance!$A$2:$A$501,Performance!$C$2:$C$501)</f>
        <v>2</v>
      </c>
      <c r="O396" s="1" cm="1">
        <f t="array" ref="O396">_xlfn.IFS(N396=5,I396+0.15*I396,N396=4,I396+I396*0.1,N396=3,I396+I396*0.07,N396&lt;3,I396+I396*0.05)</f>
        <v>86694.3</v>
      </c>
    </row>
    <row r="397" spans="1:15" x14ac:dyDescent="0.3">
      <c r="A397" s="1" t="s">
        <v>1207</v>
      </c>
      <c r="B397" s="1" t="s">
        <v>30</v>
      </c>
      <c r="C397" s="1" t="s">
        <v>165</v>
      </c>
      <c r="D397" s="1" t="s">
        <v>15</v>
      </c>
      <c r="E397" s="1">
        <v>37</v>
      </c>
      <c r="F397" s="1" t="s">
        <v>50</v>
      </c>
      <c r="G397" s="1" t="s">
        <v>40</v>
      </c>
      <c r="H397" s="1" t="s">
        <v>1208</v>
      </c>
      <c r="I397" s="1">
        <v>90050</v>
      </c>
      <c r="J397" s="1" t="s">
        <v>65</v>
      </c>
      <c r="K397" s="1" t="s">
        <v>1209</v>
      </c>
      <c r="L397" s="1" t="s">
        <v>21</v>
      </c>
      <c r="M397" s="1" t="str">
        <f>_xlfn.XLOOKUP(Sheet1!F397,Departments!$A$2:$A$6,Departments!$B$2:$B$6)</f>
        <v>Finance</v>
      </c>
      <c r="N397" s="1">
        <f>_xlfn.XLOOKUP(A397,Performance!$A$2:$A$501,Performance!$C$2:$C$501)</f>
        <v>5</v>
      </c>
      <c r="O397" s="1" cm="1">
        <f t="array" ref="O397">_xlfn.IFS(N397=5,I397+0.15*I397,N397=4,I397+I397*0.1,N397=3,I397+I397*0.07,N397&lt;3,I397+I397*0.05)</f>
        <v>103557.5</v>
      </c>
    </row>
    <row r="398" spans="1:15" x14ac:dyDescent="0.3">
      <c r="A398" s="1" t="s">
        <v>1210</v>
      </c>
      <c r="B398" s="1" t="s">
        <v>38</v>
      </c>
      <c r="C398" s="1" t="s">
        <v>130</v>
      </c>
      <c r="D398" s="1" t="s">
        <v>24</v>
      </c>
      <c r="E398" s="1">
        <v>54</v>
      </c>
      <c r="F398" s="1" t="s">
        <v>16</v>
      </c>
      <c r="G398" s="1" t="s">
        <v>26</v>
      </c>
      <c r="H398" s="1" t="s">
        <v>1211</v>
      </c>
      <c r="I398" s="1">
        <v>56447</v>
      </c>
      <c r="J398" s="1" t="s">
        <v>19</v>
      </c>
      <c r="K398" s="1" t="s">
        <v>1212</v>
      </c>
      <c r="L398" s="1" t="s">
        <v>36</v>
      </c>
      <c r="M398" s="1" t="str">
        <f>_xlfn.XLOOKUP(Sheet1!F398,Departments!$A$2:$A$6,Departments!$B$2:$B$6)</f>
        <v>HR</v>
      </c>
      <c r="N398" s="1">
        <f>_xlfn.XLOOKUP(A398,Performance!$A$2:$A$501,Performance!$C$2:$C$501)</f>
        <v>4</v>
      </c>
      <c r="O398" s="1" cm="1">
        <f t="array" ref="O398">_xlfn.IFS(N398=5,I398+0.15*I398,N398=4,I398+I398*0.1,N398=3,I398+I398*0.07,N398&lt;3,I398+I398*0.05)</f>
        <v>62091.7</v>
      </c>
    </row>
    <row r="399" spans="1:15" x14ac:dyDescent="0.3">
      <c r="A399" s="1" t="s">
        <v>1213</v>
      </c>
      <c r="B399" s="1" t="s">
        <v>71</v>
      </c>
      <c r="C399" s="1" t="s">
        <v>165</v>
      </c>
      <c r="D399" s="1" t="s">
        <v>24</v>
      </c>
      <c r="E399" s="1">
        <v>47</v>
      </c>
      <c r="F399" s="1" t="s">
        <v>31</v>
      </c>
      <c r="G399" s="1" t="s">
        <v>17</v>
      </c>
      <c r="H399" s="1" t="s">
        <v>1214</v>
      </c>
      <c r="I399" s="1">
        <v>76082</v>
      </c>
      <c r="J399" s="1" t="s">
        <v>65</v>
      </c>
      <c r="K399" s="1" t="s">
        <v>1215</v>
      </c>
      <c r="L399" s="1" t="s">
        <v>36</v>
      </c>
      <c r="M399" s="1" t="str">
        <f>_xlfn.XLOOKUP(Sheet1!F399,Departments!$A$2:$A$6,Departments!$B$2:$B$6)</f>
        <v>Sales</v>
      </c>
      <c r="N399" s="1">
        <f>_xlfn.XLOOKUP(A399,Performance!$A$2:$A$501,Performance!$C$2:$C$501)</f>
        <v>3</v>
      </c>
      <c r="O399" s="1" cm="1">
        <f t="array" ref="O399">_xlfn.IFS(N399=5,I399+0.15*I399,N399=4,I399+I399*0.1,N399=3,I399+I399*0.07,N399&lt;3,I399+I399*0.05)</f>
        <v>81407.740000000005</v>
      </c>
    </row>
    <row r="400" spans="1:15" x14ac:dyDescent="0.3">
      <c r="A400" s="1" t="s">
        <v>1216</v>
      </c>
      <c r="B400" s="1" t="s">
        <v>44</v>
      </c>
      <c r="C400" s="1" t="s">
        <v>45</v>
      </c>
      <c r="D400" s="1" t="s">
        <v>24</v>
      </c>
      <c r="E400" s="1">
        <v>28</v>
      </c>
      <c r="F400" s="1" t="s">
        <v>50</v>
      </c>
      <c r="G400" s="1" t="s">
        <v>26</v>
      </c>
      <c r="H400" s="1" t="s">
        <v>621</v>
      </c>
      <c r="I400" s="1">
        <v>98535</v>
      </c>
      <c r="J400" s="1" t="s">
        <v>60</v>
      </c>
      <c r="K400" s="1" t="s">
        <v>1217</v>
      </c>
      <c r="L400" s="1" t="s">
        <v>21</v>
      </c>
      <c r="M400" s="1" t="str">
        <f>_xlfn.XLOOKUP(Sheet1!F400,Departments!$A$2:$A$6,Departments!$B$2:$B$6)</f>
        <v>Finance</v>
      </c>
      <c r="N400" s="1">
        <f>_xlfn.XLOOKUP(A400,Performance!$A$2:$A$501,Performance!$C$2:$C$501)</f>
        <v>1</v>
      </c>
      <c r="O400" s="1" cm="1">
        <f t="array" ref="O400">_xlfn.IFS(N400=5,I400+0.15*I400,N400=4,I400+I400*0.1,N400=3,I400+I400*0.07,N400&lt;3,I400+I400*0.05)</f>
        <v>103461.75</v>
      </c>
    </row>
    <row r="401" spans="1:15" x14ac:dyDescent="0.3">
      <c r="A401" s="1" t="s">
        <v>1218</v>
      </c>
      <c r="B401" s="1" t="s">
        <v>94</v>
      </c>
      <c r="C401" s="1" t="s">
        <v>130</v>
      </c>
      <c r="D401" s="1" t="s">
        <v>15</v>
      </c>
      <c r="E401" s="1">
        <v>39</v>
      </c>
      <c r="F401" s="1" t="s">
        <v>16</v>
      </c>
      <c r="G401" s="1" t="s">
        <v>108</v>
      </c>
      <c r="H401" s="1" t="s">
        <v>1219</v>
      </c>
      <c r="I401" s="1">
        <v>44551</v>
      </c>
      <c r="J401" s="1" t="s">
        <v>34</v>
      </c>
      <c r="K401" s="1" t="s">
        <v>1220</v>
      </c>
      <c r="L401" s="1" t="s">
        <v>21</v>
      </c>
      <c r="M401" s="1" t="str">
        <f>_xlfn.XLOOKUP(Sheet1!F401,Departments!$A$2:$A$6,Departments!$B$2:$B$6)</f>
        <v>HR</v>
      </c>
      <c r="N401" s="1">
        <f>_xlfn.XLOOKUP(A401,Performance!$A$2:$A$501,Performance!$C$2:$C$501)</f>
        <v>5</v>
      </c>
      <c r="O401" s="1" cm="1">
        <f t="array" ref="O401">_xlfn.IFS(N401=5,I401+0.15*I401,N401=4,I401+I401*0.1,N401=3,I401+I401*0.07,N401&lt;3,I401+I401*0.05)</f>
        <v>51233.65</v>
      </c>
    </row>
    <row r="402" spans="1:15" x14ac:dyDescent="0.3">
      <c r="A402" s="1" t="s">
        <v>1221</v>
      </c>
      <c r="B402" s="1" t="s">
        <v>71</v>
      </c>
      <c r="C402" s="1" t="s">
        <v>23</v>
      </c>
      <c r="D402" s="1" t="s">
        <v>15</v>
      </c>
      <c r="E402" s="1">
        <v>40</v>
      </c>
      <c r="F402" s="1" t="s">
        <v>50</v>
      </c>
      <c r="G402" s="1" t="s">
        <v>32</v>
      </c>
      <c r="H402" s="1" t="s">
        <v>1222</v>
      </c>
      <c r="I402" s="1">
        <v>111797</v>
      </c>
      <c r="J402" s="1" t="s">
        <v>60</v>
      </c>
      <c r="K402" s="1" t="s">
        <v>1223</v>
      </c>
      <c r="L402" s="1" t="s">
        <v>36</v>
      </c>
      <c r="M402" s="1" t="str">
        <f>_xlfn.XLOOKUP(Sheet1!F402,Departments!$A$2:$A$6,Departments!$B$2:$B$6)</f>
        <v>Finance</v>
      </c>
      <c r="N402" s="1">
        <f>_xlfn.XLOOKUP(A402,Performance!$A$2:$A$501,Performance!$C$2:$C$501)</f>
        <v>5</v>
      </c>
      <c r="O402" s="1" cm="1">
        <f t="array" ref="O402">_xlfn.IFS(N402=5,I402+0.15*I402,N402=4,I402+I402*0.1,N402=3,I402+I402*0.07,N402&lt;3,I402+I402*0.05)</f>
        <v>128566.55</v>
      </c>
    </row>
    <row r="403" spans="1:15" x14ac:dyDescent="0.3">
      <c r="A403" s="1" t="s">
        <v>1224</v>
      </c>
      <c r="B403" s="1" t="s">
        <v>71</v>
      </c>
      <c r="C403" s="1" t="s">
        <v>90</v>
      </c>
      <c r="D403" s="1" t="s">
        <v>24</v>
      </c>
      <c r="E403" s="1">
        <v>43</v>
      </c>
      <c r="F403" s="1" t="s">
        <v>16</v>
      </c>
      <c r="G403" s="1" t="s">
        <v>26</v>
      </c>
      <c r="H403" s="1" t="s">
        <v>1225</v>
      </c>
      <c r="I403" s="1">
        <v>40238</v>
      </c>
      <c r="J403" s="1" t="s">
        <v>19</v>
      </c>
      <c r="K403" s="1" t="s">
        <v>1226</v>
      </c>
      <c r="L403" s="1" t="s">
        <v>21</v>
      </c>
      <c r="M403" s="1" t="str">
        <f>_xlfn.XLOOKUP(Sheet1!F403,Departments!$A$2:$A$6,Departments!$B$2:$B$6)</f>
        <v>HR</v>
      </c>
      <c r="N403" s="1">
        <f>_xlfn.XLOOKUP(A403,Performance!$A$2:$A$501,Performance!$C$2:$C$501)</f>
        <v>2</v>
      </c>
      <c r="O403" s="1" cm="1">
        <f t="array" ref="O403">_xlfn.IFS(N403=5,I403+0.15*I403,N403=4,I403+I403*0.1,N403=3,I403+I403*0.07,N403&lt;3,I403+I403*0.05)</f>
        <v>42249.9</v>
      </c>
    </row>
    <row r="404" spans="1:15" x14ac:dyDescent="0.3">
      <c r="A404" s="1" t="s">
        <v>1227</v>
      </c>
      <c r="B404" s="1" t="s">
        <v>71</v>
      </c>
      <c r="C404" s="1" t="s">
        <v>165</v>
      </c>
      <c r="D404" s="1" t="s">
        <v>15</v>
      </c>
      <c r="E404" s="1">
        <v>55</v>
      </c>
      <c r="F404" s="1" t="s">
        <v>31</v>
      </c>
      <c r="G404" s="1" t="s">
        <v>17</v>
      </c>
      <c r="H404" s="1" t="s">
        <v>1228</v>
      </c>
      <c r="I404" s="1">
        <v>70077</v>
      </c>
      <c r="J404" s="1" t="s">
        <v>34</v>
      </c>
      <c r="K404" s="1" t="s">
        <v>1229</v>
      </c>
      <c r="L404" s="1" t="s">
        <v>21</v>
      </c>
      <c r="M404" s="1" t="str">
        <f>_xlfn.XLOOKUP(Sheet1!F404,Departments!$A$2:$A$6,Departments!$B$2:$B$6)</f>
        <v>Sales</v>
      </c>
      <c r="N404" s="1">
        <f>_xlfn.XLOOKUP(A404,Performance!$A$2:$A$501,Performance!$C$2:$C$501)</f>
        <v>1</v>
      </c>
      <c r="O404" s="1" cm="1">
        <f t="array" ref="O404">_xlfn.IFS(N404=5,I404+0.15*I404,N404=4,I404+I404*0.1,N404=3,I404+I404*0.07,N404&lt;3,I404+I404*0.05)</f>
        <v>73580.850000000006</v>
      </c>
    </row>
    <row r="405" spans="1:15" x14ac:dyDescent="0.3">
      <c r="A405" s="1" t="s">
        <v>1230</v>
      </c>
      <c r="B405" s="1" t="s">
        <v>44</v>
      </c>
      <c r="C405" s="1" t="s">
        <v>14</v>
      </c>
      <c r="D405" s="1" t="s">
        <v>24</v>
      </c>
      <c r="E405" s="1">
        <v>57</v>
      </c>
      <c r="F405" s="1" t="s">
        <v>16</v>
      </c>
      <c r="G405" s="1" t="s">
        <v>17</v>
      </c>
      <c r="H405" s="1" t="s">
        <v>1231</v>
      </c>
      <c r="I405" s="1">
        <v>107382</v>
      </c>
      <c r="J405" s="1" t="s">
        <v>19</v>
      </c>
      <c r="K405" s="1" t="s">
        <v>1232</v>
      </c>
      <c r="L405" s="1" t="s">
        <v>36</v>
      </c>
      <c r="M405" s="1" t="str">
        <f>_xlfn.XLOOKUP(Sheet1!F405,Departments!$A$2:$A$6,Departments!$B$2:$B$6)</f>
        <v>HR</v>
      </c>
      <c r="N405" s="1">
        <f>_xlfn.XLOOKUP(A405,Performance!$A$2:$A$501,Performance!$C$2:$C$501)</f>
        <v>2</v>
      </c>
      <c r="O405" s="1" cm="1">
        <f t="array" ref="O405">_xlfn.IFS(N405=5,I405+0.15*I405,N405=4,I405+I405*0.1,N405=3,I405+I405*0.07,N405&lt;3,I405+I405*0.05)</f>
        <v>112751.1</v>
      </c>
    </row>
    <row r="406" spans="1:15" x14ac:dyDescent="0.3">
      <c r="A406" s="1" t="s">
        <v>1233</v>
      </c>
      <c r="B406" s="1" t="s">
        <v>94</v>
      </c>
      <c r="C406" s="1" t="s">
        <v>95</v>
      </c>
      <c r="D406" s="1" t="s">
        <v>15</v>
      </c>
      <c r="E406" s="1">
        <v>24</v>
      </c>
      <c r="F406" s="1" t="s">
        <v>50</v>
      </c>
      <c r="G406" s="1" t="s">
        <v>26</v>
      </c>
      <c r="H406" s="1" t="s">
        <v>1234</v>
      </c>
      <c r="I406" s="1">
        <v>54413</v>
      </c>
      <c r="J406" s="1" t="s">
        <v>65</v>
      </c>
      <c r="K406" s="1" t="s">
        <v>1235</v>
      </c>
      <c r="L406" s="1" t="s">
        <v>21</v>
      </c>
      <c r="M406" s="1" t="str">
        <f>_xlfn.XLOOKUP(Sheet1!F406,Departments!$A$2:$A$6,Departments!$B$2:$B$6)</f>
        <v>Finance</v>
      </c>
      <c r="N406" s="1">
        <f>_xlfn.XLOOKUP(A406,Performance!$A$2:$A$501,Performance!$C$2:$C$501)</f>
        <v>4</v>
      </c>
      <c r="O406" s="1" cm="1">
        <f t="array" ref="O406">_xlfn.IFS(N406=5,I406+0.15*I406,N406=4,I406+I406*0.1,N406=3,I406+I406*0.07,N406&lt;3,I406+I406*0.05)</f>
        <v>59854.3</v>
      </c>
    </row>
    <row r="407" spans="1:15" x14ac:dyDescent="0.3">
      <c r="A407" s="1" t="s">
        <v>1236</v>
      </c>
      <c r="B407" s="1" t="s">
        <v>143</v>
      </c>
      <c r="C407" s="1" t="s">
        <v>23</v>
      </c>
      <c r="D407" s="1" t="s">
        <v>24</v>
      </c>
      <c r="E407" s="1">
        <v>37</v>
      </c>
      <c r="F407" s="1" t="s">
        <v>31</v>
      </c>
      <c r="G407" s="1" t="s">
        <v>108</v>
      </c>
      <c r="H407" s="1" t="s">
        <v>1237</v>
      </c>
      <c r="I407" s="1">
        <v>40061</v>
      </c>
      <c r="J407" s="1" t="s">
        <v>65</v>
      </c>
      <c r="K407" s="1" t="s">
        <v>1238</v>
      </c>
      <c r="L407" s="1" t="s">
        <v>21</v>
      </c>
      <c r="M407" s="1" t="str">
        <f>_xlfn.XLOOKUP(Sheet1!F407,Departments!$A$2:$A$6,Departments!$B$2:$B$6)</f>
        <v>Sales</v>
      </c>
      <c r="N407" s="1">
        <f>_xlfn.XLOOKUP(A407,Performance!$A$2:$A$501,Performance!$C$2:$C$501)</f>
        <v>3</v>
      </c>
      <c r="O407" s="1" cm="1">
        <f t="array" ref="O407">_xlfn.IFS(N407=5,I407+0.15*I407,N407=4,I407+I407*0.1,N407=3,I407+I407*0.07,N407&lt;3,I407+I407*0.05)</f>
        <v>42865.270000000004</v>
      </c>
    </row>
    <row r="408" spans="1:15" x14ac:dyDescent="0.3">
      <c r="A408" s="1" t="s">
        <v>1239</v>
      </c>
      <c r="B408" s="1" t="s">
        <v>30</v>
      </c>
      <c r="C408" s="1" t="s">
        <v>95</v>
      </c>
      <c r="D408" s="1" t="s">
        <v>24</v>
      </c>
      <c r="E408" s="1">
        <v>45</v>
      </c>
      <c r="F408" s="1" t="s">
        <v>39</v>
      </c>
      <c r="G408" s="1" t="s">
        <v>108</v>
      </c>
      <c r="H408" s="1" t="s">
        <v>1240</v>
      </c>
      <c r="I408" s="1">
        <v>89039</v>
      </c>
      <c r="J408" s="1" t="s">
        <v>34</v>
      </c>
      <c r="K408" s="1" t="s">
        <v>1241</v>
      </c>
      <c r="L408" s="1" t="s">
        <v>21</v>
      </c>
      <c r="M408" s="1" t="str">
        <f>_xlfn.XLOOKUP(Sheet1!F408,Departments!$A$2:$A$6,Departments!$B$2:$B$6)</f>
        <v>Marketing</v>
      </c>
      <c r="N408" s="1">
        <f>_xlfn.XLOOKUP(A408,Performance!$A$2:$A$501,Performance!$C$2:$C$501)</f>
        <v>3</v>
      </c>
      <c r="O408" s="1" cm="1">
        <f t="array" ref="O408">_xlfn.IFS(N408=5,I408+0.15*I408,N408=4,I408+I408*0.1,N408=3,I408+I408*0.07,N408&lt;3,I408+I408*0.05)</f>
        <v>95271.73</v>
      </c>
    </row>
    <row r="409" spans="1:15" x14ac:dyDescent="0.3">
      <c r="A409" s="1" t="s">
        <v>1242</v>
      </c>
      <c r="B409" s="1" t="s">
        <v>71</v>
      </c>
      <c r="C409" s="1" t="s">
        <v>63</v>
      </c>
      <c r="D409" s="1" t="s">
        <v>15</v>
      </c>
      <c r="E409" s="1">
        <v>30</v>
      </c>
      <c r="F409" s="1" t="s">
        <v>39</v>
      </c>
      <c r="G409" s="1" t="s">
        <v>40</v>
      </c>
      <c r="H409" s="1" t="s">
        <v>1243</v>
      </c>
      <c r="I409" s="1">
        <v>41334</v>
      </c>
      <c r="J409" s="1" t="s">
        <v>34</v>
      </c>
      <c r="K409" s="1" t="s">
        <v>1244</v>
      </c>
      <c r="L409" s="1" t="s">
        <v>21</v>
      </c>
      <c r="M409" s="1" t="str">
        <f>_xlfn.XLOOKUP(Sheet1!F409,Departments!$A$2:$A$6,Departments!$B$2:$B$6)</f>
        <v>Marketing</v>
      </c>
      <c r="N409" s="1">
        <f>_xlfn.XLOOKUP(A409,Performance!$A$2:$A$501,Performance!$C$2:$C$501)</f>
        <v>5</v>
      </c>
      <c r="O409" s="1" cm="1">
        <f t="array" ref="O409">_xlfn.IFS(N409=5,I409+0.15*I409,N409=4,I409+I409*0.1,N409=3,I409+I409*0.07,N409&lt;3,I409+I409*0.05)</f>
        <v>47534.1</v>
      </c>
    </row>
    <row r="410" spans="1:15" x14ac:dyDescent="0.3">
      <c r="A410" s="1" t="s">
        <v>1245</v>
      </c>
      <c r="B410" s="1" t="s">
        <v>49</v>
      </c>
      <c r="C410" s="1" t="s">
        <v>165</v>
      </c>
      <c r="D410" s="1" t="s">
        <v>15</v>
      </c>
      <c r="E410" s="1">
        <v>55</v>
      </c>
      <c r="F410" s="1" t="s">
        <v>25</v>
      </c>
      <c r="G410" s="1" t="s">
        <v>17</v>
      </c>
      <c r="H410" s="1" t="s">
        <v>1246</v>
      </c>
      <c r="I410" s="1">
        <v>108930</v>
      </c>
      <c r="J410" s="1" t="s">
        <v>60</v>
      </c>
      <c r="K410" s="1" t="s">
        <v>1247</v>
      </c>
      <c r="L410" s="1" t="s">
        <v>36</v>
      </c>
      <c r="M410" s="1" t="str">
        <f>_xlfn.XLOOKUP(Sheet1!F410,Departments!$A$2:$A$6,Departments!$B$2:$B$6)</f>
        <v>IT</v>
      </c>
      <c r="N410" s="1">
        <f>_xlfn.XLOOKUP(A410,Performance!$A$2:$A$501,Performance!$C$2:$C$501)</f>
        <v>1</v>
      </c>
      <c r="O410" s="1" cm="1">
        <f t="array" ref="O410">_xlfn.IFS(N410=5,I410+0.15*I410,N410=4,I410+I410*0.1,N410=3,I410+I410*0.07,N410&lt;3,I410+I410*0.05)</f>
        <v>114376.5</v>
      </c>
    </row>
    <row r="411" spans="1:15" x14ac:dyDescent="0.3">
      <c r="A411" s="1" t="s">
        <v>1248</v>
      </c>
      <c r="B411" s="1" t="s">
        <v>71</v>
      </c>
      <c r="C411" s="1" t="s">
        <v>90</v>
      </c>
      <c r="D411" s="1" t="s">
        <v>15</v>
      </c>
      <c r="E411" s="1">
        <v>31</v>
      </c>
      <c r="F411" s="1" t="s">
        <v>50</v>
      </c>
      <c r="G411" s="1" t="s">
        <v>26</v>
      </c>
      <c r="H411" s="1" t="s">
        <v>1249</v>
      </c>
      <c r="I411" s="1">
        <v>78935</v>
      </c>
      <c r="J411" s="1" t="s">
        <v>19</v>
      </c>
      <c r="K411" s="1" t="s">
        <v>1250</v>
      </c>
      <c r="L411" s="1" t="s">
        <v>36</v>
      </c>
      <c r="M411" s="1" t="str">
        <f>_xlfn.XLOOKUP(Sheet1!F411,Departments!$A$2:$A$6,Departments!$B$2:$B$6)</f>
        <v>Finance</v>
      </c>
      <c r="N411" s="1">
        <f>_xlfn.XLOOKUP(A411,Performance!$A$2:$A$501,Performance!$C$2:$C$501)</f>
        <v>5</v>
      </c>
      <c r="O411" s="1" cm="1">
        <f t="array" ref="O411">_xlfn.IFS(N411=5,I411+0.15*I411,N411=4,I411+I411*0.1,N411=3,I411+I411*0.07,N411&lt;3,I411+I411*0.05)</f>
        <v>90775.25</v>
      </c>
    </row>
    <row r="412" spans="1:15" x14ac:dyDescent="0.3">
      <c r="A412" s="1" t="s">
        <v>1251</v>
      </c>
      <c r="B412" s="1" t="s">
        <v>38</v>
      </c>
      <c r="C412" s="1" t="s">
        <v>78</v>
      </c>
      <c r="D412" s="1" t="s">
        <v>24</v>
      </c>
      <c r="E412" s="1">
        <v>34</v>
      </c>
      <c r="F412" s="1" t="s">
        <v>50</v>
      </c>
      <c r="G412" s="1" t="s">
        <v>40</v>
      </c>
      <c r="H412" s="1" t="s">
        <v>1252</v>
      </c>
      <c r="I412" s="1">
        <v>68187</v>
      </c>
      <c r="J412" s="1" t="s">
        <v>19</v>
      </c>
      <c r="K412" s="1" t="s">
        <v>1253</v>
      </c>
      <c r="L412" s="1" t="s">
        <v>21</v>
      </c>
      <c r="M412" s="1" t="str">
        <f>_xlfn.XLOOKUP(Sheet1!F412,Departments!$A$2:$A$6,Departments!$B$2:$B$6)</f>
        <v>Finance</v>
      </c>
      <c r="N412" s="1">
        <f>_xlfn.XLOOKUP(A412,Performance!$A$2:$A$501,Performance!$C$2:$C$501)</f>
        <v>1</v>
      </c>
      <c r="O412" s="1" cm="1">
        <f t="array" ref="O412">_xlfn.IFS(N412=5,I412+0.15*I412,N412=4,I412+I412*0.1,N412=3,I412+I412*0.07,N412&lt;3,I412+I412*0.05)</f>
        <v>71596.350000000006</v>
      </c>
    </row>
    <row r="413" spans="1:15" x14ac:dyDescent="0.3">
      <c r="A413" s="1" t="s">
        <v>1254</v>
      </c>
      <c r="B413" s="1" t="s">
        <v>13</v>
      </c>
      <c r="C413" s="1" t="s">
        <v>45</v>
      </c>
      <c r="D413" s="1" t="s">
        <v>15</v>
      </c>
      <c r="E413" s="1">
        <v>51</v>
      </c>
      <c r="F413" s="1" t="s">
        <v>25</v>
      </c>
      <c r="G413" s="1" t="s">
        <v>26</v>
      </c>
      <c r="H413" s="1" t="s">
        <v>1255</v>
      </c>
      <c r="I413" s="1">
        <v>56816</v>
      </c>
      <c r="J413" s="1" t="s">
        <v>65</v>
      </c>
      <c r="K413" s="1" t="s">
        <v>1256</v>
      </c>
      <c r="L413" s="1" t="s">
        <v>21</v>
      </c>
      <c r="M413" s="1" t="str">
        <f>_xlfn.XLOOKUP(Sheet1!F413,Departments!$A$2:$A$6,Departments!$B$2:$B$6)</f>
        <v>IT</v>
      </c>
      <c r="N413" s="1">
        <f>_xlfn.XLOOKUP(A413,Performance!$A$2:$A$501,Performance!$C$2:$C$501)</f>
        <v>3</v>
      </c>
      <c r="O413" s="1" cm="1">
        <f t="array" ref="O413">_xlfn.IFS(N413=5,I413+0.15*I413,N413=4,I413+I413*0.1,N413=3,I413+I413*0.07,N413&lt;3,I413+I413*0.05)</f>
        <v>60793.120000000003</v>
      </c>
    </row>
    <row r="414" spans="1:15" x14ac:dyDescent="0.3">
      <c r="A414" s="1" t="s">
        <v>1257</v>
      </c>
      <c r="B414" s="1" t="s">
        <v>58</v>
      </c>
      <c r="C414" s="1" t="s">
        <v>14</v>
      </c>
      <c r="D414" s="1" t="s">
        <v>15</v>
      </c>
      <c r="E414" s="1">
        <v>29</v>
      </c>
      <c r="F414" s="1" t="s">
        <v>25</v>
      </c>
      <c r="G414" s="1" t="s">
        <v>17</v>
      </c>
      <c r="H414" s="1" t="s">
        <v>1258</v>
      </c>
      <c r="I414" s="1">
        <v>102232</v>
      </c>
      <c r="J414" s="1" t="s">
        <v>19</v>
      </c>
      <c r="K414" s="1" t="s">
        <v>1259</v>
      </c>
      <c r="L414" s="1" t="s">
        <v>21</v>
      </c>
      <c r="M414" s="1" t="str">
        <f>_xlfn.XLOOKUP(Sheet1!F414,Departments!$A$2:$A$6,Departments!$B$2:$B$6)</f>
        <v>IT</v>
      </c>
      <c r="N414" s="1">
        <f>_xlfn.XLOOKUP(A414,Performance!$A$2:$A$501,Performance!$C$2:$C$501)</f>
        <v>4</v>
      </c>
      <c r="O414" s="1" cm="1">
        <f t="array" ref="O414">_xlfn.IFS(N414=5,I414+0.15*I414,N414=4,I414+I414*0.1,N414=3,I414+I414*0.07,N414&lt;3,I414+I414*0.05)</f>
        <v>112455.2</v>
      </c>
    </row>
    <row r="415" spans="1:15" x14ac:dyDescent="0.3">
      <c r="A415" s="1" t="s">
        <v>1260</v>
      </c>
      <c r="B415" s="1" t="s">
        <v>58</v>
      </c>
      <c r="C415" s="1" t="s">
        <v>45</v>
      </c>
      <c r="D415" s="1" t="s">
        <v>24</v>
      </c>
      <c r="E415" s="1">
        <v>38</v>
      </c>
      <c r="F415" s="1" t="s">
        <v>50</v>
      </c>
      <c r="G415" s="1" t="s">
        <v>108</v>
      </c>
      <c r="H415" s="1" t="s">
        <v>1261</v>
      </c>
      <c r="I415" s="1">
        <v>99123</v>
      </c>
      <c r="J415" s="1" t="s">
        <v>19</v>
      </c>
      <c r="K415" s="1" t="s">
        <v>1262</v>
      </c>
      <c r="L415" s="1" t="s">
        <v>36</v>
      </c>
      <c r="M415" s="1" t="str">
        <f>_xlfn.XLOOKUP(Sheet1!F415,Departments!$A$2:$A$6,Departments!$B$2:$B$6)</f>
        <v>Finance</v>
      </c>
      <c r="N415" s="1">
        <f>_xlfn.XLOOKUP(A415,Performance!$A$2:$A$501,Performance!$C$2:$C$501)</f>
        <v>3</v>
      </c>
      <c r="O415" s="1" cm="1">
        <f t="array" ref="O415">_xlfn.IFS(N415=5,I415+0.15*I415,N415=4,I415+I415*0.1,N415=3,I415+I415*0.07,N415&lt;3,I415+I415*0.05)</f>
        <v>106061.61</v>
      </c>
    </row>
    <row r="416" spans="1:15" x14ac:dyDescent="0.3">
      <c r="A416" s="1" t="s">
        <v>1263</v>
      </c>
      <c r="B416" s="1" t="s">
        <v>54</v>
      </c>
      <c r="C416" s="1" t="s">
        <v>14</v>
      </c>
      <c r="D416" s="1" t="s">
        <v>15</v>
      </c>
      <c r="E416" s="1">
        <v>23</v>
      </c>
      <c r="F416" s="1" t="s">
        <v>39</v>
      </c>
      <c r="G416" s="1" t="s">
        <v>32</v>
      </c>
      <c r="H416" s="1" t="s">
        <v>1264</v>
      </c>
      <c r="I416" s="1">
        <v>44686</v>
      </c>
      <c r="J416" s="1" t="s">
        <v>60</v>
      </c>
      <c r="K416" s="1" t="s">
        <v>1265</v>
      </c>
      <c r="L416" s="1" t="s">
        <v>21</v>
      </c>
      <c r="M416" s="1" t="str">
        <f>_xlfn.XLOOKUP(Sheet1!F416,Departments!$A$2:$A$6,Departments!$B$2:$B$6)</f>
        <v>Marketing</v>
      </c>
      <c r="N416" s="1">
        <f>_xlfn.XLOOKUP(A416,Performance!$A$2:$A$501,Performance!$C$2:$C$501)</f>
        <v>1</v>
      </c>
      <c r="O416" s="1" cm="1">
        <f t="array" ref="O416">_xlfn.IFS(N416=5,I416+0.15*I416,N416=4,I416+I416*0.1,N416=3,I416+I416*0.07,N416&lt;3,I416+I416*0.05)</f>
        <v>46920.3</v>
      </c>
    </row>
    <row r="417" spans="1:15" x14ac:dyDescent="0.3">
      <c r="A417" s="1" t="s">
        <v>1266</v>
      </c>
      <c r="B417" s="1" t="s">
        <v>54</v>
      </c>
      <c r="C417" s="1" t="s">
        <v>165</v>
      </c>
      <c r="D417" s="1" t="s">
        <v>24</v>
      </c>
      <c r="E417" s="1">
        <v>57</v>
      </c>
      <c r="F417" s="1" t="s">
        <v>31</v>
      </c>
      <c r="G417" s="1" t="s">
        <v>26</v>
      </c>
      <c r="H417" s="1" t="s">
        <v>1267</v>
      </c>
      <c r="I417" s="1">
        <v>104342</v>
      </c>
      <c r="J417" s="1" t="s">
        <v>80</v>
      </c>
      <c r="K417" s="1" t="s">
        <v>1268</v>
      </c>
      <c r="L417" s="1" t="s">
        <v>36</v>
      </c>
      <c r="M417" s="1" t="str">
        <f>_xlfn.XLOOKUP(Sheet1!F417,Departments!$A$2:$A$6,Departments!$B$2:$B$6)</f>
        <v>Sales</v>
      </c>
      <c r="N417" s="1">
        <f>_xlfn.XLOOKUP(A417,Performance!$A$2:$A$501,Performance!$C$2:$C$501)</f>
        <v>2</v>
      </c>
      <c r="O417" s="1" cm="1">
        <f t="array" ref="O417">_xlfn.IFS(N417=5,I417+0.15*I417,N417=4,I417+I417*0.1,N417=3,I417+I417*0.07,N417&lt;3,I417+I417*0.05)</f>
        <v>109559.1</v>
      </c>
    </row>
    <row r="418" spans="1:15" x14ac:dyDescent="0.3">
      <c r="A418" s="1" t="s">
        <v>1269</v>
      </c>
      <c r="B418" s="1" t="s">
        <v>30</v>
      </c>
      <c r="C418" s="1" t="s">
        <v>83</v>
      </c>
      <c r="D418" s="1" t="s">
        <v>24</v>
      </c>
      <c r="E418" s="1">
        <v>40</v>
      </c>
      <c r="F418" s="1" t="s">
        <v>16</v>
      </c>
      <c r="G418" s="1" t="s">
        <v>26</v>
      </c>
      <c r="H418" s="1" t="s">
        <v>1270</v>
      </c>
      <c r="I418" s="1">
        <v>116236</v>
      </c>
      <c r="J418" s="1" t="s">
        <v>65</v>
      </c>
      <c r="K418" s="1" t="s">
        <v>1271</v>
      </c>
      <c r="L418" s="1" t="s">
        <v>36</v>
      </c>
      <c r="M418" s="1" t="str">
        <f>_xlfn.XLOOKUP(Sheet1!F418,Departments!$A$2:$A$6,Departments!$B$2:$B$6)</f>
        <v>HR</v>
      </c>
      <c r="N418" s="1">
        <f>_xlfn.XLOOKUP(A418,Performance!$A$2:$A$501,Performance!$C$2:$C$501)</f>
        <v>1</v>
      </c>
      <c r="O418" s="1" cm="1">
        <f t="array" ref="O418">_xlfn.IFS(N418=5,I418+0.15*I418,N418=4,I418+I418*0.1,N418=3,I418+I418*0.07,N418&lt;3,I418+I418*0.05)</f>
        <v>122047.8</v>
      </c>
    </row>
    <row r="419" spans="1:15" x14ac:dyDescent="0.3">
      <c r="A419" s="1" t="s">
        <v>1272</v>
      </c>
      <c r="B419" s="1" t="s">
        <v>44</v>
      </c>
      <c r="C419" s="1" t="s">
        <v>83</v>
      </c>
      <c r="D419" s="1" t="s">
        <v>24</v>
      </c>
      <c r="E419" s="1">
        <v>33</v>
      </c>
      <c r="F419" s="1" t="s">
        <v>39</v>
      </c>
      <c r="G419" s="1" t="s">
        <v>32</v>
      </c>
      <c r="H419" s="1" t="s">
        <v>1273</v>
      </c>
      <c r="I419" s="1">
        <v>63416</v>
      </c>
      <c r="J419" s="1" t="s">
        <v>19</v>
      </c>
      <c r="K419" s="1" t="s">
        <v>1274</v>
      </c>
      <c r="L419" s="1" t="s">
        <v>36</v>
      </c>
      <c r="M419" s="1" t="str">
        <f>_xlfn.XLOOKUP(Sheet1!F419,Departments!$A$2:$A$6,Departments!$B$2:$B$6)</f>
        <v>Marketing</v>
      </c>
      <c r="N419" s="1">
        <f>_xlfn.XLOOKUP(A419,Performance!$A$2:$A$501,Performance!$C$2:$C$501)</f>
        <v>3</v>
      </c>
      <c r="O419" s="1" cm="1">
        <f t="array" ref="O419">_xlfn.IFS(N419=5,I419+0.15*I419,N419=4,I419+I419*0.1,N419=3,I419+I419*0.07,N419&lt;3,I419+I419*0.05)</f>
        <v>67855.12</v>
      </c>
    </row>
    <row r="420" spans="1:15" x14ac:dyDescent="0.3">
      <c r="A420" s="1" t="s">
        <v>1275</v>
      </c>
      <c r="B420" s="1" t="s">
        <v>94</v>
      </c>
      <c r="C420" s="1" t="s">
        <v>78</v>
      </c>
      <c r="D420" s="1" t="s">
        <v>15</v>
      </c>
      <c r="E420" s="1">
        <v>46</v>
      </c>
      <c r="F420" s="1" t="s">
        <v>25</v>
      </c>
      <c r="G420" s="1" t="s">
        <v>40</v>
      </c>
      <c r="H420" s="1" t="s">
        <v>1276</v>
      </c>
      <c r="I420" s="1">
        <v>48319</v>
      </c>
      <c r="J420" s="1" t="s">
        <v>80</v>
      </c>
      <c r="K420" s="1" t="s">
        <v>1277</v>
      </c>
      <c r="L420" s="1" t="s">
        <v>21</v>
      </c>
      <c r="M420" s="1" t="str">
        <f>_xlfn.XLOOKUP(Sheet1!F420,Departments!$A$2:$A$6,Departments!$B$2:$B$6)</f>
        <v>IT</v>
      </c>
      <c r="N420" s="1">
        <f>_xlfn.XLOOKUP(A420,Performance!$A$2:$A$501,Performance!$C$2:$C$501)</f>
        <v>3</v>
      </c>
      <c r="O420" s="1" cm="1">
        <f t="array" ref="O420">_xlfn.IFS(N420=5,I420+0.15*I420,N420=4,I420+I420*0.1,N420=3,I420+I420*0.07,N420&lt;3,I420+I420*0.05)</f>
        <v>51701.33</v>
      </c>
    </row>
    <row r="421" spans="1:15" x14ac:dyDescent="0.3">
      <c r="A421" s="1" t="s">
        <v>1278</v>
      </c>
      <c r="B421" s="1" t="s">
        <v>13</v>
      </c>
      <c r="C421" s="1" t="s">
        <v>130</v>
      </c>
      <c r="D421" s="1" t="s">
        <v>15</v>
      </c>
      <c r="E421" s="1">
        <v>36</v>
      </c>
      <c r="F421" s="1" t="s">
        <v>39</v>
      </c>
      <c r="G421" s="1" t="s">
        <v>17</v>
      </c>
      <c r="H421" s="1" t="s">
        <v>1279</v>
      </c>
      <c r="I421" s="1">
        <v>82168</v>
      </c>
      <c r="J421" s="1" t="s">
        <v>19</v>
      </c>
      <c r="K421" s="1" t="s">
        <v>1280</v>
      </c>
      <c r="L421" s="1" t="s">
        <v>21</v>
      </c>
      <c r="M421" s="1" t="str">
        <f>_xlfn.XLOOKUP(Sheet1!F421,Departments!$A$2:$A$6,Departments!$B$2:$B$6)</f>
        <v>Marketing</v>
      </c>
      <c r="N421" s="1">
        <f>_xlfn.XLOOKUP(A421,Performance!$A$2:$A$501,Performance!$C$2:$C$501)</f>
        <v>1</v>
      </c>
      <c r="O421" s="1" cm="1">
        <f t="array" ref="O421">_xlfn.IFS(N421=5,I421+0.15*I421,N421=4,I421+I421*0.1,N421=3,I421+I421*0.07,N421&lt;3,I421+I421*0.05)</f>
        <v>86276.4</v>
      </c>
    </row>
    <row r="422" spans="1:15" x14ac:dyDescent="0.3">
      <c r="A422" s="1" t="s">
        <v>1281</v>
      </c>
      <c r="B422" s="1" t="s">
        <v>71</v>
      </c>
      <c r="C422" s="1" t="s">
        <v>63</v>
      </c>
      <c r="D422" s="1" t="s">
        <v>24</v>
      </c>
      <c r="E422" s="1">
        <v>32</v>
      </c>
      <c r="F422" s="1" t="s">
        <v>25</v>
      </c>
      <c r="G422" s="1" t="s">
        <v>40</v>
      </c>
      <c r="H422" s="1" t="s">
        <v>1282</v>
      </c>
      <c r="I422" s="1">
        <v>83994</v>
      </c>
      <c r="J422" s="1" t="s">
        <v>19</v>
      </c>
      <c r="K422" s="1" t="s">
        <v>1283</v>
      </c>
      <c r="L422" s="1" t="s">
        <v>36</v>
      </c>
      <c r="M422" s="1" t="str">
        <f>_xlfn.XLOOKUP(Sheet1!F422,Departments!$A$2:$A$6,Departments!$B$2:$B$6)</f>
        <v>IT</v>
      </c>
      <c r="N422" s="1">
        <f>_xlfn.XLOOKUP(A422,Performance!$A$2:$A$501,Performance!$C$2:$C$501)</f>
        <v>1</v>
      </c>
      <c r="O422" s="1" cm="1">
        <f t="array" ref="O422">_xlfn.IFS(N422=5,I422+0.15*I422,N422=4,I422+I422*0.1,N422=3,I422+I422*0.07,N422&lt;3,I422+I422*0.05)</f>
        <v>88193.7</v>
      </c>
    </row>
    <row r="423" spans="1:15" x14ac:dyDescent="0.3">
      <c r="A423" s="1" t="s">
        <v>1284</v>
      </c>
      <c r="B423" s="1" t="s">
        <v>30</v>
      </c>
      <c r="C423" s="1" t="s">
        <v>90</v>
      </c>
      <c r="D423" s="1" t="s">
        <v>15</v>
      </c>
      <c r="E423" s="1">
        <v>43</v>
      </c>
      <c r="F423" s="1" t="s">
        <v>25</v>
      </c>
      <c r="G423" s="1" t="s">
        <v>32</v>
      </c>
      <c r="H423" s="1" t="s">
        <v>1285</v>
      </c>
      <c r="I423" s="1">
        <v>45200</v>
      </c>
      <c r="J423" s="1" t="s">
        <v>19</v>
      </c>
      <c r="K423" s="1" t="s">
        <v>1286</v>
      </c>
      <c r="L423" s="1" t="s">
        <v>36</v>
      </c>
      <c r="M423" s="1" t="str">
        <f>_xlfn.XLOOKUP(Sheet1!F423,Departments!$A$2:$A$6,Departments!$B$2:$B$6)</f>
        <v>IT</v>
      </c>
      <c r="N423" s="1">
        <f>_xlfn.XLOOKUP(A423,Performance!$A$2:$A$501,Performance!$C$2:$C$501)</f>
        <v>4</v>
      </c>
      <c r="O423" s="1" cm="1">
        <f t="array" ref="O423">_xlfn.IFS(N423=5,I423+0.15*I423,N423=4,I423+I423*0.1,N423=3,I423+I423*0.07,N423&lt;3,I423+I423*0.05)</f>
        <v>49720</v>
      </c>
    </row>
    <row r="424" spans="1:15" x14ac:dyDescent="0.3">
      <c r="A424" s="1" t="s">
        <v>1287</v>
      </c>
      <c r="B424" s="1" t="s">
        <v>38</v>
      </c>
      <c r="C424" s="1" t="s">
        <v>63</v>
      </c>
      <c r="D424" s="1" t="s">
        <v>24</v>
      </c>
      <c r="E424" s="1">
        <v>25</v>
      </c>
      <c r="F424" s="1" t="s">
        <v>31</v>
      </c>
      <c r="G424" s="1" t="s">
        <v>17</v>
      </c>
      <c r="H424" s="1" t="s">
        <v>1288</v>
      </c>
      <c r="I424" s="1">
        <v>84722</v>
      </c>
      <c r="J424" s="1" t="s">
        <v>65</v>
      </c>
      <c r="K424" s="1" t="s">
        <v>1289</v>
      </c>
      <c r="L424" s="1" t="s">
        <v>36</v>
      </c>
      <c r="M424" s="1" t="str">
        <f>_xlfn.XLOOKUP(Sheet1!F424,Departments!$A$2:$A$6,Departments!$B$2:$B$6)</f>
        <v>Sales</v>
      </c>
      <c r="N424" s="1">
        <f>_xlfn.XLOOKUP(A424,Performance!$A$2:$A$501,Performance!$C$2:$C$501)</f>
        <v>4</v>
      </c>
      <c r="O424" s="1" cm="1">
        <f t="array" ref="O424">_xlfn.IFS(N424=5,I424+0.15*I424,N424=4,I424+I424*0.1,N424=3,I424+I424*0.07,N424&lt;3,I424+I424*0.05)</f>
        <v>93194.2</v>
      </c>
    </row>
    <row r="425" spans="1:15" x14ac:dyDescent="0.3">
      <c r="A425" s="1" t="s">
        <v>1290</v>
      </c>
      <c r="B425" s="1" t="s">
        <v>13</v>
      </c>
      <c r="C425" s="1" t="s">
        <v>63</v>
      </c>
      <c r="D425" s="1" t="s">
        <v>15</v>
      </c>
      <c r="E425" s="1">
        <v>24</v>
      </c>
      <c r="F425" s="1" t="s">
        <v>31</v>
      </c>
      <c r="G425" s="1" t="s">
        <v>17</v>
      </c>
      <c r="H425" s="1" t="s">
        <v>1291</v>
      </c>
      <c r="I425" s="1">
        <v>57088</v>
      </c>
      <c r="J425" s="1" t="s">
        <v>19</v>
      </c>
      <c r="K425" s="1" t="s">
        <v>1292</v>
      </c>
      <c r="L425" s="1" t="s">
        <v>21</v>
      </c>
      <c r="M425" s="1" t="str">
        <f>_xlfn.XLOOKUP(Sheet1!F425,Departments!$A$2:$A$6,Departments!$B$2:$B$6)</f>
        <v>Sales</v>
      </c>
      <c r="N425" s="1">
        <f>_xlfn.XLOOKUP(A425,Performance!$A$2:$A$501,Performance!$C$2:$C$501)</f>
        <v>3</v>
      </c>
      <c r="O425" s="1" cm="1">
        <f t="array" ref="O425">_xlfn.IFS(N425=5,I425+0.15*I425,N425=4,I425+I425*0.1,N425=3,I425+I425*0.07,N425&lt;3,I425+I425*0.05)</f>
        <v>61084.160000000003</v>
      </c>
    </row>
    <row r="426" spans="1:15" x14ac:dyDescent="0.3">
      <c r="A426" s="1" t="s">
        <v>1293</v>
      </c>
      <c r="B426" s="1" t="s">
        <v>58</v>
      </c>
      <c r="C426" s="1" t="s">
        <v>63</v>
      </c>
      <c r="D426" s="1" t="s">
        <v>24</v>
      </c>
      <c r="E426" s="1">
        <v>52</v>
      </c>
      <c r="F426" s="1" t="s">
        <v>50</v>
      </c>
      <c r="G426" s="1" t="s">
        <v>108</v>
      </c>
      <c r="H426" s="1" t="s">
        <v>1294</v>
      </c>
      <c r="I426" s="1">
        <v>106181</v>
      </c>
      <c r="J426" s="1" t="s">
        <v>34</v>
      </c>
      <c r="K426" s="1" t="s">
        <v>1295</v>
      </c>
      <c r="L426" s="1" t="s">
        <v>21</v>
      </c>
      <c r="M426" s="1" t="str">
        <f>_xlfn.XLOOKUP(Sheet1!F426,Departments!$A$2:$A$6,Departments!$B$2:$B$6)</f>
        <v>Finance</v>
      </c>
      <c r="N426" s="1">
        <f>_xlfn.XLOOKUP(A426,Performance!$A$2:$A$501,Performance!$C$2:$C$501)</f>
        <v>2</v>
      </c>
      <c r="O426" s="1" cm="1">
        <f t="array" ref="O426">_xlfn.IFS(N426=5,I426+0.15*I426,N426=4,I426+I426*0.1,N426=3,I426+I426*0.07,N426&lt;3,I426+I426*0.05)</f>
        <v>111490.05</v>
      </c>
    </row>
    <row r="427" spans="1:15" x14ac:dyDescent="0.3">
      <c r="A427" s="1" t="s">
        <v>1296</v>
      </c>
      <c r="B427" s="1" t="s">
        <v>71</v>
      </c>
      <c r="C427" s="1" t="s">
        <v>90</v>
      </c>
      <c r="D427" s="1" t="s">
        <v>15</v>
      </c>
      <c r="E427" s="1">
        <v>48</v>
      </c>
      <c r="F427" s="1" t="s">
        <v>25</v>
      </c>
      <c r="G427" s="1" t="s">
        <v>17</v>
      </c>
      <c r="H427" s="1" t="s">
        <v>1297</v>
      </c>
      <c r="I427" s="1">
        <v>117192</v>
      </c>
      <c r="J427" s="1" t="s">
        <v>60</v>
      </c>
      <c r="K427" s="1" t="s">
        <v>1298</v>
      </c>
      <c r="L427" s="1" t="s">
        <v>21</v>
      </c>
      <c r="M427" s="1" t="str">
        <f>_xlfn.XLOOKUP(Sheet1!F427,Departments!$A$2:$A$6,Departments!$B$2:$B$6)</f>
        <v>IT</v>
      </c>
      <c r="N427" s="1">
        <f>_xlfn.XLOOKUP(A427,Performance!$A$2:$A$501,Performance!$C$2:$C$501)</f>
        <v>5</v>
      </c>
      <c r="O427" s="1" cm="1">
        <f t="array" ref="O427">_xlfn.IFS(N427=5,I427+0.15*I427,N427=4,I427+I427*0.1,N427=3,I427+I427*0.07,N427&lt;3,I427+I427*0.05)</f>
        <v>134770.79999999999</v>
      </c>
    </row>
    <row r="428" spans="1:15" x14ac:dyDescent="0.3">
      <c r="A428" s="1" t="s">
        <v>1299</v>
      </c>
      <c r="B428" s="1" t="s">
        <v>94</v>
      </c>
      <c r="C428" s="1" t="s">
        <v>14</v>
      </c>
      <c r="D428" s="1" t="s">
        <v>15</v>
      </c>
      <c r="E428" s="1">
        <v>43</v>
      </c>
      <c r="F428" s="1" t="s">
        <v>25</v>
      </c>
      <c r="G428" s="1" t="s">
        <v>108</v>
      </c>
      <c r="H428" s="1" t="s">
        <v>1300</v>
      </c>
      <c r="I428" s="1">
        <v>114670</v>
      </c>
      <c r="J428" s="1" t="s">
        <v>60</v>
      </c>
      <c r="K428" s="1" t="s">
        <v>1301</v>
      </c>
      <c r="L428" s="1" t="s">
        <v>36</v>
      </c>
      <c r="M428" s="1" t="str">
        <f>_xlfn.XLOOKUP(Sheet1!F428,Departments!$A$2:$A$6,Departments!$B$2:$B$6)</f>
        <v>IT</v>
      </c>
      <c r="N428" s="1">
        <f>_xlfn.XLOOKUP(A428,Performance!$A$2:$A$501,Performance!$C$2:$C$501)</f>
        <v>3</v>
      </c>
      <c r="O428" s="1" cm="1">
        <f t="array" ref="O428">_xlfn.IFS(N428=5,I428+0.15*I428,N428=4,I428+I428*0.1,N428=3,I428+I428*0.07,N428&lt;3,I428+I428*0.05)</f>
        <v>122696.9</v>
      </c>
    </row>
    <row r="429" spans="1:15" x14ac:dyDescent="0.3">
      <c r="A429" s="1" t="s">
        <v>1302</v>
      </c>
      <c r="B429" s="1" t="s">
        <v>30</v>
      </c>
      <c r="C429" s="1" t="s">
        <v>63</v>
      </c>
      <c r="D429" s="1" t="s">
        <v>15</v>
      </c>
      <c r="E429" s="1">
        <v>36</v>
      </c>
      <c r="F429" s="1" t="s">
        <v>16</v>
      </c>
      <c r="G429" s="1" t="s">
        <v>40</v>
      </c>
      <c r="H429" s="1" t="s">
        <v>687</v>
      </c>
      <c r="I429" s="1">
        <v>116951</v>
      </c>
      <c r="J429" s="1" t="s">
        <v>80</v>
      </c>
      <c r="K429" s="1" t="s">
        <v>1303</v>
      </c>
      <c r="L429" s="1" t="s">
        <v>21</v>
      </c>
      <c r="M429" s="1" t="str">
        <f>_xlfn.XLOOKUP(Sheet1!F429,Departments!$A$2:$A$6,Departments!$B$2:$B$6)</f>
        <v>HR</v>
      </c>
      <c r="N429" s="1">
        <f>_xlfn.XLOOKUP(A429,Performance!$A$2:$A$501,Performance!$C$2:$C$501)</f>
        <v>2</v>
      </c>
      <c r="O429" s="1" cm="1">
        <f t="array" ref="O429">_xlfn.IFS(N429=5,I429+0.15*I429,N429=4,I429+I429*0.1,N429=3,I429+I429*0.07,N429&lt;3,I429+I429*0.05)</f>
        <v>122798.55</v>
      </c>
    </row>
    <row r="430" spans="1:15" x14ac:dyDescent="0.3">
      <c r="A430" s="1" t="s">
        <v>1304</v>
      </c>
      <c r="B430" s="1" t="s">
        <v>71</v>
      </c>
      <c r="C430" s="1" t="s">
        <v>83</v>
      </c>
      <c r="D430" s="1" t="s">
        <v>15</v>
      </c>
      <c r="E430" s="1">
        <v>43</v>
      </c>
      <c r="F430" s="1" t="s">
        <v>16</v>
      </c>
      <c r="G430" s="1" t="s">
        <v>26</v>
      </c>
      <c r="H430" s="1" t="s">
        <v>650</v>
      </c>
      <c r="I430" s="1">
        <v>86123</v>
      </c>
      <c r="J430" s="1" t="s">
        <v>34</v>
      </c>
      <c r="K430" s="1" t="s">
        <v>1305</v>
      </c>
      <c r="L430" s="1" t="s">
        <v>36</v>
      </c>
      <c r="M430" s="1" t="str">
        <f>_xlfn.XLOOKUP(Sheet1!F430,Departments!$A$2:$A$6,Departments!$B$2:$B$6)</f>
        <v>HR</v>
      </c>
      <c r="N430" s="1">
        <f>_xlfn.XLOOKUP(A430,Performance!$A$2:$A$501,Performance!$C$2:$C$501)</f>
        <v>1</v>
      </c>
      <c r="O430" s="1" cm="1">
        <f t="array" ref="O430">_xlfn.IFS(N430=5,I430+0.15*I430,N430=4,I430+I430*0.1,N430=3,I430+I430*0.07,N430&lt;3,I430+I430*0.05)</f>
        <v>90429.15</v>
      </c>
    </row>
    <row r="431" spans="1:15" x14ac:dyDescent="0.3">
      <c r="A431" s="1" t="s">
        <v>1306</v>
      </c>
      <c r="B431" s="1" t="s">
        <v>13</v>
      </c>
      <c r="C431" s="1" t="s">
        <v>90</v>
      </c>
      <c r="D431" s="1" t="s">
        <v>15</v>
      </c>
      <c r="E431" s="1">
        <v>45</v>
      </c>
      <c r="F431" s="1" t="s">
        <v>50</v>
      </c>
      <c r="G431" s="1" t="s">
        <v>17</v>
      </c>
      <c r="H431" s="1" t="s">
        <v>1307</v>
      </c>
      <c r="I431" s="1">
        <v>68220</v>
      </c>
      <c r="J431" s="1" t="s">
        <v>80</v>
      </c>
      <c r="K431" s="1" t="s">
        <v>1308</v>
      </c>
      <c r="L431" s="1" t="s">
        <v>21</v>
      </c>
      <c r="M431" s="1" t="str">
        <f>_xlfn.XLOOKUP(Sheet1!F431,Departments!$A$2:$A$6,Departments!$B$2:$B$6)</f>
        <v>Finance</v>
      </c>
      <c r="N431" s="1">
        <f>_xlfn.XLOOKUP(A431,Performance!$A$2:$A$501,Performance!$C$2:$C$501)</f>
        <v>5</v>
      </c>
      <c r="O431" s="1" cm="1">
        <f t="array" ref="O431">_xlfn.IFS(N431=5,I431+0.15*I431,N431=4,I431+I431*0.1,N431=3,I431+I431*0.07,N431&lt;3,I431+I431*0.05)</f>
        <v>78453</v>
      </c>
    </row>
    <row r="432" spans="1:15" x14ac:dyDescent="0.3">
      <c r="A432" s="1" t="s">
        <v>1309</v>
      </c>
      <c r="B432" s="1" t="s">
        <v>49</v>
      </c>
      <c r="C432" s="1" t="s">
        <v>130</v>
      </c>
      <c r="D432" s="1" t="s">
        <v>15</v>
      </c>
      <c r="E432" s="1">
        <v>60</v>
      </c>
      <c r="F432" s="1" t="s">
        <v>39</v>
      </c>
      <c r="G432" s="1" t="s">
        <v>32</v>
      </c>
      <c r="H432" s="1" t="s">
        <v>1310</v>
      </c>
      <c r="I432" s="1">
        <v>115147</v>
      </c>
      <c r="J432" s="1" t="s">
        <v>34</v>
      </c>
      <c r="K432" s="1" t="s">
        <v>1311</v>
      </c>
      <c r="L432" s="1" t="s">
        <v>36</v>
      </c>
      <c r="M432" s="1" t="str">
        <f>_xlfn.XLOOKUP(Sheet1!F432,Departments!$A$2:$A$6,Departments!$B$2:$B$6)</f>
        <v>Marketing</v>
      </c>
      <c r="N432" s="1">
        <f>_xlfn.XLOOKUP(A432,Performance!$A$2:$A$501,Performance!$C$2:$C$501)</f>
        <v>2</v>
      </c>
      <c r="O432" s="1" cm="1">
        <f t="array" ref="O432">_xlfn.IFS(N432=5,I432+0.15*I432,N432=4,I432+I432*0.1,N432=3,I432+I432*0.07,N432&lt;3,I432+I432*0.05)</f>
        <v>120904.35</v>
      </c>
    </row>
    <row r="433" spans="1:15" x14ac:dyDescent="0.3">
      <c r="A433" s="1" t="s">
        <v>1312</v>
      </c>
      <c r="B433" s="1" t="s">
        <v>94</v>
      </c>
      <c r="C433" s="1" t="s">
        <v>45</v>
      </c>
      <c r="D433" s="1" t="s">
        <v>15</v>
      </c>
      <c r="E433" s="1">
        <v>54</v>
      </c>
      <c r="F433" s="1" t="s">
        <v>50</v>
      </c>
      <c r="G433" s="1" t="s">
        <v>26</v>
      </c>
      <c r="H433" s="1" t="s">
        <v>1313</v>
      </c>
      <c r="I433" s="1">
        <v>68028</v>
      </c>
      <c r="J433" s="1" t="s">
        <v>19</v>
      </c>
      <c r="K433" s="1" t="s">
        <v>1314</v>
      </c>
      <c r="L433" s="1" t="s">
        <v>36</v>
      </c>
      <c r="M433" s="1" t="str">
        <f>_xlfn.XLOOKUP(Sheet1!F433,Departments!$A$2:$A$6,Departments!$B$2:$B$6)</f>
        <v>Finance</v>
      </c>
      <c r="N433" s="1">
        <f>_xlfn.XLOOKUP(A433,Performance!$A$2:$A$501,Performance!$C$2:$C$501)</f>
        <v>4</v>
      </c>
      <c r="O433" s="1" cm="1">
        <f t="array" ref="O433">_xlfn.IFS(N433=5,I433+0.15*I433,N433=4,I433+I433*0.1,N433=3,I433+I433*0.07,N433&lt;3,I433+I433*0.05)</f>
        <v>74830.8</v>
      </c>
    </row>
    <row r="434" spans="1:15" x14ac:dyDescent="0.3">
      <c r="A434" s="1" t="s">
        <v>1315</v>
      </c>
      <c r="B434" s="1" t="s">
        <v>38</v>
      </c>
      <c r="C434" s="1" t="s">
        <v>45</v>
      </c>
      <c r="D434" s="1" t="s">
        <v>24</v>
      </c>
      <c r="E434" s="1">
        <v>52</v>
      </c>
      <c r="F434" s="1" t="s">
        <v>39</v>
      </c>
      <c r="G434" s="1" t="s">
        <v>108</v>
      </c>
      <c r="H434" s="1" t="s">
        <v>1316</v>
      </c>
      <c r="I434" s="1">
        <v>46732</v>
      </c>
      <c r="J434" s="1" t="s">
        <v>65</v>
      </c>
      <c r="K434" s="1" t="s">
        <v>1317</v>
      </c>
      <c r="L434" s="1" t="s">
        <v>36</v>
      </c>
      <c r="M434" s="1" t="str">
        <f>_xlfn.XLOOKUP(Sheet1!F434,Departments!$A$2:$A$6,Departments!$B$2:$B$6)</f>
        <v>Marketing</v>
      </c>
      <c r="N434" s="1">
        <f>_xlfn.XLOOKUP(A434,Performance!$A$2:$A$501,Performance!$C$2:$C$501)</f>
        <v>1</v>
      </c>
      <c r="O434" s="1" cm="1">
        <f t="array" ref="O434">_xlfn.IFS(N434=5,I434+0.15*I434,N434=4,I434+I434*0.1,N434=3,I434+I434*0.07,N434&lt;3,I434+I434*0.05)</f>
        <v>49068.6</v>
      </c>
    </row>
    <row r="435" spans="1:15" x14ac:dyDescent="0.3">
      <c r="A435" s="1" t="s">
        <v>1318</v>
      </c>
      <c r="B435" s="1" t="s">
        <v>44</v>
      </c>
      <c r="C435" s="1" t="s">
        <v>130</v>
      </c>
      <c r="D435" s="1" t="s">
        <v>24</v>
      </c>
      <c r="E435" s="1">
        <v>53</v>
      </c>
      <c r="F435" s="1" t="s">
        <v>16</v>
      </c>
      <c r="G435" s="1" t="s">
        <v>108</v>
      </c>
      <c r="H435" s="1" t="s">
        <v>1319</v>
      </c>
      <c r="I435" s="1">
        <v>37701</v>
      </c>
      <c r="J435" s="1" t="s">
        <v>34</v>
      </c>
      <c r="K435" s="1" t="s">
        <v>1320</v>
      </c>
      <c r="L435" s="1" t="s">
        <v>36</v>
      </c>
      <c r="M435" s="1" t="str">
        <f>_xlfn.XLOOKUP(Sheet1!F435,Departments!$A$2:$A$6,Departments!$B$2:$B$6)</f>
        <v>HR</v>
      </c>
      <c r="N435" s="1">
        <f>_xlfn.XLOOKUP(A435,Performance!$A$2:$A$501,Performance!$C$2:$C$501)</f>
        <v>4</v>
      </c>
      <c r="O435" s="1" cm="1">
        <f t="array" ref="O435">_xlfn.IFS(N435=5,I435+0.15*I435,N435=4,I435+I435*0.1,N435=3,I435+I435*0.07,N435&lt;3,I435+I435*0.05)</f>
        <v>41471.1</v>
      </c>
    </row>
    <row r="436" spans="1:15" x14ac:dyDescent="0.3">
      <c r="A436" s="1" t="s">
        <v>1321</v>
      </c>
      <c r="B436" s="1" t="s">
        <v>49</v>
      </c>
      <c r="C436" s="1" t="s">
        <v>45</v>
      </c>
      <c r="D436" s="1" t="s">
        <v>15</v>
      </c>
      <c r="E436" s="1">
        <v>51</v>
      </c>
      <c r="F436" s="1" t="s">
        <v>16</v>
      </c>
      <c r="G436" s="1" t="s">
        <v>26</v>
      </c>
      <c r="H436" s="1" t="s">
        <v>822</v>
      </c>
      <c r="I436" s="1">
        <v>103930</v>
      </c>
      <c r="J436" s="1" t="s">
        <v>60</v>
      </c>
      <c r="K436" s="1" t="s">
        <v>1322</v>
      </c>
      <c r="L436" s="1" t="s">
        <v>36</v>
      </c>
      <c r="M436" s="1" t="str">
        <f>_xlfn.XLOOKUP(Sheet1!F436,Departments!$A$2:$A$6,Departments!$B$2:$B$6)</f>
        <v>HR</v>
      </c>
      <c r="N436" s="1">
        <f>_xlfn.XLOOKUP(A436,Performance!$A$2:$A$501,Performance!$C$2:$C$501)</f>
        <v>1</v>
      </c>
      <c r="O436" s="1" cm="1">
        <f t="array" ref="O436">_xlfn.IFS(N436=5,I436+0.15*I436,N436=4,I436+I436*0.1,N436=3,I436+I436*0.07,N436&lt;3,I436+I436*0.05)</f>
        <v>109126.5</v>
      </c>
    </row>
    <row r="437" spans="1:15" x14ac:dyDescent="0.3">
      <c r="A437" s="1" t="s">
        <v>1323</v>
      </c>
      <c r="B437" s="1" t="s">
        <v>143</v>
      </c>
      <c r="C437" s="1" t="s">
        <v>90</v>
      </c>
      <c r="D437" s="1" t="s">
        <v>15</v>
      </c>
      <c r="E437" s="1">
        <v>41</v>
      </c>
      <c r="F437" s="1" t="s">
        <v>25</v>
      </c>
      <c r="G437" s="1" t="s">
        <v>17</v>
      </c>
      <c r="H437" s="1" t="s">
        <v>1041</v>
      </c>
      <c r="I437" s="1">
        <v>83188</v>
      </c>
      <c r="J437" s="1" t="s">
        <v>80</v>
      </c>
      <c r="K437" s="1" t="s">
        <v>1324</v>
      </c>
      <c r="L437" s="1" t="s">
        <v>21</v>
      </c>
      <c r="M437" s="1" t="str">
        <f>_xlfn.XLOOKUP(Sheet1!F437,Departments!$A$2:$A$6,Departments!$B$2:$B$6)</f>
        <v>IT</v>
      </c>
      <c r="N437" s="1">
        <f>_xlfn.XLOOKUP(A437,Performance!$A$2:$A$501,Performance!$C$2:$C$501)</f>
        <v>1</v>
      </c>
      <c r="O437" s="1" cm="1">
        <f t="array" ref="O437">_xlfn.IFS(N437=5,I437+0.15*I437,N437=4,I437+I437*0.1,N437=3,I437+I437*0.07,N437&lt;3,I437+I437*0.05)</f>
        <v>87347.4</v>
      </c>
    </row>
    <row r="438" spans="1:15" x14ac:dyDescent="0.3">
      <c r="A438" s="1" t="s">
        <v>1325</v>
      </c>
      <c r="B438" s="1" t="s">
        <v>13</v>
      </c>
      <c r="C438" s="1" t="s">
        <v>95</v>
      </c>
      <c r="D438" s="1" t="s">
        <v>24</v>
      </c>
      <c r="E438" s="1">
        <v>23</v>
      </c>
      <c r="F438" s="1" t="s">
        <v>39</v>
      </c>
      <c r="G438" s="1" t="s">
        <v>26</v>
      </c>
      <c r="H438" s="1" t="s">
        <v>1326</v>
      </c>
      <c r="I438" s="1">
        <v>50616</v>
      </c>
      <c r="J438" s="1" t="s">
        <v>60</v>
      </c>
      <c r="K438" s="1" t="s">
        <v>1327</v>
      </c>
      <c r="L438" s="1" t="s">
        <v>36</v>
      </c>
      <c r="M438" s="1" t="str">
        <f>_xlfn.XLOOKUP(Sheet1!F438,Departments!$A$2:$A$6,Departments!$B$2:$B$6)</f>
        <v>Marketing</v>
      </c>
      <c r="N438" s="1">
        <f>_xlfn.XLOOKUP(A438,Performance!$A$2:$A$501,Performance!$C$2:$C$501)</f>
        <v>2</v>
      </c>
      <c r="O438" s="1" cm="1">
        <f t="array" ref="O438">_xlfn.IFS(N438=5,I438+0.15*I438,N438=4,I438+I438*0.1,N438=3,I438+I438*0.07,N438&lt;3,I438+I438*0.05)</f>
        <v>53146.8</v>
      </c>
    </row>
    <row r="439" spans="1:15" x14ac:dyDescent="0.3">
      <c r="A439" s="1" t="s">
        <v>1328</v>
      </c>
      <c r="B439" s="1" t="s">
        <v>94</v>
      </c>
      <c r="C439" s="1" t="s">
        <v>130</v>
      </c>
      <c r="D439" s="1" t="s">
        <v>24</v>
      </c>
      <c r="E439" s="1">
        <v>52</v>
      </c>
      <c r="F439" s="1" t="s">
        <v>39</v>
      </c>
      <c r="G439" s="1" t="s">
        <v>17</v>
      </c>
      <c r="H439" s="1" t="s">
        <v>1329</v>
      </c>
      <c r="I439" s="1">
        <v>80964</v>
      </c>
      <c r="J439" s="1" t="s">
        <v>60</v>
      </c>
      <c r="K439" s="1" t="s">
        <v>1330</v>
      </c>
      <c r="L439" s="1" t="s">
        <v>21</v>
      </c>
      <c r="M439" s="1" t="str">
        <f>_xlfn.XLOOKUP(Sheet1!F439,Departments!$A$2:$A$6,Departments!$B$2:$B$6)</f>
        <v>Marketing</v>
      </c>
      <c r="N439" s="1">
        <f>_xlfn.XLOOKUP(A439,Performance!$A$2:$A$501,Performance!$C$2:$C$501)</f>
        <v>2</v>
      </c>
      <c r="O439" s="1" cm="1">
        <f t="array" ref="O439">_xlfn.IFS(N439=5,I439+0.15*I439,N439=4,I439+I439*0.1,N439=3,I439+I439*0.07,N439&lt;3,I439+I439*0.05)</f>
        <v>85012.2</v>
      </c>
    </row>
    <row r="440" spans="1:15" x14ac:dyDescent="0.3">
      <c r="A440" s="1" t="s">
        <v>1331</v>
      </c>
      <c r="B440" s="1" t="s">
        <v>38</v>
      </c>
      <c r="C440" s="1" t="s">
        <v>83</v>
      </c>
      <c r="D440" s="1" t="s">
        <v>24</v>
      </c>
      <c r="E440" s="1">
        <v>28</v>
      </c>
      <c r="F440" s="1" t="s">
        <v>39</v>
      </c>
      <c r="G440" s="1" t="s">
        <v>26</v>
      </c>
      <c r="H440" s="1" t="s">
        <v>1332</v>
      </c>
      <c r="I440" s="1">
        <v>38806</v>
      </c>
      <c r="J440" s="1" t="s">
        <v>60</v>
      </c>
      <c r="K440" s="1" t="s">
        <v>1333</v>
      </c>
      <c r="L440" s="1" t="s">
        <v>36</v>
      </c>
      <c r="M440" s="1" t="str">
        <f>_xlfn.XLOOKUP(Sheet1!F440,Departments!$A$2:$A$6,Departments!$B$2:$B$6)</f>
        <v>Marketing</v>
      </c>
      <c r="N440" s="1">
        <f>_xlfn.XLOOKUP(A440,Performance!$A$2:$A$501,Performance!$C$2:$C$501)</f>
        <v>2</v>
      </c>
      <c r="O440" s="1" cm="1">
        <f t="array" ref="O440">_xlfn.IFS(N440=5,I440+0.15*I440,N440=4,I440+I440*0.1,N440=3,I440+I440*0.07,N440&lt;3,I440+I440*0.05)</f>
        <v>40746.300000000003</v>
      </c>
    </row>
    <row r="441" spans="1:15" x14ac:dyDescent="0.3">
      <c r="A441" s="1" t="s">
        <v>1334</v>
      </c>
      <c r="B441" s="1" t="s">
        <v>94</v>
      </c>
      <c r="C441" s="1" t="s">
        <v>83</v>
      </c>
      <c r="D441" s="1" t="s">
        <v>15</v>
      </c>
      <c r="E441" s="1">
        <v>29</v>
      </c>
      <c r="F441" s="1" t="s">
        <v>16</v>
      </c>
      <c r="G441" s="1" t="s">
        <v>32</v>
      </c>
      <c r="H441" s="1" t="s">
        <v>819</v>
      </c>
      <c r="I441" s="1">
        <v>71247</v>
      </c>
      <c r="J441" s="1" t="s">
        <v>60</v>
      </c>
      <c r="K441" s="1" t="s">
        <v>1335</v>
      </c>
      <c r="L441" s="1" t="s">
        <v>36</v>
      </c>
      <c r="M441" s="1" t="str">
        <f>_xlfn.XLOOKUP(Sheet1!F441,Departments!$A$2:$A$6,Departments!$B$2:$B$6)</f>
        <v>HR</v>
      </c>
      <c r="N441" s="1">
        <f>_xlfn.XLOOKUP(A441,Performance!$A$2:$A$501,Performance!$C$2:$C$501)</f>
        <v>4</v>
      </c>
      <c r="O441" s="1" cm="1">
        <f t="array" ref="O441">_xlfn.IFS(N441=5,I441+0.15*I441,N441=4,I441+I441*0.1,N441=3,I441+I441*0.07,N441&lt;3,I441+I441*0.05)</f>
        <v>78371.7</v>
      </c>
    </row>
    <row r="442" spans="1:15" x14ac:dyDescent="0.3">
      <c r="A442" s="1" t="s">
        <v>1336</v>
      </c>
      <c r="B442" s="1" t="s">
        <v>58</v>
      </c>
      <c r="C442" s="1" t="s">
        <v>165</v>
      </c>
      <c r="D442" s="1" t="s">
        <v>15</v>
      </c>
      <c r="E442" s="1">
        <v>29</v>
      </c>
      <c r="F442" s="1" t="s">
        <v>39</v>
      </c>
      <c r="G442" s="1" t="s">
        <v>40</v>
      </c>
      <c r="H442" s="1" t="s">
        <v>1337</v>
      </c>
      <c r="I442" s="1">
        <v>109197</v>
      </c>
      <c r="J442" s="1" t="s">
        <v>80</v>
      </c>
      <c r="K442" s="1" t="s">
        <v>1338</v>
      </c>
      <c r="L442" s="1" t="s">
        <v>36</v>
      </c>
      <c r="M442" s="1" t="str">
        <f>_xlfn.XLOOKUP(Sheet1!F442,Departments!$A$2:$A$6,Departments!$B$2:$B$6)</f>
        <v>Marketing</v>
      </c>
      <c r="N442" s="1">
        <f>_xlfn.XLOOKUP(A442,Performance!$A$2:$A$501,Performance!$C$2:$C$501)</f>
        <v>2</v>
      </c>
      <c r="O442" s="1" cm="1">
        <f t="array" ref="O442">_xlfn.IFS(N442=5,I442+0.15*I442,N442=4,I442+I442*0.1,N442=3,I442+I442*0.07,N442&lt;3,I442+I442*0.05)</f>
        <v>114656.85</v>
      </c>
    </row>
    <row r="443" spans="1:15" x14ac:dyDescent="0.3">
      <c r="A443" s="1" t="s">
        <v>1339</v>
      </c>
      <c r="B443" s="1" t="s">
        <v>44</v>
      </c>
      <c r="C443" s="1" t="s">
        <v>63</v>
      </c>
      <c r="D443" s="1" t="s">
        <v>24</v>
      </c>
      <c r="E443" s="1">
        <v>47</v>
      </c>
      <c r="F443" s="1" t="s">
        <v>31</v>
      </c>
      <c r="G443" s="1" t="s">
        <v>40</v>
      </c>
      <c r="H443" s="1" t="s">
        <v>1340</v>
      </c>
      <c r="I443" s="1">
        <v>77368</v>
      </c>
      <c r="J443" s="1" t="s">
        <v>19</v>
      </c>
      <c r="K443" s="1" t="s">
        <v>1341</v>
      </c>
      <c r="L443" s="1" t="s">
        <v>21</v>
      </c>
      <c r="M443" s="1" t="str">
        <f>_xlfn.XLOOKUP(Sheet1!F443,Departments!$A$2:$A$6,Departments!$B$2:$B$6)</f>
        <v>Sales</v>
      </c>
      <c r="N443" s="1">
        <f>_xlfn.XLOOKUP(A443,Performance!$A$2:$A$501,Performance!$C$2:$C$501)</f>
        <v>2</v>
      </c>
      <c r="O443" s="1" cm="1">
        <f t="array" ref="O443">_xlfn.IFS(N443=5,I443+0.15*I443,N443=4,I443+I443*0.1,N443=3,I443+I443*0.07,N443&lt;3,I443+I443*0.05)</f>
        <v>81236.399999999994</v>
      </c>
    </row>
    <row r="444" spans="1:15" x14ac:dyDescent="0.3">
      <c r="A444" s="1" t="s">
        <v>1342</v>
      </c>
      <c r="B444" s="1" t="s">
        <v>71</v>
      </c>
      <c r="C444" s="1" t="s">
        <v>165</v>
      </c>
      <c r="D444" s="1" t="s">
        <v>24</v>
      </c>
      <c r="E444" s="1">
        <v>41</v>
      </c>
      <c r="F444" s="1" t="s">
        <v>16</v>
      </c>
      <c r="G444" s="1" t="s">
        <v>32</v>
      </c>
      <c r="H444" s="1" t="s">
        <v>1343</v>
      </c>
      <c r="I444" s="1">
        <v>62102</v>
      </c>
      <c r="J444" s="1" t="s">
        <v>80</v>
      </c>
      <c r="K444" s="1" t="s">
        <v>1344</v>
      </c>
      <c r="L444" s="1" t="s">
        <v>36</v>
      </c>
      <c r="M444" s="1" t="str">
        <f>_xlfn.XLOOKUP(Sheet1!F444,Departments!$A$2:$A$6,Departments!$B$2:$B$6)</f>
        <v>HR</v>
      </c>
      <c r="N444" s="1">
        <f>_xlfn.XLOOKUP(A444,Performance!$A$2:$A$501,Performance!$C$2:$C$501)</f>
        <v>2</v>
      </c>
      <c r="O444" s="1" cm="1">
        <f t="array" ref="O444">_xlfn.IFS(N444=5,I444+0.15*I444,N444=4,I444+I444*0.1,N444=3,I444+I444*0.07,N444&lt;3,I444+I444*0.05)</f>
        <v>65207.1</v>
      </c>
    </row>
    <row r="445" spans="1:15" x14ac:dyDescent="0.3">
      <c r="A445" s="1" t="s">
        <v>1345</v>
      </c>
      <c r="B445" s="1" t="s">
        <v>44</v>
      </c>
      <c r="C445" s="1" t="s">
        <v>14</v>
      </c>
      <c r="D445" s="1" t="s">
        <v>24</v>
      </c>
      <c r="E445" s="1">
        <v>40</v>
      </c>
      <c r="F445" s="1" t="s">
        <v>16</v>
      </c>
      <c r="G445" s="1" t="s">
        <v>40</v>
      </c>
      <c r="H445" s="1" t="s">
        <v>1346</v>
      </c>
      <c r="I445" s="1">
        <v>66499</v>
      </c>
      <c r="J445" s="1" t="s">
        <v>80</v>
      </c>
      <c r="K445" s="1" t="s">
        <v>1347</v>
      </c>
      <c r="L445" s="1" t="s">
        <v>21</v>
      </c>
      <c r="M445" s="1" t="str">
        <f>_xlfn.XLOOKUP(Sheet1!F445,Departments!$A$2:$A$6,Departments!$B$2:$B$6)</f>
        <v>HR</v>
      </c>
      <c r="N445" s="1">
        <f>_xlfn.XLOOKUP(A445,Performance!$A$2:$A$501,Performance!$C$2:$C$501)</f>
        <v>2</v>
      </c>
      <c r="O445" s="1" cm="1">
        <f t="array" ref="O445">_xlfn.IFS(N445=5,I445+0.15*I445,N445=4,I445+I445*0.1,N445=3,I445+I445*0.07,N445&lt;3,I445+I445*0.05)</f>
        <v>69823.95</v>
      </c>
    </row>
    <row r="446" spans="1:15" x14ac:dyDescent="0.3">
      <c r="A446" s="1" t="s">
        <v>1348</v>
      </c>
      <c r="B446" s="1" t="s">
        <v>13</v>
      </c>
      <c r="C446" s="1" t="s">
        <v>23</v>
      </c>
      <c r="D446" s="1" t="s">
        <v>24</v>
      </c>
      <c r="E446" s="1">
        <v>47</v>
      </c>
      <c r="F446" s="1" t="s">
        <v>31</v>
      </c>
      <c r="G446" s="1" t="s">
        <v>108</v>
      </c>
      <c r="H446" s="1" t="s">
        <v>1349</v>
      </c>
      <c r="I446" s="1">
        <v>114326</v>
      </c>
      <c r="J446" s="1" t="s">
        <v>34</v>
      </c>
      <c r="K446" s="1" t="s">
        <v>1350</v>
      </c>
      <c r="L446" s="1" t="s">
        <v>36</v>
      </c>
      <c r="M446" s="1" t="str">
        <f>_xlfn.XLOOKUP(Sheet1!F446,Departments!$A$2:$A$6,Departments!$B$2:$B$6)</f>
        <v>Sales</v>
      </c>
      <c r="N446" s="1">
        <f>_xlfn.XLOOKUP(A446,Performance!$A$2:$A$501,Performance!$C$2:$C$501)</f>
        <v>2</v>
      </c>
      <c r="O446" s="1" cm="1">
        <f t="array" ref="O446">_xlfn.IFS(N446=5,I446+0.15*I446,N446=4,I446+I446*0.1,N446=3,I446+I446*0.07,N446&lt;3,I446+I446*0.05)</f>
        <v>120042.3</v>
      </c>
    </row>
    <row r="447" spans="1:15" x14ac:dyDescent="0.3">
      <c r="A447" s="1" t="s">
        <v>1351</v>
      </c>
      <c r="B447" s="1" t="s">
        <v>54</v>
      </c>
      <c r="C447" s="1" t="s">
        <v>78</v>
      </c>
      <c r="D447" s="1" t="s">
        <v>15</v>
      </c>
      <c r="E447" s="1">
        <v>49</v>
      </c>
      <c r="F447" s="1" t="s">
        <v>25</v>
      </c>
      <c r="G447" s="1" t="s">
        <v>32</v>
      </c>
      <c r="H447" s="1" t="s">
        <v>1352</v>
      </c>
      <c r="I447" s="1">
        <v>98144</v>
      </c>
      <c r="J447" s="1" t="s">
        <v>65</v>
      </c>
      <c r="K447" s="1" t="s">
        <v>1353</v>
      </c>
      <c r="L447" s="1" t="s">
        <v>36</v>
      </c>
      <c r="M447" s="1" t="str">
        <f>_xlfn.XLOOKUP(Sheet1!F447,Departments!$A$2:$A$6,Departments!$B$2:$B$6)</f>
        <v>IT</v>
      </c>
      <c r="N447" s="1">
        <f>_xlfn.XLOOKUP(A447,Performance!$A$2:$A$501,Performance!$C$2:$C$501)</f>
        <v>1</v>
      </c>
      <c r="O447" s="1" cm="1">
        <f t="array" ref="O447">_xlfn.IFS(N447=5,I447+0.15*I447,N447=4,I447+I447*0.1,N447=3,I447+I447*0.07,N447&lt;3,I447+I447*0.05)</f>
        <v>103051.2</v>
      </c>
    </row>
    <row r="448" spans="1:15" x14ac:dyDescent="0.3">
      <c r="A448" s="1" t="s">
        <v>1354</v>
      </c>
      <c r="B448" s="1" t="s">
        <v>143</v>
      </c>
      <c r="C448" s="1" t="s">
        <v>95</v>
      </c>
      <c r="D448" s="1" t="s">
        <v>15</v>
      </c>
      <c r="E448" s="1">
        <v>50</v>
      </c>
      <c r="F448" s="1" t="s">
        <v>50</v>
      </c>
      <c r="G448" s="1" t="s">
        <v>40</v>
      </c>
      <c r="H448" s="1" t="s">
        <v>1355</v>
      </c>
      <c r="I448" s="1">
        <v>61804</v>
      </c>
      <c r="J448" s="1" t="s">
        <v>60</v>
      </c>
      <c r="K448" s="1" t="s">
        <v>1356</v>
      </c>
      <c r="L448" s="1" t="s">
        <v>21</v>
      </c>
      <c r="M448" s="1" t="str">
        <f>_xlfn.XLOOKUP(Sheet1!F448,Departments!$A$2:$A$6,Departments!$B$2:$B$6)</f>
        <v>Finance</v>
      </c>
      <c r="N448" s="1">
        <f>_xlfn.XLOOKUP(A448,Performance!$A$2:$A$501,Performance!$C$2:$C$501)</f>
        <v>1</v>
      </c>
      <c r="O448" s="1" cm="1">
        <f t="array" ref="O448">_xlfn.IFS(N448=5,I448+0.15*I448,N448=4,I448+I448*0.1,N448=3,I448+I448*0.07,N448&lt;3,I448+I448*0.05)</f>
        <v>64894.2</v>
      </c>
    </row>
    <row r="449" spans="1:15" x14ac:dyDescent="0.3">
      <c r="A449" s="1" t="s">
        <v>1357</v>
      </c>
      <c r="B449" s="1" t="s">
        <v>94</v>
      </c>
      <c r="C449" s="1" t="s">
        <v>130</v>
      </c>
      <c r="D449" s="1" t="s">
        <v>15</v>
      </c>
      <c r="E449" s="1">
        <v>24</v>
      </c>
      <c r="F449" s="1" t="s">
        <v>16</v>
      </c>
      <c r="G449" s="1" t="s">
        <v>32</v>
      </c>
      <c r="H449" s="1" t="s">
        <v>1358</v>
      </c>
      <c r="I449" s="1">
        <v>42829</v>
      </c>
      <c r="J449" s="1" t="s">
        <v>80</v>
      </c>
      <c r="K449" s="1" t="s">
        <v>1359</v>
      </c>
      <c r="L449" s="1" t="s">
        <v>21</v>
      </c>
      <c r="M449" s="1" t="str">
        <f>_xlfn.XLOOKUP(Sheet1!F449,Departments!$A$2:$A$6,Departments!$B$2:$B$6)</f>
        <v>HR</v>
      </c>
      <c r="N449" s="1">
        <f>_xlfn.XLOOKUP(A449,Performance!$A$2:$A$501,Performance!$C$2:$C$501)</f>
        <v>4</v>
      </c>
      <c r="O449" s="1" cm="1">
        <f t="array" ref="O449">_xlfn.IFS(N449=5,I449+0.15*I449,N449=4,I449+I449*0.1,N449=3,I449+I449*0.07,N449&lt;3,I449+I449*0.05)</f>
        <v>47111.9</v>
      </c>
    </row>
    <row r="450" spans="1:15" x14ac:dyDescent="0.3">
      <c r="A450" s="1" t="s">
        <v>1360</v>
      </c>
      <c r="B450" s="1" t="s">
        <v>13</v>
      </c>
      <c r="C450" s="1" t="s">
        <v>45</v>
      </c>
      <c r="D450" s="1" t="s">
        <v>24</v>
      </c>
      <c r="E450" s="1">
        <v>39</v>
      </c>
      <c r="F450" s="1" t="s">
        <v>50</v>
      </c>
      <c r="G450" s="1" t="s">
        <v>108</v>
      </c>
      <c r="H450" s="1" t="s">
        <v>1361</v>
      </c>
      <c r="I450" s="1">
        <v>55874</v>
      </c>
      <c r="J450" s="1" t="s">
        <v>60</v>
      </c>
      <c r="K450" s="1" t="s">
        <v>1362</v>
      </c>
      <c r="L450" s="1" t="s">
        <v>36</v>
      </c>
      <c r="M450" s="1" t="str">
        <f>_xlfn.XLOOKUP(Sheet1!F450,Departments!$A$2:$A$6,Departments!$B$2:$B$6)</f>
        <v>Finance</v>
      </c>
      <c r="N450" s="1">
        <f>_xlfn.XLOOKUP(A450,Performance!$A$2:$A$501,Performance!$C$2:$C$501)</f>
        <v>1</v>
      </c>
      <c r="O450" s="1" cm="1">
        <f t="array" ref="O450">_xlfn.IFS(N450=5,I450+0.15*I450,N450=4,I450+I450*0.1,N450=3,I450+I450*0.07,N450&lt;3,I450+I450*0.05)</f>
        <v>58667.7</v>
      </c>
    </row>
    <row r="451" spans="1:15" x14ac:dyDescent="0.3">
      <c r="A451" s="1" t="s">
        <v>1363</v>
      </c>
      <c r="B451" s="1" t="s">
        <v>49</v>
      </c>
      <c r="C451" s="1" t="s">
        <v>78</v>
      </c>
      <c r="D451" s="1" t="s">
        <v>15</v>
      </c>
      <c r="E451" s="1">
        <v>48</v>
      </c>
      <c r="F451" s="1" t="s">
        <v>31</v>
      </c>
      <c r="G451" s="1" t="s">
        <v>108</v>
      </c>
      <c r="H451" s="1" t="s">
        <v>1364</v>
      </c>
      <c r="I451" s="1">
        <v>110269</v>
      </c>
      <c r="J451" s="1" t="s">
        <v>65</v>
      </c>
      <c r="K451" s="1" t="s">
        <v>1365</v>
      </c>
      <c r="L451" s="1" t="s">
        <v>36</v>
      </c>
      <c r="M451" s="1" t="str">
        <f>_xlfn.XLOOKUP(Sheet1!F451,Departments!$A$2:$A$6,Departments!$B$2:$B$6)</f>
        <v>Sales</v>
      </c>
      <c r="N451" s="1">
        <f>_xlfn.XLOOKUP(A451,Performance!$A$2:$A$501,Performance!$C$2:$C$501)</f>
        <v>2</v>
      </c>
      <c r="O451" s="1" cm="1">
        <f t="array" ref="O451">_xlfn.IFS(N451=5,I451+0.15*I451,N451=4,I451+I451*0.1,N451=3,I451+I451*0.07,N451&lt;3,I451+I451*0.05)</f>
        <v>115782.45</v>
      </c>
    </row>
    <row r="452" spans="1:15" x14ac:dyDescent="0.3">
      <c r="A452" s="1" t="s">
        <v>1366</v>
      </c>
      <c r="B452" s="1" t="s">
        <v>71</v>
      </c>
      <c r="C452" s="1" t="s">
        <v>165</v>
      </c>
      <c r="D452" s="1" t="s">
        <v>15</v>
      </c>
      <c r="E452" s="1">
        <v>49</v>
      </c>
      <c r="F452" s="1" t="s">
        <v>50</v>
      </c>
      <c r="G452" s="1" t="s">
        <v>17</v>
      </c>
      <c r="H452" s="1" t="s">
        <v>1367</v>
      </c>
      <c r="I452" s="1">
        <v>97118</v>
      </c>
      <c r="J452" s="1" t="s">
        <v>65</v>
      </c>
      <c r="K452" s="1" t="s">
        <v>1368</v>
      </c>
      <c r="L452" s="1" t="s">
        <v>36</v>
      </c>
      <c r="M452" s="1" t="str">
        <f>_xlfn.XLOOKUP(Sheet1!F452,Departments!$A$2:$A$6,Departments!$B$2:$B$6)</f>
        <v>Finance</v>
      </c>
      <c r="N452" s="1">
        <f>_xlfn.XLOOKUP(A452,Performance!$A$2:$A$501,Performance!$C$2:$C$501)</f>
        <v>5</v>
      </c>
      <c r="O452" s="1" cm="1">
        <f t="array" ref="O452">_xlfn.IFS(N452=5,I452+0.15*I452,N452=4,I452+I452*0.1,N452=3,I452+I452*0.07,N452&lt;3,I452+I452*0.05)</f>
        <v>111685.7</v>
      </c>
    </row>
    <row r="453" spans="1:15" x14ac:dyDescent="0.3">
      <c r="A453" s="1" t="s">
        <v>1369</v>
      </c>
      <c r="B453" s="1" t="s">
        <v>49</v>
      </c>
      <c r="C453" s="1" t="s">
        <v>23</v>
      </c>
      <c r="D453" s="1" t="s">
        <v>15</v>
      </c>
      <c r="E453" s="1">
        <v>25</v>
      </c>
      <c r="F453" s="1" t="s">
        <v>50</v>
      </c>
      <c r="G453" s="1" t="s">
        <v>108</v>
      </c>
      <c r="H453" s="1" t="s">
        <v>1370</v>
      </c>
      <c r="I453" s="1">
        <v>73245</v>
      </c>
      <c r="J453" s="1" t="s">
        <v>34</v>
      </c>
      <c r="K453" s="1" t="s">
        <v>1371</v>
      </c>
      <c r="L453" s="1" t="s">
        <v>36</v>
      </c>
      <c r="M453" s="1" t="str">
        <f>_xlfn.XLOOKUP(Sheet1!F453,Departments!$A$2:$A$6,Departments!$B$2:$B$6)</f>
        <v>Finance</v>
      </c>
      <c r="N453" s="1">
        <f>_xlfn.XLOOKUP(A453,Performance!$A$2:$A$501,Performance!$C$2:$C$501)</f>
        <v>3</v>
      </c>
      <c r="O453" s="1" cm="1">
        <f t="array" ref="O453">_xlfn.IFS(N453=5,I453+0.15*I453,N453=4,I453+I453*0.1,N453=3,I453+I453*0.07,N453&lt;3,I453+I453*0.05)</f>
        <v>78372.149999999994</v>
      </c>
    </row>
    <row r="454" spans="1:15" x14ac:dyDescent="0.3">
      <c r="A454" s="1" t="s">
        <v>1372</v>
      </c>
      <c r="B454" s="1" t="s">
        <v>38</v>
      </c>
      <c r="C454" s="1" t="s">
        <v>130</v>
      </c>
      <c r="D454" s="1" t="s">
        <v>15</v>
      </c>
      <c r="E454" s="1">
        <v>53</v>
      </c>
      <c r="F454" s="1" t="s">
        <v>50</v>
      </c>
      <c r="G454" s="1" t="s">
        <v>108</v>
      </c>
      <c r="H454" s="1" t="s">
        <v>1373</v>
      </c>
      <c r="I454" s="1">
        <v>35589</v>
      </c>
      <c r="J454" s="1" t="s">
        <v>60</v>
      </c>
      <c r="K454" s="1" t="s">
        <v>1374</v>
      </c>
      <c r="L454" s="1" t="s">
        <v>36</v>
      </c>
      <c r="M454" s="1" t="str">
        <f>_xlfn.XLOOKUP(Sheet1!F454,Departments!$A$2:$A$6,Departments!$B$2:$B$6)</f>
        <v>Finance</v>
      </c>
      <c r="N454" s="1">
        <f>_xlfn.XLOOKUP(A454,Performance!$A$2:$A$501,Performance!$C$2:$C$501)</f>
        <v>4</v>
      </c>
      <c r="O454" s="1" cm="1">
        <f t="array" ref="O454">_xlfn.IFS(N454=5,I454+0.15*I454,N454=4,I454+I454*0.1,N454=3,I454+I454*0.07,N454&lt;3,I454+I454*0.05)</f>
        <v>39147.9</v>
      </c>
    </row>
    <row r="455" spans="1:15" x14ac:dyDescent="0.3">
      <c r="A455" s="1" t="s">
        <v>1375</v>
      </c>
      <c r="B455" s="1" t="s">
        <v>30</v>
      </c>
      <c r="C455" s="1" t="s">
        <v>90</v>
      </c>
      <c r="D455" s="1" t="s">
        <v>24</v>
      </c>
      <c r="E455" s="1">
        <v>35</v>
      </c>
      <c r="F455" s="1" t="s">
        <v>39</v>
      </c>
      <c r="G455" s="1" t="s">
        <v>40</v>
      </c>
      <c r="H455" s="1" t="s">
        <v>1376</v>
      </c>
      <c r="I455" s="1">
        <v>79751</v>
      </c>
      <c r="J455" s="1" t="s">
        <v>19</v>
      </c>
      <c r="K455" s="1" t="s">
        <v>1377</v>
      </c>
      <c r="L455" s="1" t="s">
        <v>21</v>
      </c>
      <c r="M455" s="1" t="str">
        <f>_xlfn.XLOOKUP(Sheet1!F455,Departments!$A$2:$A$6,Departments!$B$2:$B$6)</f>
        <v>Marketing</v>
      </c>
      <c r="N455" s="1">
        <f>_xlfn.XLOOKUP(A455,Performance!$A$2:$A$501,Performance!$C$2:$C$501)</f>
        <v>2</v>
      </c>
      <c r="O455" s="1" cm="1">
        <f t="array" ref="O455">_xlfn.IFS(N455=5,I455+0.15*I455,N455=4,I455+I455*0.1,N455=3,I455+I455*0.07,N455&lt;3,I455+I455*0.05)</f>
        <v>83738.55</v>
      </c>
    </row>
    <row r="456" spans="1:15" x14ac:dyDescent="0.3">
      <c r="A456" s="1" t="s">
        <v>1378</v>
      </c>
      <c r="B456" s="1" t="s">
        <v>143</v>
      </c>
      <c r="C456" s="1" t="s">
        <v>14</v>
      </c>
      <c r="D456" s="1" t="s">
        <v>24</v>
      </c>
      <c r="E456" s="1">
        <v>53</v>
      </c>
      <c r="F456" s="1" t="s">
        <v>25</v>
      </c>
      <c r="G456" s="1" t="s">
        <v>108</v>
      </c>
      <c r="H456" s="1" t="s">
        <v>1379</v>
      </c>
      <c r="I456" s="1">
        <v>67994</v>
      </c>
      <c r="J456" s="1" t="s">
        <v>34</v>
      </c>
      <c r="K456" s="1" t="s">
        <v>1380</v>
      </c>
      <c r="L456" s="1" t="s">
        <v>21</v>
      </c>
      <c r="M456" s="1" t="str">
        <f>_xlfn.XLOOKUP(Sheet1!F456,Departments!$A$2:$A$6,Departments!$B$2:$B$6)</f>
        <v>IT</v>
      </c>
      <c r="N456" s="1">
        <f>_xlfn.XLOOKUP(A456,Performance!$A$2:$A$501,Performance!$C$2:$C$501)</f>
        <v>3</v>
      </c>
      <c r="O456" s="1" cm="1">
        <f t="array" ref="O456">_xlfn.IFS(N456=5,I456+0.15*I456,N456=4,I456+I456*0.1,N456=3,I456+I456*0.07,N456&lt;3,I456+I456*0.05)</f>
        <v>72753.58</v>
      </c>
    </row>
    <row r="457" spans="1:15" x14ac:dyDescent="0.3">
      <c r="A457" s="1" t="s">
        <v>1381</v>
      </c>
      <c r="B457" s="1" t="s">
        <v>143</v>
      </c>
      <c r="C457" s="1" t="s">
        <v>78</v>
      </c>
      <c r="D457" s="1" t="s">
        <v>24</v>
      </c>
      <c r="E457" s="1">
        <v>28</v>
      </c>
      <c r="F457" s="1" t="s">
        <v>39</v>
      </c>
      <c r="G457" s="1" t="s">
        <v>26</v>
      </c>
      <c r="H457" s="1" t="s">
        <v>1382</v>
      </c>
      <c r="I457" s="1">
        <v>51178</v>
      </c>
      <c r="J457" s="1" t="s">
        <v>19</v>
      </c>
      <c r="K457" s="1" t="s">
        <v>1383</v>
      </c>
      <c r="L457" s="1" t="s">
        <v>21</v>
      </c>
      <c r="M457" s="1" t="str">
        <f>_xlfn.XLOOKUP(Sheet1!F457,Departments!$A$2:$A$6,Departments!$B$2:$B$6)</f>
        <v>Marketing</v>
      </c>
      <c r="N457" s="1">
        <f>_xlfn.XLOOKUP(A457,Performance!$A$2:$A$501,Performance!$C$2:$C$501)</f>
        <v>4</v>
      </c>
      <c r="O457" s="1" cm="1">
        <f t="array" ref="O457">_xlfn.IFS(N457=5,I457+0.15*I457,N457=4,I457+I457*0.1,N457=3,I457+I457*0.07,N457&lt;3,I457+I457*0.05)</f>
        <v>56295.8</v>
      </c>
    </row>
    <row r="458" spans="1:15" x14ac:dyDescent="0.3">
      <c r="A458" s="1" t="s">
        <v>1384</v>
      </c>
      <c r="B458" s="1" t="s">
        <v>44</v>
      </c>
      <c r="C458" s="1" t="s">
        <v>165</v>
      </c>
      <c r="D458" s="1" t="s">
        <v>15</v>
      </c>
      <c r="E458" s="1">
        <v>29</v>
      </c>
      <c r="F458" s="1" t="s">
        <v>16</v>
      </c>
      <c r="G458" s="1" t="s">
        <v>108</v>
      </c>
      <c r="H458" s="1" t="s">
        <v>1385</v>
      </c>
      <c r="I458" s="1">
        <v>40759</v>
      </c>
      <c r="J458" s="1" t="s">
        <v>65</v>
      </c>
      <c r="K458" s="1" t="s">
        <v>1386</v>
      </c>
      <c r="L458" s="1" t="s">
        <v>21</v>
      </c>
      <c r="M458" s="1" t="str">
        <f>_xlfn.XLOOKUP(Sheet1!F458,Departments!$A$2:$A$6,Departments!$B$2:$B$6)</f>
        <v>HR</v>
      </c>
      <c r="N458" s="1">
        <f>_xlfn.XLOOKUP(A458,Performance!$A$2:$A$501,Performance!$C$2:$C$501)</f>
        <v>1</v>
      </c>
      <c r="O458" s="1" cm="1">
        <f t="array" ref="O458">_xlfn.IFS(N458=5,I458+0.15*I458,N458=4,I458+I458*0.1,N458=3,I458+I458*0.07,N458&lt;3,I458+I458*0.05)</f>
        <v>42796.95</v>
      </c>
    </row>
    <row r="459" spans="1:15" x14ac:dyDescent="0.3">
      <c r="A459" s="1" t="s">
        <v>1387</v>
      </c>
      <c r="B459" s="1" t="s">
        <v>38</v>
      </c>
      <c r="C459" s="1" t="s">
        <v>78</v>
      </c>
      <c r="D459" s="1" t="s">
        <v>15</v>
      </c>
      <c r="E459" s="1">
        <v>32</v>
      </c>
      <c r="F459" s="1" t="s">
        <v>16</v>
      </c>
      <c r="G459" s="1" t="s">
        <v>26</v>
      </c>
      <c r="H459" s="1" t="s">
        <v>1388</v>
      </c>
      <c r="I459" s="1">
        <v>98394</v>
      </c>
      <c r="J459" s="1" t="s">
        <v>19</v>
      </c>
      <c r="K459" s="1" t="s">
        <v>1389</v>
      </c>
      <c r="L459" s="1" t="s">
        <v>36</v>
      </c>
      <c r="M459" s="1" t="str">
        <f>_xlfn.XLOOKUP(Sheet1!F459,Departments!$A$2:$A$6,Departments!$B$2:$B$6)</f>
        <v>HR</v>
      </c>
      <c r="N459" s="1">
        <f>_xlfn.XLOOKUP(A459,Performance!$A$2:$A$501,Performance!$C$2:$C$501)</f>
        <v>4</v>
      </c>
      <c r="O459" s="1" cm="1">
        <f t="array" ref="O459">_xlfn.IFS(N459=5,I459+0.15*I459,N459=4,I459+I459*0.1,N459=3,I459+I459*0.07,N459&lt;3,I459+I459*0.05)</f>
        <v>108233.4</v>
      </c>
    </row>
    <row r="460" spans="1:15" x14ac:dyDescent="0.3">
      <c r="A460" s="1" t="s">
        <v>1390</v>
      </c>
      <c r="B460" s="1" t="s">
        <v>54</v>
      </c>
      <c r="C460" s="1" t="s">
        <v>14</v>
      </c>
      <c r="D460" s="1" t="s">
        <v>15</v>
      </c>
      <c r="E460" s="1">
        <v>37</v>
      </c>
      <c r="F460" s="1" t="s">
        <v>50</v>
      </c>
      <c r="G460" s="1" t="s">
        <v>32</v>
      </c>
      <c r="H460" s="1" t="s">
        <v>1391</v>
      </c>
      <c r="I460" s="1">
        <v>90148</v>
      </c>
      <c r="J460" s="1" t="s">
        <v>65</v>
      </c>
      <c r="K460" s="1" t="s">
        <v>1392</v>
      </c>
      <c r="L460" s="1" t="s">
        <v>21</v>
      </c>
      <c r="M460" s="1" t="str">
        <f>_xlfn.XLOOKUP(Sheet1!F460,Departments!$A$2:$A$6,Departments!$B$2:$B$6)</f>
        <v>Finance</v>
      </c>
      <c r="N460" s="1">
        <f>_xlfn.XLOOKUP(A460,Performance!$A$2:$A$501,Performance!$C$2:$C$501)</f>
        <v>3</v>
      </c>
      <c r="O460" s="1" cm="1">
        <f t="array" ref="O460">_xlfn.IFS(N460=5,I460+0.15*I460,N460=4,I460+I460*0.1,N460=3,I460+I460*0.07,N460&lt;3,I460+I460*0.05)</f>
        <v>96458.36</v>
      </c>
    </row>
    <row r="461" spans="1:15" x14ac:dyDescent="0.3">
      <c r="A461" s="1" t="s">
        <v>1393</v>
      </c>
      <c r="B461" s="1" t="s">
        <v>30</v>
      </c>
      <c r="C461" s="1" t="s">
        <v>45</v>
      </c>
      <c r="D461" s="1" t="s">
        <v>24</v>
      </c>
      <c r="E461" s="1">
        <v>32</v>
      </c>
      <c r="F461" s="1" t="s">
        <v>31</v>
      </c>
      <c r="G461" s="1" t="s">
        <v>17</v>
      </c>
      <c r="H461" s="1" t="s">
        <v>460</v>
      </c>
      <c r="I461" s="1">
        <v>63176</v>
      </c>
      <c r="J461" s="1" t="s">
        <v>34</v>
      </c>
      <c r="K461" s="1" t="s">
        <v>1394</v>
      </c>
      <c r="L461" s="1" t="s">
        <v>21</v>
      </c>
      <c r="M461" s="1" t="str">
        <f>_xlfn.XLOOKUP(Sheet1!F461,Departments!$A$2:$A$6,Departments!$B$2:$B$6)</f>
        <v>Sales</v>
      </c>
      <c r="N461" s="1">
        <f>_xlfn.XLOOKUP(A461,Performance!$A$2:$A$501,Performance!$C$2:$C$501)</f>
        <v>1</v>
      </c>
      <c r="O461" s="1" cm="1">
        <f t="array" ref="O461">_xlfn.IFS(N461=5,I461+0.15*I461,N461=4,I461+I461*0.1,N461=3,I461+I461*0.07,N461&lt;3,I461+I461*0.05)</f>
        <v>66334.8</v>
      </c>
    </row>
    <row r="462" spans="1:15" x14ac:dyDescent="0.3">
      <c r="A462" s="1" t="s">
        <v>1395</v>
      </c>
      <c r="B462" s="1" t="s">
        <v>94</v>
      </c>
      <c r="C462" s="1" t="s">
        <v>90</v>
      </c>
      <c r="D462" s="1" t="s">
        <v>24</v>
      </c>
      <c r="E462" s="1">
        <v>55</v>
      </c>
      <c r="F462" s="1" t="s">
        <v>25</v>
      </c>
      <c r="G462" s="1" t="s">
        <v>26</v>
      </c>
      <c r="H462" s="1" t="s">
        <v>1396</v>
      </c>
      <c r="I462" s="1">
        <v>86434</v>
      </c>
      <c r="J462" s="1" t="s">
        <v>65</v>
      </c>
      <c r="K462" s="1" t="s">
        <v>1397</v>
      </c>
      <c r="L462" s="1" t="s">
        <v>36</v>
      </c>
      <c r="M462" s="1" t="str">
        <f>_xlfn.XLOOKUP(Sheet1!F462,Departments!$A$2:$A$6,Departments!$B$2:$B$6)</f>
        <v>IT</v>
      </c>
      <c r="N462" s="1">
        <f>_xlfn.XLOOKUP(A462,Performance!$A$2:$A$501,Performance!$C$2:$C$501)</f>
        <v>2</v>
      </c>
      <c r="O462" s="1" cm="1">
        <f t="array" ref="O462">_xlfn.IFS(N462=5,I462+0.15*I462,N462=4,I462+I462*0.1,N462=3,I462+I462*0.07,N462&lt;3,I462+I462*0.05)</f>
        <v>90755.7</v>
      </c>
    </row>
    <row r="463" spans="1:15" x14ac:dyDescent="0.3">
      <c r="A463" s="1" t="s">
        <v>1398</v>
      </c>
      <c r="B463" s="1" t="s">
        <v>143</v>
      </c>
      <c r="C463" s="1" t="s">
        <v>90</v>
      </c>
      <c r="D463" s="1" t="s">
        <v>15</v>
      </c>
      <c r="E463" s="1">
        <v>42</v>
      </c>
      <c r="F463" s="1" t="s">
        <v>39</v>
      </c>
      <c r="G463" s="1" t="s">
        <v>17</v>
      </c>
      <c r="H463" s="1" t="s">
        <v>1399</v>
      </c>
      <c r="I463" s="1">
        <v>70836</v>
      </c>
      <c r="J463" s="1" t="s">
        <v>65</v>
      </c>
      <c r="K463" s="1" t="s">
        <v>1400</v>
      </c>
      <c r="L463" s="1" t="s">
        <v>36</v>
      </c>
      <c r="M463" s="1" t="str">
        <f>_xlfn.XLOOKUP(Sheet1!F463,Departments!$A$2:$A$6,Departments!$B$2:$B$6)</f>
        <v>Marketing</v>
      </c>
      <c r="N463" s="1">
        <f>_xlfn.XLOOKUP(A463,Performance!$A$2:$A$501,Performance!$C$2:$C$501)</f>
        <v>2</v>
      </c>
      <c r="O463" s="1" cm="1">
        <f t="array" ref="O463">_xlfn.IFS(N463=5,I463+0.15*I463,N463=4,I463+I463*0.1,N463=3,I463+I463*0.07,N463&lt;3,I463+I463*0.05)</f>
        <v>74377.8</v>
      </c>
    </row>
    <row r="464" spans="1:15" x14ac:dyDescent="0.3">
      <c r="A464" s="1" t="s">
        <v>1401</v>
      </c>
      <c r="B464" s="1" t="s">
        <v>38</v>
      </c>
      <c r="C464" s="1" t="s">
        <v>95</v>
      </c>
      <c r="D464" s="1" t="s">
        <v>24</v>
      </c>
      <c r="E464" s="1">
        <v>49</v>
      </c>
      <c r="F464" s="1" t="s">
        <v>31</v>
      </c>
      <c r="G464" s="1" t="s">
        <v>32</v>
      </c>
      <c r="H464" s="1" t="s">
        <v>1402</v>
      </c>
      <c r="I464" s="1">
        <v>40805</v>
      </c>
      <c r="J464" s="1" t="s">
        <v>19</v>
      </c>
      <c r="K464" s="1" t="s">
        <v>1403</v>
      </c>
      <c r="L464" s="1" t="s">
        <v>21</v>
      </c>
      <c r="M464" s="1" t="str">
        <f>_xlfn.XLOOKUP(Sheet1!F464,Departments!$A$2:$A$6,Departments!$B$2:$B$6)</f>
        <v>Sales</v>
      </c>
      <c r="N464" s="1">
        <f>_xlfn.XLOOKUP(A464,Performance!$A$2:$A$501,Performance!$C$2:$C$501)</f>
        <v>1</v>
      </c>
      <c r="O464" s="1" cm="1">
        <f t="array" ref="O464">_xlfn.IFS(N464=5,I464+0.15*I464,N464=4,I464+I464*0.1,N464=3,I464+I464*0.07,N464&lt;3,I464+I464*0.05)</f>
        <v>42845.25</v>
      </c>
    </row>
    <row r="465" spans="1:15" x14ac:dyDescent="0.3">
      <c r="A465" s="1" t="s">
        <v>1404</v>
      </c>
      <c r="B465" s="1" t="s">
        <v>44</v>
      </c>
      <c r="C465" s="1" t="s">
        <v>165</v>
      </c>
      <c r="D465" s="1" t="s">
        <v>24</v>
      </c>
      <c r="E465" s="1">
        <v>23</v>
      </c>
      <c r="F465" s="1" t="s">
        <v>16</v>
      </c>
      <c r="G465" s="1" t="s">
        <v>40</v>
      </c>
      <c r="H465" s="1" t="s">
        <v>1405</v>
      </c>
      <c r="I465" s="1">
        <v>117635</v>
      </c>
      <c r="J465" s="1" t="s">
        <v>34</v>
      </c>
      <c r="K465" s="1" t="s">
        <v>1406</v>
      </c>
      <c r="L465" s="1" t="s">
        <v>21</v>
      </c>
      <c r="M465" s="1" t="str">
        <f>_xlfn.XLOOKUP(Sheet1!F465,Departments!$A$2:$A$6,Departments!$B$2:$B$6)</f>
        <v>HR</v>
      </c>
      <c r="N465" s="1">
        <f>_xlfn.XLOOKUP(A465,Performance!$A$2:$A$501,Performance!$C$2:$C$501)</f>
        <v>4</v>
      </c>
      <c r="O465" s="1" cm="1">
        <f t="array" ref="O465">_xlfn.IFS(N465=5,I465+0.15*I465,N465=4,I465+I465*0.1,N465=3,I465+I465*0.07,N465&lt;3,I465+I465*0.05)</f>
        <v>129398.5</v>
      </c>
    </row>
    <row r="466" spans="1:15" x14ac:dyDescent="0.3">
      <c r="A466" s="1" t="s">
        <v>1407</v>
      </c>
      <c r="B466" s="1" t="s">
        <v>13</v>
      </c>
      <c r="C466" s="1" t="s">
        <v>83</v>
      </c>
      <c r="D466" s="1" t="s">
        <v>24</v>
      </c>
      <c r="E466" s="1">
        <v>45</v>
      </c>
      <c r="F466" s="1" t="s">
        <v>50</v>
      </c>
      <c r="G466" s="1" t="s">
        <v>40</v>
      </c>
      <c r="H466" s="1" t="s">
        <v>1408</v>
      </c>
      <c r="I466" s="1">
        <v>100678</v>
      </c>
      <c r="J466" s="1" t="s">
        <v>19</v>
      </c>
      <c r="K466" s="1" t="s">
        <v>1409</v>
      </c>
      <c r="L466" s="1" t="s">
        <v>36</v>
      </c>
      <c r="M466" s="1" t="str">
        <f>_xlfn.XLOOKUP(Sheet1!F466,Departments!$A$2:$A$6,Departments!$B$2:$B$6)</f>
        <v>Finance</v>
      </c>
      <c r="N466" s="1">
        <f>_xlfn.XLOOKUP(A466,Performance!$A$2:$A$501,Performance!$C$2:$C$501)</f>
        <v>3</v>
      </c>
      <c r="O466" s="1" cm="1">
        <f t="array" ref="O466">_xlfn.IFS(N466=5,I466+0.15*I466,N466=4,I466+I466*0.1,N466=3,I466+I466*0.07,N466&lt;3,I466+I466*0.05)</f>
        <v>107725.46</v>
      </c>
    </row>
    <row r="467" spans="1:15" x14ac:dyDescent="0.3">
      <c r="A467" s="1" t="s">
        <v>1410</v>
      </c>
      <c r="B467" s="1" t="s">
        <v>30</v>
      </c>
      <c r="C467" s="1" t="s">
        <v>95</v>
      </c>
      <c r="D467" s="1" t="s">
        <v>24</v>
      </c>
      <c r="E467" s="1">
        <v>39</v>
      </c>
      <c r="F467" s="1" t="s">
        <v>16</v>
      </c>
      <c r="G467" s="1" t="s">
        <v>108</v>
      </c>
      <c r="H467" s="1" t="s">
        <v>1411</v>
      </c>
      <c r="I467" s="1">
        <v>76443</v>
      </c>
      <c r="J467" s="1" t="s">
        <v>65</v>
      </c>
      <c r="K467" s="1" t="s">
        <v>1412</v>
      </c>
      <c r="L467" s="1" t="s">
        <v>36</v>
      </c>
      <c r="M467" s="1" t="str">
        <f>_xlfn.XLOOKUP(Sheet1!F467,Departments!$A$2:$A$6,Departments!$B$2:$B$6)</f>
        <v>HR</v>
      </c>
      <c r="N467" s="1">
        <f>_xlfn.XLOOKUP(A467,Performance!$A$2:$A$501,Performance!$C$2:$C$501)</f>
        <v>1</v>
      </c>
      <c r="O467" s="1" cm="1">
        <f t="array" ref="O467">_xlfn.IFS(N467=5,I467+0.15*I467,N467=4,I467+I467*0.1,N467=3,I467+I467*0.07,N467&lt;3,I467+I467*0.05)</f>
        <v>80265.149999999994</v>
      </c>
    </row>
    <row r="468" spans="1:15" x14ac:dyDescent="0.3">
      <c r="A468" s="1" t="s">
        <v>1413</v>
      </c>
      <c r="B468" s="1" t="s">
        <v>30</v>
      </c>
      <c r="C468" s="1" t="s">
        <v>90</v>
      </c>
      <c r="D468" s="1" t="s">
        <v>24</v>
      </c>
      <c r="E468" s="1">
        <v>44</v>
      </c>
      <c r="F468" s="1" t="s">
        <v>50</v>
      </c>
      <c r="G468" s="1" t="s">
        <v>26</v>
      </c>
      <c r="H468" s="1" t="s">
        <v>1414</v>
      </c>
      <c r="I468" s="1">
        <v>98210</v>
      </c>
      <c r="J468" s="1" t="s">
        <v>34</v>
      </c>
      <c r="K468" s="1" t="s">
        <v>1415</v>
      </c>
      <c r="L468" s="1" t="s">
        <v>21</v>
      </c>
      <c r="M468" s="1" t="str">
        <f>_xlfn.XLOOKUP(Sheet1!F468,Departments!$A$2:$A$6,Departments!$B$2:$B$6)</f>
        <v>Finance</v>
      </c>
      <c r="N468" s="1">
        <f>_xlfn.XLOOKUP(A468,Performance!$A$2:$A$501,Performance!$C$2:$C$501)</f>
        <v>2</v>
      </c>
      <c r="O468" s="1" cm="1">
        <f t="array" ref="O468">_xlfn.IFS(N468=5,I468+0.15*I468,N468=4,I468+I468*0.1,N468=3,I468+I468*0.07,N468&lt;3,I468+I468*0.05)</f>
        <v>103120.5</v>
      </c>
    </row>
    <row r="469" spans="1:15" x14ac:dyDescent="0.3">
      <c r="A469" s="1" t="s">
        <v>1416</v>
      </c>
      <c r="B469" s="1" t="s">
        <v>30</v>
      </c>
      <c r="C469" s="1" t="s">
        <v>83</v>
      </c>
      <c r="D469" s="1" t="s">
        <v>24</v>
      </c>
      <c r="E469" s="1">
        <v>60</v>
      </c>
      <c r="F469" s="1" t="s">
        <v>16</v>
      </c>
      <c r="G469" s="1" t="s">
        <v>40</v>
      </c>
      <c r="H469" s="1" t="s">
        <v>1417</v>
      </c>
      <c r="I469" s="1">
        <v>83719</v>
      </c>
      <c r="J469" s="1" t="s">
        <v>34</v>
      </c>
      <c r="K469" s="1" t="s">
        <v>1418</v>
      </c>
      <c r="L469" s="1" t="s">
        <v>36</v>
      </c>
      <c r="M469" s="1" t="str">
        <f>_xlfn.XLOOKUP(Sheet1!F469,Departments!$A$2:$A$6,Departments!$B$2:$B$6)</f>
        <v>HR</v>
      </c>
      <c r="N469" s="1">
        <f>_xlfn.XLOOKUP(A469,Performance!$A$2:$A$501,Performance!$C$2:$C$501)</f>
        <v>2</v>
      </c>
      <c r="O469" s="1" cm="1">
        <f t="array" ref="O469">_xlfn.IFS(N469=5,I469+0.15*I469,N469=4,I469+I469*0.1,N469=3,I469+I469*0.07,N469&lt;3,I469+I469*0.05)</f>
        <v>87904.95</v>
      </c>
    </row>
    <row r="470" spans="1:15" x14ac:dyDescent="0.3">
      <c r="A470" s="1" t="s">
        <v>1419</v>
      </c>
      <c r="B470" s="1" t="s">
        <v>49</v>
      </c>
      <c r="C470" s="1" t="s">
        <v>14</v>
      </c>
      <c r="D470" s="1" t="s">
        <v>24</v>
      </c>
      <c r="E470" s="1">
        <v>53</v>
      </c>
      <c r="F470" s="1" t="s">
        <v>25</v>
      </c>
      <c r="G470" s="1" t="s">
        <v>26</v>
      </c>
      <c r="H470" s="1" t="s">
        <v>1420</v>
      </c>
      <c r="I470" s="1">
        <v>50965</v>
      </c>
      <c r="J470" s="1" t="s">
        <v>60</v>
      </c>
      <c r="K470" s="1" t="s">
        <v>1421</v>
      </c>
      <c r="L470" s="1" t="s">
        <v>21</v>
      </c>
      <c r="M470" s="1" t="str">
        <f>_xlfn.XLOOKUP(Sheet1!F470,Departments!$A$2:$A$6,Departments!$B$2:$B$6)</f>
        <v>IT</v>
      </c>
      <c r="N470" s="1">
        <f>_xlfn.XLOOKUP(A470,Performance!$A$2:$A$501,Performance!$C$2:$C$501)</f>
        <v>4</v>
      </c>
      <c r="O470" s="1" cm="1">
        <f t="array" ref="O470">_xlfn.IFS(N470=5,I470+0.15*I470,N470=4,I470+I470*0.1,N470=3,I470+I470*0.07,N470&lt;3,I470+I470*0.05)</f>
        <v>56061.5</v>
      </c>
    </row>
    <row r="471" spans="1:15" x14ac:dyDescent="0.3">
      <c r="A471" s="1" t="s">
        <v>1422</v>
      </c>
      <c r="B471" s="1" t="s">
        <v>94</v>
      </c>
      <c r="C471" s="1" t="s">
        <v>63</v>
      </c>
      <c r="D471" s="1" t="s">
        <v>24</v>
      </c>
      <c r="E471" s="1">
        <v>60</v>
      </c>
      <c r="F471" s="1" t="s">
        <v>50</v>
      </c>
      <c r="G471" s="1" t="s">
        <v>26</v>
      </c>
      <c r="H471" s="1" t="s">
        <v>1423</v>
      </c>
      <c r="I471" s="1">
        <v>113605</v>
      </c>
      <c r="J471" s="1" t="s">
        <v>60</v>
      </c>
      <c r="K471" s="1" t="s">
        <v>1424</v>
      </c>
      <c r="L471" s="1" t="s">
        <v>21</v>
      </c>
      <c r="M471" s="1" t="str">
        <f>_xlfn.XLOOKUP(Sheet1!F471,Departments!$A$2:$A$6,Departments!$B$2:$B$6)</f>
        <v>Finance</v>
      </c>
      <c r="N471" s="1">
        <f>_xlfn.XLOOKUP(A471,Performance!$A$2:$A$501,Performance!$C$2:$C$501)</f>
        <v>1</v>
      </c>
      <c r="O471" s="1" cm="1">
        <f t="array" ref="O471">_xlfn.IFS(N471=5,I471+0.15*I471,N471=4,I471+I471*0.1,N471=3,I471+I471*0.07,N471&lt;3,I471+I471*0.05)</f>
        <v>119285.25</v>
      </c>
    </row>
    <row r="472" spans="1:15" x14ac:dyDescent="0.3">
      <c r="A472" s="1" t="s">
        <v>1425</v>
      </c>
      <c r="B472" s="1" t="s">
        <v>58</v>
      </c>
      <c r="C472" s="1" t="s">
        <v>78</v>
      </c>
      <c r="D472" s="1" t="s">
        <v>15</v>
      </c>
      <c r="E472" s="1">
        <v>57</v>
      </c>
      <c r="F472" s="1" t="s">
        <v>39</v>
      </c>
      <c r="G472" s="1" t="s">
        <v>40</v>
      </c>
      <c r="H472" s="1" t="s">
        <v>323</v>
      </c>
      <c r="I472" s="1">
        <v>80135</v>
      </c>
      <c r="J472" s="1" t="s">
        <v>34</v>
      </c>
      <c r="K472" s="1" t="s">
        <v>1426</v>
      </c>
      <c r="L472" s="1" t="s">
        <v>21</v>
      </c>
      <c r="M472" s="1" t="str">
        <f>_xlfn.XLOOKUP(Sheet1!F472,Departments!$A$2:$A$6,Departments!$B$2:$B$6)</f>
        <v>Marketing</v>
      </c>
      <c r="N472" s="1">
        <f>_xlfn.XLOOKUP(A472,Performance!$A$2:$A$501,Performance!$C$2:$C$501)</f>
        <v>4</v>
      </c>
      <c r="O472" s="1" cm="1">
        <f t="array" ref="O472">_xlfn.IFS(N472=5,I472+0.15*I472,N472=4,I472+I472*0.1,N472=3,I472+I472*0.07,N472&lt;3,I472+I472*0.05)</f>
        <v>88148.5</v>
      </c>
    </row>
    <row r="473" spans="1:15" x14ac:dyDescent="0.3">
      <c r="A473" s="1" t="s">
        <v>1427</v>
      </c>
      <c r="B473" s="1" t="s">
        <v>71</v>
      </c>
      <c r="C473" s="1" t="s">
        <v>23</v>
      </c>
      <c r="D473" s="1" t="s">
        <v>24</v>
      </c>
      <c r="E473" s="1">
        <v>53</v>
      </c>
      <c r="F473" s="1" t="s">
        <v>50</v>
      </c>
      <c r="G473" s="1" t="s">
        <v>108</v>
      </c>
      <c r="H473" s="1" t="s">
        <v>1428</v>
      </c>
      <c r="I473" s="1">
        <v>56690</v>
      </c>
      <c r="J473" s="1" t="s">
        <v>60</v>
      </c>
      <c r="K473" s="1" t="s">
        <v>1429</v>
      </c>
      <c r="L473" s="1" t="s">
        <v>21</v>
      </c>
      <c r="M473" s="1" t="str">
        <f>_xlfn.XLOOKUP(Sheet1!F473,Departments!$A$2:$A$6,Departments!$B$2:$B$6)</f>
        <v>Finance</v>
      </c>
      <c r="N473" s="1">
        <f>_xlfn.XLOOKUP(A473,Performance!$A$2:$A$501,Performance!$C$2:$C$501)</f>
        <v>4</v>
      </c>
      <c r="O473" s="1" cm="1">
        <f t="array" ref="O473">_xlfn.IFS(N473=5,I473+0.15*I473,N473=4,I473+I473*0.1,N473=3,I473+I473*0.07,N473&lt;3,I473+I473*0.05)</f>
        <v>62359</v>
      </c>
    </row>
    <row r="474" spans="1:15" x14ac:dyDescent="0.3">
      <c r="A474" s="1" t="s">
        <v>1430</v>
      </c>
      <c r="B474" s="1" t="s">
        <v>49</v>
      </c>
      <c r="C474" s="1" t="s">
        <v>45</v>
      </c>
      <c r="D474" s="1" t="s">
        <v>24</v>
      </c>
      <c r="E474" s="1">
        <v>30</v>
      </c>
      <c r="F474" s="1" t="s">
        <v>50</v>
      </c>
      <c r="G474" s="1" t="s">
        <v>32</v>
      </c>
      <c r="H474" s="1" t="s">
        <v>243</v>
      </c>
      <c r="I474" s="1">
        <v>40070</v>
      </c>
      <c r="J474" s="1" t="s">
        <v>80</v>
      </c>
      <c r="K474" s="1" t="s">
        <v>1431</v>
      </c>
      <c r="L474" s="1" t="s">
        <v>21</v>
      </c>
      <c r="M474" s="1" t="str">
        <f>_xlfn.XLOOKUP(Sheet1!F474,Departments!$A$2:$A$6,Departments!$B$2:$B$6)</f>
        <v>Finance</v>
      </c>
      <c r="N474" s="1">
        <f>_xlfn.XLOOKUP(A474,Performance!$A$2:$A$501,Performance!$C$2:$C$501)</f>
        <v>5</v>
      </c>
      <c r="O474" s="1" cm="1">
        <f t="array" ref="O474">_xlfn.IFS(N474=5,I474+0.15*I474,N474=4,I474+I474*0.1,N474=3,I474+I474*0.07,N474&lt;3,I474+I474*0.05)</f>
        <v>46080.5</v>
      </c>
    </row>
    <row r="475" spans="1:15" x14ac:dyDescent="0.3">
      <c r="A475" s="1" t="s">
        <v>1432</v>
      </c>
      <c r="B475" s="1" t="s">
        <v>30</v>
      </c>
      <c r="C475" s="1" t="s">
        <v>165</v>
      </c>
      <c r="D475" s="1" t="s">
        <v>24</v>
      </c>
      <c r="E475" s="1">
        <v>57</v>
      </c>
      <c r="F475" s="1" t="s">
        <v>16</v>
      </c>
      <c r="G475" s="1" t="s">
        <v>40</v>
      </c>
      <c r="H475" s="1" t="s">
        <v>1433</v>
      </c>
      <c r="I475" s="1">
        <v>83252</v>
      </c>
      <c r="J475" s="1" t="s">
        <v>60</v>
      </c>
      <c r="K475" s="1" t="s">
        <v>1434</v>
      </c>
      <c r="L475" s="1" t="s">
        <v>21</v>
      </c>
      <c r="M475" s="1" t="str">
        <f>_xlfn.XLOOKUP(Sheet1!F475,Departments!$A$2:$A$6,Departments!$B$2:$B$6)</f>
        <v>HR</v>
      </c>
      <c r="N475" s="1">
        <f>_xlfn.XLOOKUP(A475,Performance!$A$2:$A$501,Performance!$C$2:$C$501)</f>
        <v>4</v>
      </c>
      <c r="O475" s="1" cm="1">
        <f t="array" ref="O475">_xlfn.IFS(N475=5,I475+0.15*I475,N475=4,I475+I475*0.1,N475=3,I475+I475*0.07,N475&lt;3,I475+I475*0.05)</f>
        <v>91577.2</v>
      </c>
    </row>
    <row r="476" spans="1:15" x14ac:dyDescent="0.3">
      <c r="A476" s="1" t="s">
        <v>1435</v>
      </c>
      <c r="B476" s="1" t="s">
        <v>71</v>
      </c>
      <c r="C476" s="1" t="s">
        <v>90</v>
      </c>
      <c r="D476" s="1" t="s">
        <v>24</v>
      </c>
      <c r="E476" s="1">
        <v>48</v>
      </c>
      <c r="F476" s="1" t="s">
        <v>31</v>
      </c>
      <c r="G476" s="1" t="s">
        <v>40</v>
      </c>
      <c r="H476" s="1" t="s">
        <v>1196</v>
      </c>
      <c r="I476" s="1">
        <v>66939</v>
      </c>
      <c r="J476" s="1" t="s">
        <v>19</v>
      </c>
      <c r="K476" s="1" t="s">
        <v>1436</v>
      </c>
      <c r="L476" s="1" t="s">
        <v>36</v>
      </c>
      <c r="M476" s="1" t="str">
        <f>_xlfn.XLOOKUP(Sheet1!F476,Departments!$A$2:$A$6,Departments!$B$2:$B$6)</f>
        <v>Sales</v>
      </c>
      <c r="N476" s="1">
        <f>_xlfn.XLOOKUP(A476,Performance!$A$2:$A$501,Performance!$C$2:$C$501)</f>
        <v>4</v>
      </c>
      <c r="O476" s="1" cm="1">
        <f t="array" ref="O476">_xlfn.IFS(N476=5,I476+0.15*I476,N476=4,I476+I476*0.1,N476=3,I476+I476*0.07,N476&lt;3,I476+I476*0.05)</f>
        <v>73632.899999999994</v>
      </c>
    </row>
    <row r="477" spans="1:15" x14ac:dyDescent="0.3">
      <c r="A477" s="1" t="s">
        <v>1437</v>
      </c>
      <c r="B477" s="1" t="s">
        <v>13</v>
      </c>
      <c r="C477" s="1" t="s">
        <v>90</v>
      </c>
      <c r="D477" s="1" t="s">
        <v>24</v>
      </c>
      <c r="E477" s="1">
        <v>58</v>
      </c>
      <c r="F477" s="1" t="s">
        <v>31</v>
      </c>
      <c r="G477" s="1" t="s">
        <v>17</v>
      </c>
      <c r="H477" s="1" t="s">
        <v>1438</v>
      </c>
      <c r="I477" s="1">
        <v>51367</v>
      </c>
      <c r="J477" s="1" t="s">
        <v>65</v>
      </c>
      <c r="K477" s="1" t="s">
        <v>1439</v>
      </c>
      <c r="L477" s="1" t="s">
        <v>21</v>
      </c>
      <c r="M477" s="1" t="str">
        <f>_xlfn.XLOOKUP(Sheet1!F477,Departments!$A$2:$A$6,Departments!$B$2:$B$6)</f>
        <v>Sales</v>
      </c>
      <c r="N477" s="1">
        <f>_xlfn.XLOOKUP(A477,Performance!$A$2:$A$501,Performance!$C$2:$C$501)</f>
        <v>5</v>
      </c>
      <c r="O477" s="1" cm="1">
        <f t="array" ref="O477">_xlfn.IFS(N477=5,I477+0.15*I477,N477=4,I477+I477*0.1,N477=3,I477+I477*0.07,N477&lt;3,I477+I477*0.05)</f>
        <v>59072.05</v>
      </c>
    </row>
    <row r="478" spans="1:15" x14ac:dyDescent="0.3">
      <c r="A478" s="1" t="s">
        <v>1440</v>
      </c>
      <c r="B478" s="1" t="s">
        <v>143</v>
      </c>
      <c r="C478" s="1" t="s">
        <v>95</v>
      </c>
      <c r="D478" s="1" t="s">
        <v>15</v>
      </c>
      <c r="E478" s="1">
        <v>60</v>
      </c>
      <c r="F478" s="1" t="s">
        <v>31</v>
      </c>
      <c r="G478" s="1" t="s">
        <v>17</v>
      </c>
      <c r="H478" s="1" t="s">
        <v>1441</v>
      </c>
      <c r="I478" s="1">
        <v>94212</v>
      </c>
      <c r="J478" s="1" t="s">
        <v>34</v>
      </c>
      <c r="K478" s="1" t="s">
        <v>1442</v>
      </c>
      <c r="L478" s="1" t="s">
        <v>21</v>
      </c>
      <c r="M478" s="1" t="str">
        <f>_xlfn.XLOOKUP(Sheet1!F478,Departments!$A$2:$A$6,Departments!$B$2:$B$6)</f>
        <v>Sales</v>
      </c>
      <c r="N478" s="1">
        <f>_xlfn.XLOOKUP(A478,Performance!$A$2:$A$501,Performance!$C$2:$C$501)</f>
        <v>3</v>
      </c>
      <c r="O478" s="1" cm="1">
        <f t="array" ref="O478">_xlfn.IFS(N478=5,I478+0.15*I478,N478=4,I478+I478*0.1,N478=3,I478+I478*0.07,N478&lt;3,I478+I478*0.05)</f>
        <v>100806.84</v>
      </c>
    </row>
    <row r="479" spans="1:15" x14ac:dyDescent="0.3">
      <c r="A479" s="1" t="s">
        <v>1443</v>
      </c>
      <c r="B479" s="1" t="s">
        <v>44</v>
      </c>
      <c r="C479" s="1" t="s">
        <v>130</v>
      </c>
      <c r="D479" s="1" t="s">
        <v>24</v>
      </c>
      <c r="E479" s="1">
        <v>44</v>
      </c>
      <c r="F479" s="1" t="s">
        <v>50</v>
      </c>
      <c r="G479" s="1" t="s">
        <v>40</v>
      </c>
      <c r="H479" s="1" t="s">
        <v>1000</v>
      </c>
      <c r="I479" s="1">
        <v>47411</v>
      </c>
      <c r="J479" s="1" t="s">
        <v>60</v>
      </c>
      <c r="K479" s="1" t="s">
        <v>1444</v>
      </c>
      <c r="L479" s="1" t="s">
        <v>36</v>
      </c>
      <c r="M479" s="1" t="str">
        <f>_xlfn.XLOOKUP(Sheet1!F479,Departments!$A$2:$A$6,Departments!$B$2:$B$6)</f>
        <v>Finance</v>
      </c>
      <c r="N479" s="1">
        <f>_xlfn.XLOOKUP(A479,Performance!$A$2:$A$501,Performance!$C$2:$C$501)</f>
        <v>3</v>
      </c>
      <c r="O479" s="1" cm="1">
        <f t="array" ref="O479">_xlfn.IFS(N479=5,I479+0.15*I479,N479=4,I479+I479*0.1,N479=3,I479+I479*0.07,N479&lt;3,I479+I479*0.05)</f>
        <v>50729.770000000004</v>
      </c>
    </row>
    <row r="480" spans="1:15" x14ac:dyDescent="0.3">
      <c r="A480" s="1" t="s">
        <v>1445</v>
      </c>
      <c r="B480" s="1" t="s">
        <v>54</v>
      </c>
      <c r="C480" s="1" t="s">
        <v>23</v>
      </c>
      <c r="D480" s="1" t="s">
        <v>15</v>
      </c>
      <c r="E480" s="1">
        <v>49</v>
      </c>
      <c r="F480" s="1" t="s">
        <v>31</v>
      </c>
      <c r="G480" s="1" t="s">
        <v>26</v>
      </c>
      <c r="H480" s="1" t="s">
        <v>1446</v>
      </c>
      <c r="I480" s="1">
        <v>67896</v>
      </c>
      <c r="J480" s="1" t="s">
        <v>34</v>
      </c>
      <c r="K480" s="1" t="s">
        <v>1447</v>
      </c>
      <c r="L480" s="1" t="s">
        <v>36</v>
      </c>
      <c r="M480" s="1" t="str">
        <f>_xlfn.XLOOKUP(Sheet1!F480,Departments!$A$2:$A$6,Departments!$B$2:$B$6)</f>
        <v>Sales</v>
      </c>
      <c r="N480" s="1">
        <f>_xlfn.XLOOKUP(A480,Performance!$A$2:$A$501,Performance!$C$2:$C$501)</f>
        <v>3</v>
      </c>
      <c r="O480" s="1" cm="1">
        <f t="array" ref="O480">_xlfn.IFS(N480=5,I480+0.15*I480,N480=4,I480+I480*0.1,N480=3,I480+I480*0.07,N480&lt;3,I480+I480*0.05)</f>
        <v>72648.72</v>
      </c>
    </row>
    <row r="481" spans="1:15" x14ac:dyDescent="0.3">
      <c r="A481" s="1" t="s">
        <v>1448</v>
      </c>
      <c r="B481" s="1" t="s">
        <v>49</v>
      </c>
      <c r="C481" s="1" t="s">
        <v>165</v>
      </c>
      <c r="D481" s="1" t="s">
        <v>24</v>
      </c>
      <c r="E481" s="1">
        <v>58</v>
      </c>
      <c r="F481" s="1" t="s">
        <v>39</v>
      </c>
      <c r="G481" s="1" t="s">
        <v>40</v>
      </c>
      <c r="H481" s="1" t="s">
        <v>1449</v>
      </c>
      <c r="I481" s="1">
        <v>81285</v>
      </c>
      <c r="J481" s="1" t="s">
        <v>34</v>
      </c>
      <c r="K481" s="1" t="s">
        <v>1450</v>
      </c>
      <c r="L481" s="1" t="s">
        <v>21</v>
      </c>
      <c r="M481" s="1" t="str">
        <f>_xlfn.XLOOKUP(Sheet1!F481,Departments!$A$2:$A$6,Departments!$B$2:$B$6)</f>
        <v>Marketing</v>
      </c>
      <c r="N481" s="1">
        <f>_xlfn.XLOOKUP(A481,Performance!$A$2:$A$501,Performance!$C$2:$C$501)</f>
        <v>2</v>
      </c>
      <c r="O481" s="1" cm="1">
        <f t="array" ref="O481">_xlfn.IFS(N481=5,I481+0.15*I481,N481=4,I481+I481*0.1,N481=3,I481+I481*0.07,N481&lt;3,I481+I481*0.05)</f>
        <v>85349.25</v>
      </c>
    </row>
    <row r="482" spans="1:15" x14ac:dyDescent="0.3">
      <c r="A482" s="1" t="s">
        <v>1451</v>
      </c>
      <c r="B482" s="1" t="s">
        <v>49</v>
      </c>
      <c r="C482" s="1" t="s">
        <v>63</v>
      </c>
      <c r="D482" s="1" t="s">
        <v>15</v>
      </c>
      <c r="E482" s="1">
        <v>53</v>
      </c>
      <c r="F482" s="1" t="s">
        <v>39</v>
      </c>
      <c r="G482" s="1" t="s">
        <v>108</v>
      </c>
      <c r="H482" s="1" t="s">
        <v>1452</v>
      </c>
      <c r="I482" s="1">
        <v>100041</v>
      </c>
      <c r="J482" s="1" t="s">
        <v>19</v>
      </c>
      <c r="K482" s="1" t="s">
        <v>1453</v>
      </c>
      <c r="L482" s="1" t="s">
        <v>21</v>
      </c>
      <c r="M482" s="1" t="str">
        <f>_xlfn.XLOOKUP(Sheet1!F482,Departments!$A$2:$A$6,Departments!$B$2:$B$6)</f>
        <v>Marketing</v>
      </c>
      <c r="N482" s="1">
        <f>_xlfn.XLOOKUP(A482,Performance!$A$2:$A$501,Performance!$C$2:$C$501)</f>
        <v>5</v>
      </c>
      <c r="O482" s="1" cm="1">
        <f t="array" ref="O482">_xlfn.IFS(N482=5,I482+0.15*I482,N482=4,I482+I482*0.1,N482=3,I482+I482*0.07,N482&lt;3,I482+I482*0.05)</f>
        <v>115047.15</v>
      </c>
    </row>
    <row r="483" spans="1:15" x14ac:dyDescent="0.3">
      <c r="A483" s="1" t="s">
        <v>1454</v>
      </c>
      <c r="B483" s="1" t="s">
        <v>13</v>
      </c>
      <c r="C483" s="1" t="s">
        <v>83</v>
      </c>
      <c r="D483" s="1" t="s">
        <v>24</v>
      </c>
      <c r="E483" s="1">
        <v>48</v>
      </c>
      <c r="F483" s="1" t="s">
        <v>39</v>
      </c>
      <c r="G483" s="1" t="s">
        <v>108</v>
      </c>
      <c r="H483" s="1" t="s">
        <v>1455</v>
      </c>
      <c r="I483" s="1">
        <v>88033</v>
      </c>
      <c r="J483" s="1" t="s">
        <v>80</v>
      </c>
      <c r="K483" s="1" t="s">
        <v>1456</v>
      </c>
      <c r="L483" s="1" t="s">
        <v>21</v>
      </c>
      <c r="M483" s="1" t="str">
        <f>_xlfn.XLOOKUP(Sheet1!F483,Departments!$A$2:$A$6,Departments!$B$2:$B$6)</f>
        <v>Marketing</v>
      </c>
      <c r="N483" s="1">
        <f>_xlfn.XLOOKUP(A483,Performance!$A$2:$A$501,Performance!$C$2:$C$501)</f>
        <v>3</v>
      </c>
      <c r="O483" s="1" cm="1">
        <f t="array" ref="O483">_xlfn.IFS(N483=5,I483+0.15*I483,N483=4,I483+I483*0.1,N483=3,I483+I483*0.07,N483&lt;3,I483+I483*0.05)</f>
        <v>94195.31</v>
      </c>
    </row>
    <row r="484" spans="1:15" x14ac:dyDescent="0.3">
      <c r="A484" s="1" t="s">
        <v>1457</v>
      </c>
      <c r="B484" s="1" t="s">
        <v>38</v>
      </c>
      <c r="C484" s="1" t="s">
        <v>45</v>
      </c>
      <c r="D484" s="1" t="s">
        <v>15</v>
      </c>
      <c r="E484" s="1">
        <v>40</v>
      </c>
      <c r="F484" s="1" t="s">
        <v>31</v>
      </c>
      <c r="G484" s="1" t="s">
        <v>108</v>
      </c>
      <c r="H484" s="1" t="s">
        <v>1458</v>
      </c>
      <c r="I484" s="1">
        <v>71291</v>
      </c>
      <c r="J484" s="1" t="s">
        <v>34</v>
      </c>
      <c r="K484" s="1" t="s">
        <v>1459</v>
      </c>
      <c r="L484" s="1" t="s">
        <v>36</v>
      </c>
      <c r="M484" s="1" t="str">
        <f>_xlfn.XLOOKUP(Sheet1!F484,Departments!$A$2:$A$6,Departments!$B$2:$B$6)</f>
        <v>Sales</v>
      </c>
      <c r="N484" s="1">
        <f>_xlfn.XLOOKUP(A484,Performance!$A$2:$A$501,Performance!$C$2:$C$501)</f>
        <v>3</v>
      </c>
      <c r="O484" s="1" cm="1">
        <f t="array" ref="O484">_xlfn.IFS(N484=5,I484+0.15*I484,N484=4,I484+I484*0.1,N484=3,I484+I484*0.07,N484&lt;3,I484+I484*0.05)</f>
        <v>76281.37</v>
      </c>
    </row>
    <row r="485" spans="1:15" x14ac:dyDescent="0.3">
      <c r="A485" s="1" t="s">
        <v>1460</v>
      </c>
      <c r="B485" s="1" t="s">
        <v>143</v>
      </c>
      <c r="C485" s="1" t="s">
        <v>45</v>
      </c>
      <c r="D485" s="1" t="s">
        <v>15</v>
      </c>
      <c r="E485" s="1">
        <v>27</v>
      </c>
      <c r="F485" s="1" t="s">
        <v>25</v>
      </c>
      <c r="G485" s="1" t="s">
        <v>40</v>
      </c>
      <c r="H485" s="1" t="s">
        <v>1461</v>
      </c>
      <c r="I485" s="1">
        <v>48563</v>
      </c>
      <c r="J485" s="1" t="s">
        <v>34</v>
      </c>
      <c r="K485" s="1" t="s">
        <v>1462</v>
      </c>
      <c r="L485" s="1" t="s">
        <v>36</v>
      </c>
      <c r="M485" s="1" t="str">
        <f>_xlfn.XLOOKUP(Sheet1!F485,Departments!$A$2:$A$6,Departments!$B$2:$B$6)</f>
        <v>IT</v>
      </c>
      <c r="N485" s="1">
        <f>_xlfn.XLOOKUP(A485,Performance!$A$2:$A$501,Performance!$C$2:$C$501)</f>
        <v>2</v>
      </c>
      <c r="O485" s="1" cm="1">
        <f t="array" ref="O485">_xlfn.IFS(N485=5,I485+0.15*I485,N485=4,I485+I485*0.1,N485=3,I485+I485*0.07,N485&lt;3,I485+I485*0.05)</f>
        <v>50991.15</v>
      </c>
    </row>
    <row r="486" spans="1:15" x14ac:dyDescent="0.3">
      <c r="A486" s="1" t="s">
        <v>1463</v>
      </c>
      <c r="B486" s="1" t="s">
        <v>58</v>
      </c>
      <c r="C486" s="1" t="s">
        <v>45</v>
      </c>
      <c r="D486" s="1" t="s">
        <v>24</v>
      </c>
      <c r="E486" s="1">
        <v>37</v>
      </c>
      <c r="F486" s="1" t="s">
        <v>25</v>
      </c>
      <c r="G486" s="1" t="s">
        <v>32</v>
      </c>
      <c r="H486" s="1" t="s">
        <v>1464</v>
      </c>
      <c r="I486" s="1">
        <v>71454</v>
      </c>
      <c r="J486" s="1" t="s">
        <v>19</v>
      </c>
      <c r="K486" s="1" t="s">
        <v>1465</v>
      </c>
      <c r="L486" s="1" t="s">
        <v>21</v>
      </c>
      <c r="M486" s="1" t="str">
        <f>_xlfn.XLOOKUP(Sheet1!F486,Departments!$A$2:$A$6,Departments!$B$2:$B$6)</f>
        <v>IT</v>
      </c>
      <c r="N486" s="1">
        <f>_xlfn.XLOOKUP(A486,Performance!$A$2:$A$501,Performance!$C$2:$C$501)</f>
        <v>4</v>
      </c>
      <c r="O486" s="1" cm="1">
        <f t="array" ref="O486">_xlfn.IFS(N486=5,I486+0.15*I486,N486=4,I486+I486*0.1,N486=3,I486+I486*0.07,N486&lt;3,I486+I486*0.05)</f>
        <v>78599.399999999994</v>
      </c>
    </row>
    <row r="487" spans="1:15" x14ac:dyDescent="0.3">
      <c r="A487" s="1" t="s">
        <v>1466</v>
      </c>
      <c r="B487" s="1" t="s">
        <v>94</v>
      </c>
      <c r="C487" s="1" t="s">
        <v>63</v>
      </c>
      <c r="D487" s="1" t="s">
        <v>24</v>
      </c>
      <c r="E487" s="1">
        <v>39</v>
      </c>
      <c r="F487" s="1" t="s">
        <v>25</v>
      </c>
      <c r="G487" s="1" t="s">
        <v>32</v>
      </c>
      <c r="H487" s="1" t="s">
        <v>1467</v>
      </c>
      <c r="I487" s="1">
        <v>44271</v>
      </c>
      <c r="J487" s="1" t="s">
        <v>34</v>
      </c>
      <c r="K487" s="1" t="s">
        <v>1468</v>
      </c>
      <c r="L487" s="1" t="s">
        <v>36</v>
      </c>
      <c r="M487" s="1" t="str">
        <f>_xlfn.XLOOKUP(Sheet1!F487,Departments!$A$2:$A$6,Departments!$B$2:$B$6)</f>
        <v>IT</v>
      </c>
      <c r="N487" s="1">
        <f>_xlfn.XLOOKUP(A487,Performance!$A$2:$A$501,Performance!$C$2:$C$501)</f>
        <v>4</v>
      </c>
      <c r="O487" s="1" cm="1">
        <f t="array" ref="O487">_xlfn.IFS(N487=5,I487+0.15*I487,N487=4,I487+I487*0.1,N487=3,I487+I487*0.07,N487&lt;3,I487+I487*0.05)</f>
        <v>48698.1</v>
      </c>
    </row>
    <row r="488" spans="1:15" x14ac:dyDescent="0.3">
      <c r="A488" s="1" t="s">
        <v>1469</v>
      </c>
      <c r="B488" s="1" t="s">
        <v>38</v>
      </c>
      <c r="C488" s="1" t="s">
        <v>14</v>
      </c>
      <c r="D488" s="1" t="s">
        <v>15</v>
      </c>
      <c r="E488" s="1">
        <v>56</v>
      </c>
      <c r="F488" s="1" t="s">
        <v>16</v>
      </c>
      <c r="G488" s="1" t="s">
        <v>17</v>
      </c>
      <c r="H488" s="1" t="s">
        <v>1470</v>
      </c>
      <c r="I488" s="1">
        <v>93401</v>
      </c>
      <c r="J488" s="1" t="s">
        <v>65</v>
      </c>
      <c r="K488" s="1" t="s">
        <v>1471</v>
      </c>
      <c r="L488" s="1" t="s">
        <v>21</v>
      </c>
      <c r="M488" s="1" t="str">
        <f>_xlfn.XLOOKUP(Sheet1!F488,Departments!$A$2:$A$6,Departments!$B$2:$B$6)</f>
        <v>HR</v>
      </c>
      <c r="N488" s="1">
        <f>_xlfn.XLOOKUP(A488,Performance!$A$2:$A$501,Performance!$C$2:$C$501)</f>
        <v>2</v>
      </c>
      <c r="O488" s="1" cm="1">
        <f t="array" ref="O488">_xlfn.IFS(N488=5,I488+0.15*I488,N488=4,I488+I488*0.1,N488=3,I488+I488*0.07,N488&lt;3,I488+I488*0.05)</f>
        <v>98071.05</v>
      </c>
    </row>
    <row r="489" spans="1:15" x14ac:dyDescent="0.3">
      <c r="A489" s="1" t="s">
        <v>1472</v>
      </c>
      <c r="B489" s="1" t="s">
        <v>71</v>
      </c>
      <c r="C489" s="1" t="s">
        <v>63</v>
      </c>
      <c r="D489" s="1" t="s">
        <v>24</v>
      </c>
      <c r="E489" s="1">
        <v>22</v>
      </c>
      <c r="F489" s="1" t="s">
        <v>25</v>
      </c>
      <c r="G489" s="1" t="s">
        <v>32</v>
      </c>
      <c r="H489" s="1" t="s">
        <v>1473</v>
      </c>
      <c r="I489" s="1">
        <v>56106</v>
      </c>
      <c r="J489" s="1" t="s">
        <v>19</v>
      </c>
      <c r="K489" s="1" t="s">
        <v>1474</v>
      </c>
      <c r="L489" s="1" t="s">
        <v>36</v>
      </c>
      <c r="M489" s="1" t="str">
        <f>_xlfn.XLOOKUP(Sheet1!F489,Departments!$A$2:$A$6,Departments!$B$2:$B$6)</f>
        <v>IT</v>
      </c>
      <c r="N489" s="1">
        <f>_xlfn.XLOOKUP(A489,Performance!$A$2:$A$501,Performance!$C$2:$C$501)</f>
        <v>1</v>
      </c>
      <c r="O489" s="1" cm="1">
        <f t="array" ref="O489">_xlfn.IFS(N489=5,I489+0.15*I489,N489=4,I489+I489*0.1,N489=3,I489+I489*0.07,N489&lt;3,I489+I489*0.05)</f>
        <v>58911.3</v>
      </c>
    </row>
    <row r="490" spans="1:15" x14ac:dyDescent="0.3">
      <c r="A490" s="1" t="s">
        <v>1475</v>
      </c>
      <c r="B490" s="1" t="s">
        <v>94</v>
      </c>
      <c r="C490" s="1" t="s">
        <v>95</v>
      </c>
      <c r="D490" s="1" t="s">
        <v>15</v>
      </c>
      <c r="E490" s="1">
        <v>38</v>
      </c>
      <c r="F490" s="1" t="s">
        <v>39</v>
      </c>
      <c r="G490" s="1" t="s">
        <v>32</v>
      </c>
      <c r="H490" s="1" t="s">
        <v>300</v>
      </c>
      <c r="I490" s="1">
        <v>106273</v>
      </c>
      <c r="J490" s="1" t="s">
        <v>19</v>
      </c>
      <c r="K490" s="1" t="s">
        <v>1476</v>
      </c>
      <c r="L490" s="1" t="s">
        <v>36</v>
      </c>
      <c r="M490" s="1" t="str">
        <f>_xlfn.XLOOKUP(Sheet1!F490,Departments!$A$2:$A$6,Departments!$B$2:$B$6)</f>
        <v>Marketing</v>
      </c>
      <c r="N490" s="1">
        <f>_xlfn.XLOOKUP(A490,Performance!$A$2:$A$501,Performance!$C$2:$C$501)</f>
        <v>5</v>
      </c>
      <c r="O490" s="1" cm="1">
        <f t="array" ref="O490">_xlfn.IFS(N490=5,I490+0.15*I490,N490=4,I490+I490*0.1,N490=3,I490+I490*0.07,N490&lt;3,I490+I490*0.05)</f>
        <v>122213.95</v>
      </c>
    </row>
    <row r="491" spans="1:15" x14ac:dyDescent="0.3">
      <c r="A491" s="1" t="s">
        <v>1477</v>
      </c>
      <c r="B491" s="1" t="s">
        <v>71</v>
      </c>
      <c r="C491" s="1" t="s">
        <v>130</v>
      </c>
      <c r="D491" s="1" t="s">
        <v>24</v>
      </c>
      <c r="E491" s="1">
        <v>45</v>
      </c>
      <c r="F491" s="1" t="s">
        <v>50</v>
      </c>
      <c r="G491" s="1" t="s">
        <v>40</v>
      </c>
      <c r="H491" s="1" t="s">
        <v>1478</v>
      </c>
      <c r="I491" s="1">
        <v>105710</v>
      </c>
      <c r="J491" s="1" t="s">
        <v>80</v>
      </c>
      <c r="K491" s="1" t="s">
        <v>1479</v>
      </c>
      <c r="L491" s="1" t="s">
        <v>21</v>
      </c>
      <c r="M491" s="1" t="str">
        <f>_xlfn.XLOOKUP(Sheet1!F491,Departments!$A$2:$A$6,Departments!$B$2:$B$6)</f>
        <v>Finance</v>
      </c>
      <c r="N491" s="1">
        <f>_xlfn.XLOOKUP(A491,Performance!$A$2:$A$501,Performance!$C$2:$C$501)</f>
        <v>2</v>
      </c>
      <c r="O491" s="1" cm="1">
        <f t="array" ref="O491">_xlfn.IFS(N491=5,I491+0.15*I491,N491=4,I491+I491*0.1,N491=3,I491+I491*0.07,N491&lt;3,I491+I491*0.05)</f>
        <v>110995.5</v>
      </c>
    </row>
    <row r="492" spans="1:15" x14ac:dyDescent="0.3">
      <c r="A492" s="1" t="s">
        <v>1480</v>
      </c>
      <c r="B492" s="1" t="s">
        <v>143</v>
      </c>
      <c r="C492" s="1" t="s">
        <v>14</v>
      </c>
      <c r="D492" s="1" t="s">
        <v>15</v>
      </c>
      <c r="E492" s="1">
        <v>46</v>
      </c>
      <c r="F492" s="1" t="s">
        <v>50</v>
      </c>
      <c r="G492" s="1" t="s">
        <v>108</v>
      </c>
      <c r="H492" s="1" t="s">
        <v>270</v>
      </c>
      <c r="I492" s="1">
        <v>68751</v>
      </c>
      <c r="J492" s="1" t="s">
        <v>19</v>
      </c>
      <c r="K492" s="1" t="s">
        <v>1481</v>
      </c>
      <c r="L492" s="1" t="s">
        <v>21</v>
      </c>
      <c r="M492" s="1" t="str">
        <f>_xlfn.XLOOKUP(Sheet1!F492,Departments!$A$2:$A$6,Departments!$B$2:$B$6)</f>
        <v>Finance</v>
      </c>
      <c r="N492" s="1">
        <f>_xlfn.XLOOKUP(A492,Performance!$A$2:$A$501,Performance!$C$2:$C$501)</f>
        <v>4</v>
      </c>
      <c r="O492" s="1" cm="1">
        <f t="array" ref="O492">_xlfn.IFS(N492=5,I492+0.15*I492,N492=4,I492+I492*0.1,N492=3,I492+I492*0.07,N492&lt;3,I492+I492*0.05)</f>
        <v>75626.100000000006</v>
      </c>
    </row>
    <row r="493" spans="1:15" x14ac:dyDescent="0.3">
      <c r="A493" s="1" t="s">
        <v>1482</v>
      </c>
      <c r="B493" s="1" t="s">
        <v>38</v>
      </c>
      <c r="C493" s="1" t="s">
        <v>45</v>
      </c>
      <c r="D493" s="1" t="s">
        <v>15</v>
      </c>
      <c r="E493" s="1">
        <v>33</v>
      </c>
      <c r="F493" s="1" t="s">
        <v>16</v>
      </c>
      <c r="G493" s="1" t="s">
        <v>26</v>
      </c>
      <c r="H493" s="1" t="s">
        <v>1483</v>
      </c>
      <c r="I493" s="1">
        <v>63873</v>
      </c>
      <c r="J493" s="1" t="s">
        <v>65</v>
      </c>
      <c r="K493" s="1" t="s">
        <v>1484</v>
      </c>
      <c r="L493" s="1" t="s">
        <v>21</v>
      </c>
      <c r="M493" s="1" t="str">
        <f>_xlfn.XLOOKUP(Sheet1!F493,Departments!$A$2:$A$6,Departments!$B$2:$B$6)</f>
        <v>HR</v>
      </c>
      <c r="N493" s="1">
        <f>_xlfn.XLOOKUP(A493,Performance!$A$2:$A$501,Performance!$C$2:$C$501)</f>
        <v>5</v>
      </c>
      <c r="O493" s="1" cm="1">
        <f t="array" ref="O493">_xlfn.IFS(N493=5,I493+0.15*I493,N493=4,I493+I493*0.1,N493=3,I493+I493*0.07,N493&lt;3,I493+I493*0.05)</f>
        <v>73453.95</v>
      </c>
    </row>
    <row r="494" spans="1:15" x14ac:dyDescent="0.3">
      <c r="A494" s="1" t="s">
        <v>1485</v>
      </c>
      <c r="B494" s="1" t="s">
        <v>49</v>
      </c>
      <c r="C494" s="1" t="s">
        <v>45</v>
      </c>
      <c r="D494" s="1" t="s">
        <v>24</v>
      </c>
      <c r="E494" s="1">
        <v>39</v>
      </c>
      <c r="F494" s="1" t="s">
        <v>50</v>
      </c>
      <c r="G494" s="1" t="s">
        <v>40</v>
      </c>
      <c r="H494" s="1" t="s">
        <v>1009</v>
      </c>
      <c r="I494" s="1">
        <v>117465</v>
      </c>
      <c r="J494" s="1" t="s">
        <v>34</v>
      </c>
      <c r="K494" s="1" t="s">
        <v>1486</v>
      </c>
      <c r="L494" s="1" t="s">
        <v>36</v>
      </c>
      <c r="M494" s="1" t="str">
        <f>_xlfn.XLOOKUP(Sheet1!F494,Departments!$A$2:$A$6,Departments!$B$2:$B$6)</f>
        <v>Finance</v>
      </c>
      <c r="N494" s="1">
        <f>_xlfn.XLOOKUP(A494,Performance!$A$2:$A$501,Performance!$C$2:$C$501)</f>
        <v>1</v>
      </c>
      <c r="O494" s="1" cm="1">
        <f t="array" ref="O494">_xlfn.IFS(N494=5,I494+0.15*I494,N494=4,I494+I494*0.1,N494=3,I494+I494*0.07,N494&lt;3,I494+I494*0.05)</f>
        <v>123338.25</v>
      </c>
    </row>
    <row r="495" spans="1:15" x14ac:dyDescent="0.3">
      <c r="A495" s="1" t="s">
        <v>1487</v>
      </c>
      <c r="B495" s="1" t="s">
        <v>44</v>
      </c>
      <c r="C495" s="1" t="s">
        <v>130</v>
      </c>
      <c r="D495" s="1" t="s">
        <v>15</v>
      </c>
      <c r="E495" s="1">
        <v>44</v>
      </c>
      <c r="F495" s="1" t="s">
        <v>31</v>
      </c>
      <c r="G495" s="1" t="s">
        <v>26</v>
      </c>
      <c r="H495" s="1" t="s">
        <v>1488</v>
      </c>
      <c r="I495" s="1">
        <v>59582</v>
      </c>
      <c r="J495" s="1" t="s">
        <v>80</v>
      </c>
      <c r="K495" s="1" t="s">
        <v>1489</v>
      </c>
      <c r="L495" s="1" t="s">
        <v>36</v>
      </c>
      <c r="M495" s="1" t="str">
        <f>_xlfn.XLOOKUP(Sheet1!F495,Departments!$A$2:$A$6,Departments!$B$2:$B$6)</f>
        <v>Sales</v>
      </c>
      <c r="N495" s="1">
        <f>_xlfn.XLOOKUP(A495,Performance!$A$2:$A$501,Performance!$C$2:$C$501)</f>
        <v>5</v>
      </c>
      <c r="O495" s="1" cm="1">
        <f t="array" ref="O495">_xlfn.IFS(N495=5,I495+0.15*I495,N495=4,I495+I495*0.1,N495=3,I495+I495*0.07,N495&lt;3,I495+I495*0.05)</f>
        <v>68519.3</v>
      </c>
    </row>
    <row r="496" spans="1:15" x14ac:dyDescent="0.3">
      <c r="A496" s="1" t="s">
        <v>1490</v>
      </c>
      <c r="B496" s="1" t="s">
        <v>58</v>
      </c>
      <c r="C496" s="1" t="s">
        <v>83</v>
      </c>
      <c r="D496" s="1" t="s">
        <v>15</v>
      </c>
      <c r="E496" s="1">
        <v>51</v>
      </c>
      <c r="F496" s="1" t="s">
        <v>31</v>
      </c>
      <c r="G496" s="1" t="s">
        <v>17</v>
      </c>
      <c r="H496" s="1" t="s">
        <v>1491</v>
      </c>
      <c r="I496" s="1">
        <v>117932</v>
      </c>
      <c r="J496" s="1" t="s">
        <v>80</v>
      </c>
      <c r="K496" s="1" t="s">
        <v>1492</v>
      </c>
      <c r="L496" s="1" t="s">
        <v>21</v>
      </c>
      <c r="M496" s="1" t="str">
        <f>_xlfn.XLOOKUP(Sheet1!F496,Departments!$A$2:$A$6,Departments!$B$2:$B$6)</f>
        <v>Sales</v>
      </c>
      <c r="N496" s="1">
        <f>_xlfn.XLOOKUP(A496,Performance!$A$2:$A$501,Performance!$C$2:$C$501)</f>
        <v>4</v>
      </c>
      <c r="O496" s="1" cm="1">
        <f t="array" ref="O496">_xlfn.IFS(N496=5,I496+0.15*I496,N496=4,I496+I496*0.1,N496=3,I496+I496*0.07,N496&lt;3,I496+I496*0.05)</f>
        <v>129725.2</v>
      </c>
    </row>
    <row r="497" spans="1:15" x14ac:dyDescent="0.3">
      <c r="A497" s="1" t="s">
        <v>1493</v>
      </c>
      <c r="B497" s="1" t="s">
        <v>49</v>
      </c>
      <c r="C497" s="1" t="s">
        <v>45</v>
      </c>
      <c r="D497" s="1" t="s">
        <v>24</v>
      </c>
      <c r="E497" s="1">
        <v>58</v>
      </c>
      <c r="F497" s="1" t="s">
        <v>16</v>
      </c>
      <c r="G497" s="1" t="s">
        <v>40</v>
      </c>
      <c r="H497" s="1" t="s">
        <v>1494</v>
      </c>
      <c r="I497" s="1">
        <v>95198</v>
      </c>
      <c r="J497" s="1" t="s">
        <v>80</v>
      </c>
      <c r="K497" s="1" t="s">
        <v>1495</v>
      </c>
      <c r="L497" s="1" t="s">
        <v>21</v>
      </c>
      <c r="M497" s="1" t="str">
        <f>_xlfn.XLOOKUP(Sheet1!F497,Departments!$A$2:$A$6,Departments!$B$2:$B$6)</f>
        <v>HR</v>
      </c>
      <c r="N497" s="1">
        <f>_xlfn.XLOOKUP(A497,Performance!$A$2:$A$501,Performance!$C$2:$C$501)</f>
        <v>1</v>
      </c>
      <c r="O497" s="1" cm="1">
        <f t="array" ref="O497">_xlfn.IFS(N497=5,I497+0.15*I497,N497=4,I497+I497*0.1,N497=3,I497+I497*0.07,N497&lt;3,I497+I497*0.05)</f>
        <v>99957.9</v>
      </c>
    </row>
    <row r="498" spans="1:15" x14ac:dyDescent="0.3">
      <c r="A498" s="1" t="s">
        <v>1496</v>
      </c>
      <c r="B498" s="1" t="s">
        <v>58</v>
      </c>
      <c r="C498" s="1" t="s">
        <v>165</v>
      </c>
      <c r="D498" s="1" t="s">
        <v>24</v>
      </c>
      <c r="E498" s="1">
        <v>24</v>
      </c>
      <c r="F498" s="1" t="s">
        <v>31</v>
      </c>
      <c r="G498" s="1" t="s">
        <v>32</v>
      </c>
      <c r="H498" s="1" t="s">
        <v>1497</v>
      </c>
      <c r="I498" s="1">
        <v>61647</v>
      </c>
      <c r="J498" s="1" t="s">
        <v>80</v>
      </c>
      <c r="K498" s="1" t="s">
        <v>1498</v>
      </c>
      <c r="L498" s="1" t="s">
        <v>36</v>
      </c>
      <c r="M498" s="1" t="str">
        <f>_xlfn.XLOOKUP(Sheet1!F498,Departments!$A$2:$A$6,Departments!$B$2:$B$6)</f>
        <v>Sales</v>
      </c>
      <c r="N498" s="1">
        <f>_xlfn.XLOOKUP(A498,Performance!$A$2:$A$501,Performance!$C$2:$C$501)</f>
        <v>2</v>
      </c>
      <c r="O498" s="1" cm="1">
        <f t="array" ref="O498">_xlfn.IFS(N498=5,I498+0.15*I498,N498=4,I498+I498*0.1,N498=3,I498+I498*0.07,N498&lt;3,I498+I498*0.05)</f>
        <v>64729.35</v>
      </c>
    </row>
    <row r="499" spans="1:15" x14ac:dyDescent="0.3">
      <c r="A499" s="1" t="s">
        <v>1499</v>
      </c>
      <c r="B499" s="1" t="s">
        <v>94</v>
      </c>
      <c r="C499" s="1" t="s">
        <v>63</v>
      </c>
      <c r="D499" s="1" t="s">
        <v>15</v>
      </c>
      <c r="E499" s="1">
        <v>26</v>
      </c>
      <c r="F499" s="1" t="s">
        <v>50</v>
      </c>
      <c r="G499" s="1" t="s">
        <v>26</v>
      </c>
      <c r="H499" s="1" t="s">
        <v>1500</v>
      </c>
      <c r="I499" s="1">
        <v>41274</v>
      </c>
      <c r="J499" s="1" t="s">
        <v>80</v>
      </c>
      <c r="K499" s="1" t="s">
        <v>1501</v>
      </c>
      <c r="L499" s="1" t="s">
        <v>36</v>
      </c>
      <c r="M499" s="1" t="str">
        <f>_xlfn.XLOOKUP(Sheet1!F499,Departments!$A$2:$A$6,Departments!$B$2:$B$6)</f>
        <v>Finance</v>
      </c>
      <c r="N499" s="1">
        <f>_xlfn.XLOOKUP(A499,Performance!$A$2:$A$501,Performance!$C$2:$C$501)</f>
        <v>2</v>
      </c>
      <c r="O499" s="1" cm="1">
        <f t="array" ref="O499">_xlfn.IFS(N499=5,I499+0.15*I499,N499=4,I499+I499*0.1,N499=3,I499+I499*0.07,N499&lt;3,I499+I499*0.05)</f>
        <v>43337.7</v>
      </c>
    </row>
    <row r="500" spans="1:15" x14ac:dyDescent="0.3">
      <c r="A500" s="1" t="s">
        <v>1502</v>
      </c>
      <c r="B500" s="1" t="s">
        <v>38</v>
      </c>
      <c r="C500" s="1" t="s">
        <v>83</v>
      </c>
      <c r="D500" s="1" t="s">
        <v>15</v>
      </c>
      <c r="E500" s="1">
        <v>40</v>
      </c>
      <c r="F500" s="1" t="s">
        <v>25</v>
      </c>
      <c r="G500" s="1" t="s">
        <v>40</v>
      </c>
      <c r="H500" s="1" t="s">
        <v>1503</v>
      </c>
      <c r="I500" s="1">
        <v>40450</v>
      </c>
      <c r="J500" s="1" t="s">
        <v>80</v>
      </c>
      <c r="K500" s="1" t="s">
        <v>1504</v>
      </c>
      <c r="L500" s="1" t="s">
        <v>21</v>
      </c>
      <c r="M500" s="1" t="str">
        <f>_xlfn.XLOOKUP(Sheet1!F500,Departments!$A$2:$A$6,Departments!$B$2:$B$6)</f>
        <v>IT</v>
      </c>
      <c r="N500" s="1">
        <f>_xlfn.XLOOKUP(A500,Performance!$A$2:$A$501,Performance!$C$2:$C$501)</f>
        <v>3</v>
      </c>
      <c r="O500" s="1" cm="1">
        <f t="array" ref="O500">_xlfn.IFS(N500=5,I500+0.15*I500,N500=4,I500+I500*0.1,N500=3,I500+I500*0.07,N500&lt;3,I500+I500*0.05)</f>
        <v>43281.5</v>
      </c>
    </row>
    <row r="501" spans="1:15" x14ac:dyDescent="0.3">
      <c r="A501" s="1" t="s">
        <v>1505</v>
      </c>
      <c r="B501" s="1" t="s">
        <v>38</v>
      </c>
      <c r="C501" s="1" t="s">
        <v>63</v>
      </c>
      <c r="D501" s="1" t="s">
        <v>24</v>
      </c>
      <c r="E501" s="1">
        <v>58</v>
      </c>
      <c r="F501" s="1" t="s">
        <v>39</v>
      </c>
      <c r="G501" s="1" t="s">
        <v>26</v>
      </c>
      <c r="H501" s="1" t="s">
        <v>1506</v>
      </c>
      <c r="I501" s="1">
        <v>42662</v>
      </c>
      <c r="J501" s="1" t="s">
        <v>65</v>
      </c>
      <c r="K501" s="1" t="s">
        <v>1507</v>
      </c>
      <c r="L501" s="1" t="s">
        <v>21</v>
      </c>
      <c r="M501" s="1" t="str">
        <f>_xlfn.XLOOKUP(Sheet1!F501,Departments!$A$2:$A$6,Departments!$B$2:$B$6)</f>
        <v>Marketing</v>
      </c>
      <c r="N501" s="1">
        <f>_xlfn.XLOOKUP(A501,Performance!$A$2:$A$501,Performance!$C$2:$C$501)</f>
        <v>3</v>
      </c>
      <c r="O501" s="1" cm="1">
        <f t="array" ref="O501">_xlfn.IFS(N501=5,I501+0.15*I501,N501=4,I501+I501*0.1,N501=3,I501+I501*0.07,N501&lt;3,I501+I501*0.05)</f>
        <v>45648.34</v>
      </c>
    </row>
  </sheetData>
  <mergeCells count="1">
    <mergeCell ref="S5:T5"/>
  </mergeCells>
  <conditionalFormatting sqref="A2:O501">
    <cfRule type="expression" dxfId="1" priority="1">
      <formula>$I2&gt;100000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6CDFF-6B40-433C-A67E-A8ADEDF10366}">
  <dimension ref="A1:W501"/>
  <sheetViews>
    <sheetView topLeftCell="B1" workbookViewId="0">
      <selection activeCell="L8" sqref="L8"/>
    </sheetView>
  </sheetViews>
  <sheetFormatPr defaultRowHeight="14.4" x14ac:dyDescent="0.3"/>
  <cols>
    <col min="1" max="1" width="10.77734375" bestFit="1" customWidth="1"/>
    <col min="2" max="2" width="11.109375" bestFit="1" customWidth="1"/>
    <col min="3" max="3" width="9.44140625" bestFit="1" customWidth="1"/>
    <col min="4" max="4" width="9.33203125" bestFit="1" customWidth="1"/>
    <col min="5" max="5" width="7.109375" bestFit="1" customWidth="1"/>
    <col min="6" max="6" width="4.21875" bestFit="1" customWidth="1"/>
    <col min="7" max="7" width="12.88671875" bestFit="1" customWidth="1"/>
    <col min="8" max="8" width="7.44140625" bestFit="1" customWidth="1"/>
    <col min="9" max="9" width="10.33203125" bestFit="1" customWidth="1"/>
    <col min="10" max="10" width="7" bestFit="1" customWidth="1"/>
    <col min="11" max="11" width="7.109375" bestFit="1" customWidth="1"/>
    <col min="12" max="12" width="26.5546875" bestFit="1" customWidth="1"/>
    <col min="13" max="13" width="7.44140625" bestFit="1" customWidth="1"/>
    <col min="14" max="14" width="19.109375" bestFit="1" customWidth="1"/>
    <col min="15" max="15" width="9.44140625" bestFit="1" customWidth="1"/>
    <col min="16" max="16" width="10" bestFit="1" customWidth="1"/>
  </cols>
  <sheetData>
    <row r="1" spans="1:23" x14ac:dyDescent="0.3">
      <c r="A1" s="7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1537</v>
      </c>
      <c r="O1" s="2" t="s">
        <v>1536</v>
      </c>
      <c r="P1" s="5" t="s">
        <v>1535</v>
      </c>
    </row>
    <row r="2" spans="1:23" x14ac:dyDescent="0.3">
      <c r="A2" s="8"/>
      <c r="B2" s="1" t="s">
        <v>12</v>
      </c>
      <c r="C2" s="1" t="s">
        <v>13</v>
      </c>
      <c r="D2" s="1" t="s">
        <v>14</v>
      </c>
      <c r="E2" s="1" t="s">
        <v>15</v>
      </c>
      <c r="F2" s="1">
        <v>30</v>
      </c>
      <c r="G2" s="1" t="s">
        <v>16</v>
      </c>
      <c r="H2" s="1" t="s">
        <v>17</v>
      </c>
      <c r="I2" s="1" t="s">
        <v>18</v>
      </c>
      <c r="J2" s="1">
        <v>105257</v>
      </c>
      <c r="K2" s="1" t="s">
        <v>19</v>
      </c>
      <c r="L2" s="1" t="s">
        <v>20</v>
      </c>
      <c r="M2" s="1" t="s">
        <v>21</v>
      </c>
      <c r="N2" s="1" t="s">
        <v>1509</v>
      </c>
      <c r="O2" s="1">
        <v>1</v>
      </c>
      <c r="P2" s="1">
        <v>110519.85</v>
      </c>
      <c r="S2" s="2" t="s">
        <v>9</v>
      </c>
      <c r="T2" s="2" t="s">
        <v>6</v>
      </c>
    </row>
    <row r="3" spans="1:23" x14ac:dyDescent="0.3">
      <c r="A3" s="8"/>
      <c r="B3" s="1" t="s">
        <v>117</v>
      </c>
      <c r="C3" s="1" t="s">
        <v>44</v>
      </c>
      <c r="D3" s="1" t="s">
        <v>63</v>
      </c>
      <c r="E3" s="1" t="s">
        <v>24</v>
      </c>
      <c r="F3" s="1">
        <v>35</v>
      </c>
      <c r="G3" s="1" t="s">
        <v>50</v>
      </c>
      <c r="H3" s="1" t="s">
        <v>17</v>
      </c>
      <c r="I3" s="1" t="s">
        <v>118</v>
      </c>
      <c r="J3" s="1">
        <v>79578</v>
      </c>
      <c r="K3" s="1" t="s">
        <v>19</v>
      </c>
      <c r="L3" s="1" t="s">
        <v>119</v>
      </c>
      <c r="M3" s="1" t="s">
        <v>36</v>
      </c>
      <c r="N3" s="1" t="s">
        <v>1511</v>
      </c>
      <c r="O3" s="1">
        <v>4</v>
      </c>
      <c r="P3" s="1">
        <v>87535.8</v>
      </c>
      <c r="S3" s="1" t="s">
        <v>19</v>
      </c>
      <c r="T3" s="1" t="s">
        <v>17</v>
      </c>
    </row>
    <row r="4" spans="1:23" x14ac:dyDescent="0.3">
      <c r="A4" s="8"/>
      <c r="B4" s="1" t="s">
        <v>367</v>
      </c>
      <c r="C4" s="1" t="s">
        <v>143</v>
      </c>
      <c r="D4" s="1" t="s">
        <v>63</v>
      </c>
      <c r="E4" s="1" t="s">
        <v>24</v>
      </c>
      <c r="F4" s="1">
        <v>27</v>
      </c>
      <c r="G4" s="1" t="s">
        <v>31</v>
      </c>
      <c r="H4" s="1" t="s">
        <v>17</v>
      </c>
      <c r="I4" s="1" t="s">
        <v>368</v>
      </c>
      <c r="J4" s="1">
        <v>90958</v>
      </c>
      <c r="K4" s="1" t="s">
        <v>19</v>
      </c>
      <c r="L4" s="1" t="s">
        <v>369</v>
      </c>
      <c r="M4" s="1" t="s">
        <v>36</v>
      </c>
      <c r="N4" s="1" t="s">
        <v>1515</v>
      </c>
      <c r="O4" s="1">
        <v>1</v>
      </c>
      <c r="P4" s="1">
        <v>95505.9</v>
      </c>
    </row>
    <row r="5" spans="1:23" x14ac:dyDescent="0.3">
      <c r="A5" s="8"/>
      <c r="B5" s="1" t="s">
        <v>399</v>
      </c>
      <c r="C5" s="1" t="s">
        <v>143</v>
      </c>
      <c r="D5" s="1" t="s">
        <v>78</v>
      </c>
      <c r="E5" s="1" t="s">
        <v>24</v>
      </c>
      <c r="F5" s="1">
        <v>24</v>
      </c>
      <c r="G5" s="1" t="s">
        <v>31</v>
      </c>
      <c r="H5" s="1" t="s">
        <v>17</v>
      </c>
      <c r="I5" s="1" t="s">
        <v>400</v>
      </c>
      <c r="J5" s="1">
        <v>99200</v>
      </c>
      <c r="K5" s="1" t="s">
        <v>19</v>
      </c>
      <c r="L5" s="1" t="s">
        <v>401</v>
      </c>
      <c r="M5" s="1" t="s">
        <v>36</v>
      </c>
      <c r="N5" s="1" t="s">
        <v>1515</v>
      </c>
      <c r="O5" s="1">
        <v>5</v>
      </c>
      <c r="P5" s="1">
        <v>114080</v>
      </c>
    </row>
    <row r="6" spans="1:23" x14ac:dyDescent="0.3">
      <c r="A6" s="8"/>
      <c r="B6" s="1" t="s">
        <v>544</v>
      </c>
      <c r="C6" s="1" t="s">
        <v>38</v>
      </c>
      <c r="D6" s="1" t="s">
        <v>78</v>
      </c>
      <c r="E6" s="1" t="s">
        <v>24</v>
      </c>
      <c r="F6" s="1">
        <v>41</v>
      </c>
      <c r="G6" s="1" t="s">
        <v>39</v>
      </c>
      <c r="H6" s="1" t="s">
        <v>17</v>
      </c>
      <c r="I6" s="1" t="s">
        <v>545</v>
      </c>
      <c r="J6" s="1">
        <v>45748</v>
      </c>
      <c r="K6" s="1" t="s">
        <v>19</v>
      </c>
      <c r="L6" s="1" t="s">
        <v>546</v>
      </c>
      <c r="M6" s="1" t="s">
        <v>36</v>
      </c>
      <c r="N6" s="1" t="s">
        <v>1517</v>
      </c>
      <c r="O6" s="1">
        <v>1</v>
      </c>
      <c r="P6" s="1">
        <v>48035.4</v>
      </c>
    </row>
    <row r="7" spans="1:23" x14ac:dyDescent="0.3">
      <c r="A7" s="8"/>
      <c r="B7" s="1" t="s">
        <v>592</v>
      </c>
      <c r="C7" s="1" t="s">
        <v>71</v>
      </c>
      <c r="D7" s="1" t="s">
        <v>83</v>
      </c>
      <c r="E7" s="1" t="s">
        <v>24</v>
      </c>
      <c r="F7" s="1">
        <v>60</v>
      </c>
      <c r="G7" s="1" t="s">
        <v>31</v>
      </c>
      <c r="H7" s="1" t="s">
        <v>17</v>
      </c>
      <c r="I7" s="1" t="s">
        <v>593</v>
      </c>
      <c r="J7" s="1">
        <v>111243</v>
      </c>
      <c r="K7" s="1" t="s">
        <v>19</v>
      </c>
      <c r="L7" s="1" t="s">
        <v>594</v>
      </c>
      <c r="M7" s="1" t="s">
        <v>21</v>
      </c>
      <c r="N7" s="1" t="s">
        <v>1515</v>
      </c>
      <c r="O7" s="1">
        <v>4</v>
      </c>
      <c r="P7" s="1">
        <v>122367.3</v>
      </c>
    </row>
    <row r="8" spans="1:23" x14ac:dyDescent="0.3">
      <c r="A8" s="8"/>
      <c r="B8" s="1" t="s">
        <v>598</v>
      </c>
      <c r="C8" s="1" t="s">
        <v>143</v>
      </c>
      <c r="D8" s="1" t="s">
        <v>45</v>
      </c>
      <c r="E8" s="1" t="s">
        <v>24</v>
      </c>
      <c r="F8" s="1">
        <v>35</v>
      </c>
      <c r="G8" s="1" t="s">
        <v>39</v>
      </c>
      <c r="H8" s="1" t="s">
        <v>17</v>
      </c>
      <c r="I8" s="1" t="s">
        <v>427</v>
      </c>
      <c r="J8" s="1">
        <v>71247</v>
      </c>
      <c r="K8" s="1" t="s">
        <v>19</v>
      </c>
      <c r="L8" s="1" t="s">
        <v>599</v>
      </c>
      <c r="M8" s="1" t="s">
        <v>36</v>
      </c>
      <c r="N8" s="1" t="s">
        <v>1517</v>
      </c>
      <c r="O8" s="1">
        <v>4</v>
      </c>
      <c r="P8" s="1">
        <v>78371.7</v>
      </c>
    </row>
    <row r="9" spans="1:23" x14ac:dyDescent="0.3">
      <c r="A9" s="8"/>
      <c r="B9" s="1" t="s">
        <v>821</v>
      </c>
      <c r="C9" s="1" t="s">
        <v>94</v>
      </c>
      <c r="D9" s="1" t="s">
        <v>130</v>
      </c>
      <c r="E9" s="1" t="s">
        <v>15</v>
      </c>
      <c r="F9" s="1">
        <v>44</v>
      </c>
      <c r="G9" s="1" t="s">
        <v>25</v>
      </c>
      <c r="H9" s="1" t="s">
        <v>17</v>
      </c>
      <c r="I9" s="1" t="s">
        <v>822</v>
      </c>
      <c r="J9" s="1">
        <v>97265</v>
      </c>
      <c r="K9" s="1" t="s">
        <v>19</v>
      </c>
      <c r="L9" s="1" t="s">
        <v>823</v>
      </c>
      <c r="M9" s="1" t="s">
        <v>21</v>
      </c>
      <c r="N9" s="1" t="s">
        <v>1513</v>
      </c>
      <c r="O9" s="1">
        <v>2</v>
      </c>
      <c r="P9" s="1">
        <v>102128.25</v>
      </c>
    </row>
    <row r="10" spans="1:23" x14ac:dyDescent="0.3">
      <c r="A10" s="8"/>
      <c r="B10" s="1" t="s">
        <v>959</v>
      </c>
      <c r="C10" s="1" t="s">
        <v>54</v>
      </c>
      <c r="D10" s="1" t="s">
        <v>23</v>
      </c>
      <c r="E10" s="1" t="s">
        <v>15</v>
      </c>
      <c r="F10" s="1">
        <v>27</v>
      </c>
      <c r="G10" s="1" t="s">
        <v>50</v>
      </c>
      <c r="H10" s="1" t="s">
        <v>17</v>
      </c>
      <c r="I10" s="1" t="s">
        <v>466</v>
      </c>
      <c r="J10" s="1">
        <v>86048</v>
      </c>
      <c r="K10" s="1" t="s">
        <v>19</v>
      </c>
      <c r="L10" s="1" t="s">
        <v>960</v>
      </c>
      <c r="M10" s="1" t="s">
        <v>21</v>
      </c>
      <c r="N10" s="1" t="s">
        <v>1511</v>
      </c>
      <c r="O10" s="1">
        <v>2</v>
      </c>
      <c r="P10" s="1">
        <v>90350.399999999994</v>
      </c>
    </row>
    <row r="11" spans="1:23" x14ac:dyDescent="0.3">
      <c r="A11" s="8"/>
      <c r="B11" s="1" t="s">
        <v>982</v>
      </c>
      <c r="C11" s="1" t="s">
        <v>38</v>
      </c>
      <c r="D11" s="1" t="s">
        <v>95</v>
      </c>
      <c r="E11" s="1" t="s">
        <v>15</v>
      </c>
      <c r="F11" s="1">
        <v>53</v>
      </c>
      <c r="G11" s="1" t="s">
        <v>31</v>
      </c>
      <c r="H11" s="1" t="s">
        <v>17</v>
      </c>
      <c r="I11" s="1" t="s">
        <v>983</v>
      </c>
      <c r="J11" s="1">
        <v>50653</v>
      </c>
      <c r="K11" s="1" t="s">
        <v>19</v>
      </c>
      <c r="L11" s="1" t="s">
        <v>984</v>
      </c>
      <c r="M11" s="1" t="s">
        <v>36</v>
      </c>
      <c r="N11" s="1" t="s">
        <v>1515</v>
      </c>
      <c r="O11" s="1">
        <v>3</v>
      </c>
      <c r="P11" s="1">
        <v>54198.71</v>
      </c>
      <c r="R11" s="6" t="s">
        <v>1534</v>
      </c>
      <c r="S11" s="6"/>
      <c r="T11" s="6"/>
      <c r="U11" s="6"/>
      <c r="V11" s="6"/>
      <c r="W11" s="6"/>
    </row>
    <row r="12" spans="1:23" x14ac:dyDescent="0.3">
      <c r="A12" s="8"/>
      <c r="B12" s="1" t="s">
        <v>1109</v>
      </c>
      <c r="C12" s="1" t="s">
        <v>71</v>
      </c>
      <c r="D12" s="1" t="s">
        <v>14</v>
      </c>
      <c r="E12" s="1" t="s">
        <v>24</v>
      </c>
      <c r="F12" s="1">
        <v>60</v>
      </c>
      <c r="G12" s="1" t="s">
        <v>16</v>
      </c>
      <c r="H12" s="1" t="s">
        <v>17</v>
      </c>
      <c r="I12" s="1" t="s">
        <v>1110</v>
      </c>
      <c r="J12" s="1">
        <v>117041</v>
      </c>
      <c r="K12" s="1" t="s">
        <v>19</v>
      </c>
      <c r="L12" s="1" t="s">
        <v>1111</v>
      </c>
      <c r="M12" s="1" t="s">
        <v>36</v>
      </c>
      <c r="N12" s="1" t="s">
        <v>1509</v>
      </c>
      <c r="O12" s="1">
        <v>5</v>
      </c>
      <c r="P12" s="1">
        <v>134597.15</v>
      </c>
    </row>
    <row r="13" spans="1:23" x14ac:dyDescent="0.3">
      <c r="A13" s="8"/>
      <c r="B13" s="1" t="s">
        <v>1124</v>
      </c>
      <c r="C13" s="1" t="s">
        <v>54</v>
      </c>
      <c r="D13" s="1" t="s">
        <v>78</v>
      </c>
      <c r="E13" s="1" t="s">
        <v>24</v>
      </c>
      <c r="F13" s="1">
        <v>42</v>
      </c>
      <c r="G13" s="1" t="s">
        <v>25</v>
      </c>
      <c r="H13" s="1" t="s">
        <v>17</v>
      </c>
      <c r="I13" s="1" t="s">
        <v>1125</v>
      </c>
      <c r="J13" s="1">
        <v>106833</v>
      </c>
      <c r="K13" s="1" t="s">
        <v>19</v>
      </c>
      <c r="L13" s="1" t="s">
        <v>1126</v>
      </c>
      <c r="M13" s="1" t="s">
        <v>36</v>
      </c>
      <c r="N13" s="1" t="s">
        <v>1513</v>
      </c>
      <c r="O13" s="1">
        <v>5</v>
      </c>
      <c r="P13" s="1">
        <v>122857.95</v>
      </c>
    </row>
    <row r="14" spans="1:23" x14ac:dyDescent="0.3">
      <c r="A14" s="8"/>
      <c r="B14" s="1" t="s">
        <v>1149</v>
      </c>
      <c r="C14" s="1" t="s">
        <v>94</v>
      </c>
      <c r="D14" s="1" t="s">
        <v>14</v>
      </c>
      <c r="E14" s="1" t="s">
        <v>15</v>
      </c>
      <c r="F14" s="1">
        <v>28</v>
      </c>
      <c r="G14" s="1" t="s">
        <v>50</v>
      </c>
      <c r="H14" s="1" t="s">
        <v>17</v>
      </c>
      <c r="I14" s="1" t="s">
        <v>1150</v>
      </c>
      <c r="J14" s="1">
        <v>113590</v>
      </c>
      <c r="K14" s="1" t="s">
        <v>19</v>
      </c>
      <c r="L14" s="1" t="s">
        <v>1151</v>
      </c>
      <c r="M14" s="1" t="s">
        <v>36</v>
      </c>
      <c r="N14" s="1" t="s">
        <v>1511</v>
      </c>
      <c r="O14" s="1">
        <v>3</v>
      </c>
      <c r="P14" s="1">
        <v>121541.3</v>
      </c>
    </row>
    <row r="15" spans="1:23" x14ac:dyDescent="0.3">
      <c r="A15" s="8"/>
      <c r="B15" s="1" t="s">
        <v>1230</v>
      </c>
      <c r="C15" s="1" t="s">
        <v>44</v>
      </c>
      <c r="D15" s="1" t="s">
        <v>14</v>
      </c>
      <c r="E15" s="1" t="s">
        <v>24</v>
      </c>
      <c r="F15" s="1">
        <v>57</v>
      </c>
      <c r="G15" s="1" t="s">
        <v>16</v>
      </c>
      <c r="H15" s="1" t="s">
        <v>17</v>
      </c>
      <c r="I15" s="1" t="s">
        <v>1231</v>
      </c>
      <c r="J15" s="1">
        <v>107382</v>
      </c>
      <c r="K15" s="1" t="s">
        <v>19</v>
      </c>
      <c r="L15" s="1" t="s">
        <v>1232</v>
      </c>
      <c r="M15" s="1" t="s">
        <v>36</v>
      </c>
      <c r="N15" s="1" t="s">
        <v>1509</v>
      </c>
      <c r="O15" s="1">
        <v>2</v>
      </c>
      <c r="P15" s="1">
        <v>112751.1</v>
      </c>
    </row>
    <row r="16" spans="1:23" x14ac:dyDescent="0.3">
      <c r="A16" s="8"/>
      <c r="B16" s="1" t="s">
        <v>1257</v>
      </c>
      <c r="C16" s="1" t="s">
        <v>58</v>
      </c>
      <c r="D16" s="1" t="s">
        <v>14</v>
      </c>
      <c r="E16" s="1" t="s">
        <v>15</v>
      </c>
      <c r="F16" s="1">
        <v>29</v>
      </c>
      <c r="G16" s="1" t="s">
        <v>25</v>
      </c>
      <c r="H16" s="1" t="s">
        <v>17</v>
      </c>
      <c r="I16" s="1" t="s">
        <v>1258</v>
      </c>
      <c r="J16" s="1">
        <v>102232</v>
      </c>
      <c r="K16" s="1" t="s">
        <v>19</v>
      </c>
      <c r="L16" s="1" t="s">
        <v>1259</v>
      </c>
      <c r="M16" s="1" t="s">
        <v>21</v>
      </c>
      <c r="N16" s="1" t="s">
        <v>1513</v>
      </c>
      <c r="O16" s="1">
        <v>4</v>
      </c>
      <c r="P16" s="1">
        <v>112455.2</v>
      </c>
    </row>
    <row r="17" spans="1:16" x14ac:dyDescent="0.3">
      <c r="A17" s="8"/>
      <c r="B17" s="1" t="s">
        <v>1278</v>
      </c>
      <c r="C17" s="1" t="s">
        <v>13</v>
      </c>
      <c r="D17" s="1" t="s">
        <v>130</v>
      </c>
      <c r="E17" s="1" t="s">
        <v>15</v>
      </c>
      <c r="F17" s="1">
        <v>36</v>
      </c>
      <c r="G17" s="1" t="s">
        <v>39</v>
      </c>
      <c r="H17" s="1" t="s">
        <v>17</v>
      </c>
      <c r="I17" s="1" t="s">
        <v>1279</v>
      </c>
      <c r="J17" s="1">
        <v>82168</v>
      </c>
      <c r="K17" s="1" t="s">
        <v>19</v>
      </c>
      <c r="L17" s="1" t="s">
        <v>1280</v>
      </c>
      <c r="M17" s="1" t="s">
        <v>21</v>
      </c>
      <c r="N17" s="1" t="s">
        <v>1517</v>
      </c>
      <c r="O17" s="1">
        <v>1</v>
      </c>
      <c r="P17" s="1">
        <v>86276.4</v>
      </c>
    </row>
    <row r="18" spans="1:16" x14ac:dyDescent="0.3">
      <c r="A18" s="8"/>
      <c r="B18" s="1" t="s">
        <v>1290</v>
      </c>
      <c r="C18" s="1" t="s">
        <v>13</v>
      </c>
      <c r="D18" s="1" t="s">
        <v>63</v>
      </c>
      <c r="E18" s="1" t="s">
        <v>15</v>
      </c>
      <c r="F18" s="1">
        <v>24</v>
      </c>
      <c r="G18" s="1" t="s">
        <v>31</v>
      </c>
      <c r="H18" s="1" t="s">
        <v>17</v>
      </c>
      <c r="I18" s="1" t="s">
        <v>1291</v>
      </c>
      <c r="J18" s="1">
        <v>57088</v>
      </c>
      <c r="K18" s="1" t="s">
        <v>19</v>
      </c>
      <c r="L18" s="1" t="s">
        <v>1292</v>
      </c>
      <c r="M18" s="1" t="s">
        <v>21</v>
      </c>
      <c r="N18" s="1" t="s">
        <v>1515</v>
      </c>
      <c r="O18" s="1">
        <v>3</v>
      </c>
      <c r="P18" s="1">
        <v>61084.160000000003</v>
      </c>
    </row>
    <row r="19" spans="1:16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6" x14ac:dyDescent="0.3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6" x14ac:dyDescent="0.3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6" x14ac:dyDescent="0.3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6" x14ac:dyDescent="0.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6" x14ac:dyDescent="0.3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6" x14ac:dyDescent="0.3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6" x14ac:dyDescent="0.3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6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6" x14ac:dyDescent="0.3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6" x14ac:dyDescent="0.3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6" x14ac:dyDescent="0.3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6" x14ac:dyDescent="0.3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6" x14ac:dyDescent="0.3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  <row r="46" spans="1:15" x14ac:dyDescent="0.3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</row>
    <row r="47" spans="1:15" x14ac:dyDescent="0.3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</row>
    <row r="48" spans="1:15" x14ac:dyDescent="0.3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</row>
    <row r="49" spans="1:15" x14ac:dyDescent="0.3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</row>
    <row r="50" spans="1:15" x14ac:dyDescent="0.3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</row>
    <row r="51" spans="1:15" x14ac:dyDescent="0.3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</row>
    <row r="52" spans="1:15" x14ac:dyDescent="0.3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</row>
    <row r="53" spans="1:15" x14ac:dyDescent="0.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</row>
    <row r="54" spans="1:15" x14ac:dyDescent="0.3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</row>
    <row r="55" spans="1:15" x14ac:dyDescent="0.3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3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</row>
    <row r="57" spans="1:15" x14ac:dyDescent="0.3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</row>
    <row r="58" spans="1:15" x14ac:dyDescent="0.3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</row>
    <row r="59" spans="1:15" x14ac:dyDescent="0.3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1:15" x14ac:dyDescent="0.3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</row>
    <row r="61" spans="1:15" x14ac:dyDescent="0.3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</row>
    <row r="62" spans="1:15" x14ac:dyDescent="0.3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</row>
    <row r="63" spans="1:15" x14ac:dyDescent="0.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3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</row>
    <row r="65" spans="1:15" x14ac:dyDescent="0.3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</row>
    <row r="66" spans="1:15" x14ac:dyDescent="0.3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</row>
    <row r="67" spans="1:15" x14ac:dyDescent="0.3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</row>
    <row r="68" spans="1:15" x14ac:dyDescent="0.3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</row>
    <row r="69" spans="1:15" x14ac:dyDescent="0.3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1:15" x14ac:dyDescent="0.3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</row>
    <row r="71" spans="1:15" x14ac:dyDescent="0.3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1:15" x14ac:dyDescent="0.3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</row>
    <row r="73" spans="1:15" x14ac:dyDescent="0.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1:15" x14ac:dyDescent="0.3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</row>
    <row r="75" spans="1:15" x14ac:dyDescent="0.3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</row>
    <row r="76" spans="1:15" x14ac:dyDescent="0.3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</row>
    <row r="77" spans="1:15" x14ac:dyDescent="0.3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</row>
    <row r="78" spans="1:15" x14ac:dyDescent="0.3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</row>
    <row r="79" spans="1:15" x14ac:dyDescent="0.3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</row>
    <row r="80" spans="1:15" x14ac:dyDescent="0.3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</row>
    <row r="81" spans="1:15" x14ac:dyDescent="0.3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</row>
    <row r="82" spans="1:15" x14ac:dyDescent="0.3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</row>
    <row r="83" spans="1:15" x14ac:dyDescent="0.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</row>
    <row r="84" spans="1:15" x14ac:dyDescent="0.3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</row>
    <row r="85" spans="1:15" x14ac:dyDescent="0.3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</row>
    <row r="86" spans="1:15" x14ac:dyDescent="0.3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</row>
    <row r="87" spans="1:15" x14ac:dyDescent="0.3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</row>
    <row r="88" spans="1:15" x14ac:dyDescent="0.3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</row>
    <row r="89" spans="1:15" x14ac:dyDescent="0.3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</row>
    <row r="90" spans="1:15" x14ac:dyDescent="0.3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</row>
    <row r="91" spans="1:15" x14ac:dyDescent="0.3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</row>
    <row r="92" spans="1:15" x14ac:dyDescent="0.3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</row>
    <row r="93" spans="1:15" x14ac:dyDescent="0.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</row>
    <row r="94" spans="1:15" x14ac:dyDescent="0.3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</row>
    <row r="95" spans="1:15" x14ac:dyDescent="0.3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</row>
    <row r="96" spans="1:15" x14ac:dyDescent="0.3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</row>
    <row r="97" spans="1:15" x14ac:dyDescent="0.3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</row>
    <row r="98" spans="1:15" x14ac:dyDescent="0.3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</row>
    <row r="99" spans="1:15" x14ac:dyDescent="0.3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</row>
    <row r="100" spans="1:15" x14ac:dyDescent="0.3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</row>
    <row r="101" spans="1:15" x14ac:dyDescent="0.3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spans="1:15" x14ac:dyDescent="0.3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</row>
    <row r="103" spans="1:15" x14ac:dyDescent="0.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</row>
    <row r="104" spans="1:15" x14ac:dyDescent="0.3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</row>
    <row r="105" spans="1:15" x14ac:dyDescent="0.3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</row>
    <row r="106" spans="1:15" x14ac:dyDescent="0.3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</row>
    <row r="107" spans="1:15" x14ac:dyDescent="0.3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</row>
    <row r="108" spans="1:15" x14ac:dyDescent="0.3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</row>
    <row r="109" spans="1:15" x14ac:dyDescent="0.3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</row>
    <row r="110" spans="1:15" x14ac:dyDescent="0.3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</row>
    <row r="111" spans="1:15" x14ac:dyDescent="0.3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</row>
    <row r="112" spans="1:15" x14ac:dyDescent="0.3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</row>
    <row r="113" spans="1:15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</row>
    <row r="114" spans="1:15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</row>
    <row r="115" spans="1:15" x14ac:dyDescent="0.3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</row>
    <row r="116" spans="1:15" x14ac:dyDescent="0.3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</row>
    <row r="117" spans="1:15" x14ac:dyDescent="0.3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</row>
    <row r="118" spans="1:15" x14ac:dyDescent="0.3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</row>
    <row r="119" spans="1:15" x14ac:dyDescent="0.3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spans="1:15" x14ac:dyDescent="0.3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</row>
    <row r="121" spans="1:15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</row>
    <row r="122" spans="1:15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</row>
    <row r="123" spans="1:15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</row>
    <row r="124" spans="1:15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</row>
    <row r="125" spans="1:15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</row>
    <row r="126" spans="1:15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</row>
    <row r="127" spans="1:15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</row>
    <row r="128" spans="1:15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</row>
    <row r="129" spans="1:15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</row>
    <row r="130" spans="1:15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spans="1:15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</row>
    <row r="132" spans="1:15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</row>
    <row r="133" spans="1:15" x14ac:dyDescent="0.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</row>
    <row r="134" spans="1:15" x14ac:dyDescent="0.3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</row>
    <row r="135" spans="1:15" x14ac:dyDescent="0.3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</row>
    <row r="136" spans="1:15" x14ac:dyDescent="0.3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</row>
    <row r="137" spans="1:15" x14ac:dyDescent="0.3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</row>
    <row r="138" spans="1:15" x14ac:dyDescent="0.3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</row>
    <row r="139" spans="1:15" x14ac:dyDescent="0.3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</row>
    <row r="140" spans="1:15" x14ac:dyDescent="0.3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</row>
    <row r="141" spans="1:15" x14ac:dyDescent="0.3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</row>
    <row r="142" spans="1:15" x14ac:dyDescent="0.3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</row>
    <row r="143" spans="1:15" x14ac:dyDescent="0.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</row>
    <row r="144" spans="1:15" x14ac:dyDescent="0.3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</row>
    <row r="145" spans="1:15" x14ac:dyDescent="0.3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</row>
    <row r="146" spans="1:15" x14ac:dyDescent="0.3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</row>
    <row r="147" spans="1:15" x14ac:dyDescent="0.3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</row>
    <row r="148" spans="1:15" x14ac:dyDescent="0.3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</row>
    <row r="149" spans="1:15" x14ac:dyDescent="0.3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</row>
    <row r="150" spans="1:15" x14ac:dyDescent="0.3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</row>
    <row r="151" spans="1:15" x14ac:dyDescent="0.3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</row>
    <row r="152" spans="1:15" x14ac:dyDescent="0.3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</row>
    <row r="153" spans="1:15" x14ac:dyDescent="0.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</row>
    <row r="154" spans="1:15" x14ac:dyDescent="0.3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</row>
    <row r="155" spans="1:15" x14ac:dyDescent="0.3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spans="1:15" x14ac:dyDescent="0.3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</row>
    <row r="157" spans="1:15" x14ac:dyDescent="0.3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</row>
    <row r="158" spans="1:15" x14ac:dyDescent="0.3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</row>
    <row r="159" spans="1:15" x14ac:dyDescent="0.3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</row>
    <row r="160" spans="1:15" x14ac:dyDescent="0.3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</row>
    <row r="161" spans="1:15" x14ac:dyDescent="0.3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</row>
    <row r="162" spans="1:15" x14ac:dyDescent="0.3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</row>
    <row r="163" spans="1:15" x14ac:dyDescent="0.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</row>
    <row r="164" spans="1:15" x14ac:dyDescent="0.3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</row>
    <row r="165" spans="1:15" x14ac:dyDescent="0.3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</row>
    <row r="166" spans="1:15" x14ac:dyDescent="0.3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</row>
    <row r="167" spans="1:15" x14ac:dyDescent="0.3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</row>
    <row r="168" spans="1:15" x14ac:dyDescent="0.3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</row>
    <row r="169" spans="1:15" x14ac:dyDescent="0.3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</row>
    <row r="170" spans="1:15" x14ac:dyDescent="0.3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</row>
    <row r="171" spans="1:15" x14ac:dyDescent="0.3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</row>
    <row r="172" spans="1:15" x14ac:dyDescent="0.3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</row>
    <row r="173" spans="1:15" x14ac:dyDescent="0.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</row>
    <row r="174" spans="1:15" x14ac:dyDescent="0.3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</row>
    <row r="175" spans="1:15" x14ac:dyDescent="0.3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</row>
    <row r="176" spans="1:15" x14ac:dyDescent="0.3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</row>
    <row r="177" spans="1:15" x14ac:dyDescent="0.3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</row>
    <row r="178" spans="1:15" x14ac:dyDescent="0.3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</row>
    <row r="179" spans="1:15" x14ac:dyDescent="0.3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</row>
    <row r="180" spans="1:15" x14ac:dyDescent="0.3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</row>
    <row r="181" spans="1:15" x14ac:dyDescent="0.3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</row>
    <row r="182" spans="1:15" x14ac:dyDescent="0.3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</row>
    <row r="183" spans="1:15" x14ac:dyDescent="0.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</row>
    <row r="184" spans="1:15" x14ac:dyDescent="0.3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</row>
    <row r="185" spans="1:15" x14ac:dyDescent="0.3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</row>
    <row r="186" spans="1:15" x14ac:dyDescent="0.3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</row>
    <row r="187" spans="1:15" x14ac:dyDescent="0.3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</row>
    <row r="188" spans="1:15" x14ac:dyDescent="0.3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</row>
    <row r="189" spans="1:15" x14ac:dyDescent="0.3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</row>
    <row r="190" spans="1:15" x14ac:dyDescent="0.3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</row>
    <row r="191" spans="1:15" x14ac:dyDescent="0.3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</row>
    <row r="192" spans="1:15" x14ac:dyDescent="0.3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</row>
    <row r="193" spans="1:15" x14ac:dyDescent="0.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</row>
    <row r="194" spans="1:15" x14ac:dyDescent="0.3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</row>
    <row r="195" spans="1:15" x14ac:dyDescent="0.3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</row>
    <row r="196" spans="1:15" x14ac:dyDescent="0.3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</row>
    <row r="197" spans="1:15" x14ac:dyDescent="0.3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</row>
    <row r="198" spans="1:15" x14ac:dyDescent="0.3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</row>
    <row r="199" spans="1:15" x14ac:dyDescent="0.3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</row>
    <row r="200" spans="1:15" x14ac:dyDescent="0.3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</row>
    <row r="201" spans="1:15" x14ac:dyDescent="0.3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</row>
    <row r="202" spans="1:15" x14ac:dyDescent="0.3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</row>
    <row r="203" spans="1:15" x14ac:dyDescent="0.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</row>
    <row r="204" spans="1:15" x14ac:dyDescent="0.3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</row>
    <row r="205" spans="1:15" x14ac:dyDescent="0.3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</row>
    <row r="206" spans="1:15" x14ac:dyDescent="0.3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</row>
    <row r="207" spans="1:15" x14ac:dyDescent="0.3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</row>
    <row r="208" spans="1:15" x14ac:dyDescent="0.3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</row>
    <row r="209" spans="1:15" x14ac:dyDescent="0.3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</row>
    <row r="210" spans="1:15" x14ac:dyDescent="0.3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</row>
    <row r="211" spans="1:15" x14ac:dyDescent="0.3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</row>
    <row r="212" spans="1:15" x14ac:dyDescent="0.3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</row>
    <row r="213" spans="1:15" x14ac:dyDescent="0.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</row>
    <row r="214" spans="1:15" x14ac:dyDescent="0.3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</row>
    <row r="215" spans="1:15" x14ac:dyDescent="0.3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</row>
    <row r="216" spans="1:15" x14ac:dyDescent="0.3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</row>
    <row r="217" spans="1:15" x14ac:dyDescent="0.3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</row>
    <row r="218" spans="1:15" x14ac:dyDescent="0.3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</row>
    <row r="219" spans="1:15" x14ac:dyDescent="0.3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</row>
    <row r="220" spans="1:15" x14ac:dyDescent="0.3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</row>
    <row r="221" spans="1:15" x14ac:dyDescent="0.3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</row>
    <row r="222" spans="1:15" x14ac:dyDescent="0.3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</row>
    <row r="223" spans="1:15" x14ac:dyDescent="0.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</row>
    <row r="224" spans="1:15" x14ac:dyDescent="0.3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</row>
    <row r="225" spans="1:15" x14ac:dyDescent="0.3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</row>
    <row r="226" spans="1:15" x14ac:dyDescent="0.3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</row>
    <row r="227" spans="1:15" x14ac:dyDescent="0.3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</row>
    <row r="228" spans="1:15" x14ac:dyDescent="0.3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</row>
    <row r="229" spans="1:15" x14ac:dyDescent="0.3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</row>
    <row r="230" spans="1:15" x14ac:dyDescent="0.3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</row>
    <row r="231" spans="1:15" x14ac:dyDescent="0.3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</row>
    <row r="232" spans="1:15" x14ac:dyDescent="0.3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</row>
    <row r="233" spans="1:15" x14ac:dyDescent="0.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</row>
    <row r="234" spans="1:15" x14ac:dyDescent="0.3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</row>
    <row r="235" spans="1:15" x14ac:dyDescent="0.3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</row>
    <row r="236" spans="1:15" x14ac:dyDescent="0.3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</row>
    <row r="237" spans="1:15" x14ac:dyDescent="0.3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</row>
    <row r="238" spans="1:15" x14ac:dyDescent="0.3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</row>
    <row r="239" spans="1:15" x14ac:dyDescent="0.3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</row>
    <row r="240" spans="1:15" x14ac:dyDescent="0.3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</row>
    <row r="241" spans="1:15" x14ac:dyDescent="0.3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</row>
    <row r="242" spans="1:15" x14ac:dyDescent="0.3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</row>
    <row r="243" spans="1:15" x14ac:dyDescent="0.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</row>
    <row r="244" spans="1:15" x14ac:dyDescent="0.3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</row>
    <row r="245" spans="1:15" x14ac:dyDescent="0.3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</row>
    <row r="246" spans="1:15" x14ac:dyDescent="0.3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</row>
    <row r="247" spans="1:15" x14ac:dyDescent="0.3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</row>
    <row r="248" spans="1:15" x14ac:dyDescent="0.3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</row>
    <row r="249" spans="1:15" x14ac:dyDescent="0.3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</row>
    <row r="250" spans="1:15" x14ac:dyDescent="0.3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</row>
    <row r="251" spans="1:15" x14ac:dyDescent="0.3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</row>
    <row r="252" spans="1:15" x14ac:dyDescent="0.3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</row>
    <row r="253" spans="1:15" x14ac:dyDescent="0.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</row>
    <row r="254" spans="1:15" x14ac:dyDescent="0.3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</row>
    <row r="255" spans="1:15" x14ac:dyDescent="0.3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</row>
    <row r="256" spans="1:15" x14ac:dyDescent="0.3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</row>
    <row r="257" spans="1:15" x14ac:dyDescent="0.3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</row>
    <row r="258" spans="1:15" x14ac:dyDescent="0.3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</row>
    <row r="259" spans="1:15" x14ac:dyDescent="0.3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</row>
    <row r="260" spans="1:15" x14ac:dyDescent="0.3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</row>
    <row r="261" spans="1:15" x14ac:dyDescent="0.3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</row>
    <row r="262" spans="1:15" x14ac:dyDescent="0.3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</row>
    <row r="263" spans="1:15" x14ac:dyDescent="0.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</row>
    <row r="264" spans="1:15" x14ac:dyDescent="0.3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</row>
    <row r="265" spans="1:15" x14ac:dyDescent="0.3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</row>
    <row r="266" spans="1:15" x14ac:dyDescent="0.3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</row>
    <row r="267" spans="1:15" x14ac:dyDescent="0.3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</row>
    <row r="268" spans="1:15" x14ac:dyDescent="0.3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</row>
    <row r="269" spans="1:15" x14ac:dyDescent="0.3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</row>
    <row r="270" spans="1:15" x14ac:dyDescent="0.3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</row>
    <row r="271" spans="1:15" x14ac:dyDescent="0.3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</row>
    <row r="272" spans="1:15" x14ac:dyDescent="0.3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</row>
    <row r="273" spans="1:15" x14ac:dyDescent="0.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</row>
    <row r="274" spans="1:15" x14ac:dyDescent="0.3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</row>
    <row r="275" spans="1:15" x14ac:dyDescent="0.3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</row>
    <row r="276" spans="1:15" x14ac:dyDescent="0.3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</row>
    <row r="277" spans="1:15" x14ac:dyDescent="0.3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</row>
    <row r="278" spans="1:15" x14ac:dyDescent="0.3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</row>
    <row r="279" spans="1:15" x14ac:dyDescent="0.3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</row>
    <row r="280" spans="1:15" x14ac:dyDescent="0.3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</row>
    <row r="281" spans="1:15" x14ac:dyDescent="0.3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</row>
    <row r="282" spans="1:15" x14ac:dyDescent="0.3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</row>
    <row r="283" spans="1:15" x14ac:dyDescent="0.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</row>
    <row r="284" spans="1:15" x14ac:dyDescent="0.3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</row>
    <row r="285" spans="1:15" x14ac:dyDescent="0.3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</row>
    <row r="286" spans="1:15" x14ac:dyDescent="0.3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</row>
    <row r="287" spans="1:15" x14ac:dyDescent="0.3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</row>
    <row r="288" spans="1:15" x14ac:dyDescent="0.3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</row>
    <row r="289" spans="1:15" x14ac:dyDescent="0.3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</row>
    <row r="290" spans="1:15" x14ac:dyDescent="0.3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</row>
    <row r="291" spans="1:15" x14ac:dyDescent="0.3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</row>
    <row r="292" spans="1:15" x14ac:dyDescent="0.3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</row>
    <row r="293" spans="1:15" x14ac:dyDescent="0.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</row>
    <row r="294" spans="1:15" x14ac:dyDescent="0.3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</row>
    <row r="295" spans="1:15" x14ac:dyDescent="0.3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</row>
    <row r="296" spans="1:15" x14ac:dyDescent="0.3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</row>
    <row r="297" spans="1:15" x14ac:dyDescent="0.3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</row>
    <row r="298" spans="1:15" x14ac:dyDescent="0.3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</row>
    <row r="299" spans="1:15" x14ac:dyDescent="0.3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</row>
    <row r="300" spans="1:15" x14ac:dyDescent="0.3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</row>
    <row r="301" spans="1:15" x14ac:dyDescent="0.3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</row>
    <row r="302" spans="1:15" x14ac:dyDescent="0.3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</row>
    <row r="303" spans="1:15" x14ac:dyDescent="0.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</row>
    <row r="304" spans="1:15" x14ac:dyDescent="0.3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</row>
    <row r="305" spans="1:15" x14ac:dyDescent="0.3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</row>
    <row r="306" spans="1:15" x14ac:dyDescent="0.3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</row>
    <row r="307" spans="1:15" x14ac:dyDescent="0.3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</row>
    <row r="308" spans="1:15" x14ac:dyDescent="0.3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</row>
    <row r="309" spans="1:15" x14ac:dyDescent="0.3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</row>
    <row r="310" spans="1:15" x14ac:dyDescent="0.3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</row>
    <row r="311" spans="1:15" x14ac:dyDescent="0.3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</row>
    <row r="312" spans="1:15" x14ac:dyDescent="0.3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</row>
    <row r="313" spans="1:15" x14ac:dyDescent="0.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</row>
    <row r="314" spans="1:15" x14ac:dyDescent="0.3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</row>
    <row r="315" spans="1:15" x14ac:dyDescent="0.3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</row>
    <row r="316" spans="1:15" x14ac:dyDescent="0.3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</row>
    <row r="317" spans="1:15" x14ac:dyDescent="0.3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</row>
    <row r="318" spans="1:15" x14ac:dyDescent="0.3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</row>
    <row r="319" spans="1:15" x14ac:dyDescent="0.3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</row>
    <row r="320" spans="1:15" x14ac:dyDescent="0.3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</row>
    <row r="321" spans="1:15" x14ac:dyDescent="0.3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</row>
    <row r="322" spans="1:15" x14ac:dyDescent="0.3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</row>
    <row r="323" spans="1:15" x14ac:dyDescent="0.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</row>
    <row r="324" spans="1:15" x14ac:dyDescent="0.3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</row>
    <row r="325" spans="1:15" x14ac:dyDescent="0.3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</row>
    <row r="326" spans="1:15" x14ac:dyDescent="0.3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</row>
    <row r="327" spans="1:15" x14ac:dyDescent="0.3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</row>
    <row r="328" spans="1:15" x14ac:dyDescent="0.3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</row>
    <row r="329" spans="1:15" x14ac:dyDescent="0.3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</row>
    <row r="330" spans="1:15" x14ac:dyDescent="0.3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</row>
    <row r="331" spans="1:15" x14ac:dyDescent="0.3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</row>
    <row r="332" spans="1:15" x14ac:dyDescent="0.3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</row>
    <row r="333" spans="1:15" x14ac:dyDescent="0.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</row>
    <row r="334" spans="1:15" x14ac:dyDescent="0.3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</row>
    <row r="335" spans="1:15" x14ac:dyDescent="0.3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</row>
    <row r="336" spans="1:15" x14ac:dyDescent="0.3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</row>
    <row r="337" spans="1:15" x14ac:dyDescent="0.3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</row>
    <row r="338" spans="1:15" x14ac:dyDescent="0.3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</row>
    <row r="339" spans="1:15" x14ac:dyDescent="0.3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</row>
    <row r="340" spans="1:15" x14ac:dyDescent="0.3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</row>
    <row r="341" spans="1:15" x14ac:dyDescent="0.3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</row>
    <row r="342" spans="1:15" x14ac:dyDescent="0.3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</row>
    <row r="343" spans="1:15" x14ac:dyDescent="0.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</row>
    <row r="344" spans="1:15" x14ac:dyDescent="0.3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</row>
    <row r="345" spans="1:15" x14ac:dyDescent="0.3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</row>
    <row r="346" spans="1:15" x14ac:dyDescent="0.3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</row>
    <row r="347" spans="1:15" x14ac:dyDescent="0.3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</row>
    <row r="348" spans="1:15" x14ac:dyDescent="0.3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</row>
    <row r="349" spans="1:15" x14ac:dyDescent="0.3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</row>
    <row r="350" spans="1:15" x14ac:dyDescent="0.3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</row>
    <row r="351" spans="1:15" x14ac:dyDescent="0.3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</row>
    <row r="352" spans="1:15" x14ac:dyDescent="0.3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</row>
    <row r="353" spans="1:15" x14ac:dyDescent="0.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</row>
    <row r="354" spans="1:15" x14ac:dyDescent="0.3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</row>
    <row r="355" spans="1:15" x14ac:dyDescent="0.3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</row>
    <row r="356" spans="1:15" x14ac:dyDescent="0.3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</row>
    <row r="357" spans="1:15" x14ac:dyDescent="0.3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</row>
    <row r="358" spans="1:15" x14ac:dyDescent="0.3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</row>
    <row r="359" spans="1:15" x14ac:dyDescent="0.3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</row>
    <row r="360" spans="1:15" x14ac:dyDescent="0.3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</row>
    <row r="361" spans="1:15" x14ac:dyDescent="0.3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</row>
    <row r="362" spans="1:15" x14ac:dyDescent="0.3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</row>
    <row r="363" spans="1:15" x14ac:dyDescent="0.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</row>
    <row r="364" spans="1:15" x14ac:dyDescent="0.3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</row>
    <row r="365" spans="1:15" x14ac:dyDescent="0.3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</row>
    <row r="366" spans="1:15" x14ac:dyDescent="0.3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</row>
    <row r="367" spans="1:15" x14ac:dyDescent="0.3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</row>
    <row r="368" spans="1:15" x14ac:dyDescent="0.3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</row>
    <row r="369" spans="1:15" x14ac:dyDescent="0.3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</row>
    <row r="370" spans="1:15" x14ac:dyDescent="0.3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</row>
    <row r="371" spans="1:15" x14ac:dyDescent="0.3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</row>
    <row r="372" spans="1:15" x14ac:dyDescent="0.3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</row>
    <row r="373" spans="1:15" x14ac:dyDescent="0.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</row>
    <row r="374" spans="1:15" x14ac:dyDescent="0.3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</row>
    <row r="375" spans="1:15" x14ac:dyDescent="0.3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</row>
    <row r="376" spans="1:15" x14ac:dyDescent="0.3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</row>
    <row r="377" spans="1:15" x14ac:dyDescent="0.3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</row>
    <row r="378" spans="1:15" x14ac:dyDescent="0.3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</row>
    <row r="379" spans="1:15" x14ac:dyDescent="0.3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</row>
    <row r="380" spans="1:15" x14ac:dyDescent="0.3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</row>
    <row r="381" spans="1:15" x14ac:dyDescent="0.3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</row>
    <row r="382" spans="1:15" x14ac:dyDescent="0.3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</row>
    <row r="383" spans="1:15" x14ac:dyDescent="0.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</row>
    <row r="384" spans="1:15" x14ac:dyDescent="0.3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</row>
    <row r="385" spans="1:15" x14ac:dyDescent="0.3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</row>
    <row r="386" spans="1:15" x14ac:dyDescent="0.3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</row>
    <row r="387" spans="1:15" x14ac:dyDescent="0.3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</row>
    <row r="388" spans="1:15" x14ac:dyDescent="0.3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</row>
    <row r="389" spans="1:15" x14ac:dyDescent="0.3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</row>
    <row r="390" spans="1:15" x14ac:dyDescent="0.3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</row>
    <row r="391" spans="1:15" x14ac:dyDescent="0.3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</row>
    <row r="392" spans="1:15" x14ac:dyDescent="0.3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</row>
    <row r="393" spans="1:15" x14ac:dyDescent="0.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</row>
    <row r="394" spans="1:15" x14ac:dyDescent="0.3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</row>
    <row r="395" spans="1:15" x14ac:dyDescent="0.3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</row>
    <row r="396" spans="1:15" x14ac:dyDescent="0.3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</row>
    <row r="397" spans="1:15" x14ac:dyDescent="0.3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</row>
    <row r="398" spans="1:15" x14ac:dyDescent="0.3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</row>
    <row r="399" spans="1:15" x14ac:dyDescent="0.3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</row>
    <row r="400" spans="1:15" x14ac:dyDescent="0.3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</row>
    <row r="401" spans="1:15" x14ac:dyDescent="0.3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</row>
    <row r="402" spans="1:15" x14ac:dyDescent="0.3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</row>
    <row r="403" spans="1:15" x14ac:dyDescent="0.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</row>
    <row r="404" spans="1:15" x14ac:dyDescent="0.3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</row>
    <row r="405" spans="1:15" x14ac:dyDescent="0.3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</row>
    <row r="406" spans="1:15" x14ac:dyDescent="0.3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</row>
    <row r="407" spans="1:15" x14ac:dyDescent="0.3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</row>
    <row r="408" spans="1:15" x14ac:dyDescent="0.3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</row>
    <row r="409" spans="1:15" x14ac:dyDescent="0.3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</row>
    <row r="410" spans="1:15" x14ac:dyDescent="0.3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</row>
    <row r="411" spans="1:15" x14ac:dyDescent="0.3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</row>
    <row r="412" spans="1:15" x14ac:dyDescent="0.3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</row>
    <row r="413" spans="1:15" x14ac:dyDescent="0.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</row>
    <row r="414" spans="1:15" x14ac:dyDescent="0.3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</row>
    <row r="415" spans="1:15" x14ac:dyDescent="0.3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</row>
    <row r="416" spans="1:15" x14ac:dyDescent="0.3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</row>
    <row r="417" spans="1:15" x14ac:dyDescent="0.3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</row>
    <row r="418" spans="1:15" x14ac:dyDescent="0.3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</row>
    <row r="419" spans="1:15" x14ac:dyDescent="0.3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</row>
    <row r="420" spans="1:15" x14ac:dyDescent="0.3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</row>
    <row r="421" spans="1:15" x14ac:dyDescent="0.3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</row>
    <row r="422" spans="1:15" x14ac:dyDescent="0.3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</row>
    <row r="423" spans="1:15" x14ac:dyDescent="0.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</row>
    <row r="424" spans="1:15" x14ac:dyDescent="0.3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</row>
    <row r="425" spans="1:15" x14ac:dyDescent="0.3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</row>
    <row r="426" spans="1:15" x14ac:dyDescent="0.3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</row>
    <row r="427" spans="1:15" x14ac:dyDescent="0.3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</row>
    <row r="428" spans="1:15" x14ac:dyDescent="0.3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</row>
    <row r="429" spans="1:15" x14ac:dyDescent="0.3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</row>
    <row r="430" spans="1:15" x14ac:dyDescent="0.3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</row>
    <row r="431" spans="1:15" x14ac:dyDescent="0.3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</row>
    <row r="432" spans="1:15" x14ac:dyDescent="0.3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</row>
    <row r="433" spans="1:15" x14ac:dyDescent="0.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</row>
    <row r="434" spans="1:15" x14ac:dyDescent="0.3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</row>
    <row r="435" spans="1:15" x14ac:dyDescent="0.3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</row>
    <row r="436" spans="1:15" x14ac:dyDescent="0.3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</row>
    <row r="437" spans="1:15" x14ac:dyDescent="0.3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</row>
    <row r="438" spans="1:15" x14ac:dyDescent="0.3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</row>
    <row r="439" spans="1:15" x14ac:dyDescent="0.3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</row>
    <row r="440" spans="1:15" x14ac:dyDescent="0.3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</row>
    <row r="441" spans="1:15" x14ac:dyDescent="0.3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</row>
    <row r="442" spans="1:15" x14ac:dyDescent="0.3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</row>
    <row r="443" spans="1:15" x14ac:dyDescent="0.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</row>
    <row r="444" spans="1:15" x14ac:dyDescent="0.3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</row>
    <row r="445" spans="1:15" x14ac:dyDescent="0.3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</row>
    <row r="446" spans="1:15" x14ac:dyDescent="0.3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</row>
    <row r="447" spans="1:15" x14ac:dyDescent="0.3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</row>
    <row r="448" spans="1:15" x14ac:dyDescent="0.3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</row>
    <row r="449" spans="1:15" x14ac:dyDescent="0.3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</row>
    <row r="450" spans="1:15" x14ac:dyDescent="0.3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</row>
    <row r="451" spans="1:15" x14ac:dyDescent="0.3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</row>
    <row r="452" spans="1:15" x14ac:dyDescent="0.3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</row>
    <row r="453" spans="1:15" x14ac:dyDescent="0.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</row>
    <row r="454" spans="1:15" x14ac:dyDescent="0.3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</row>
    <row r="455" spans="1:15" x14ac:dyDescent="0.3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</row>
    <row r="456" spans="1:15" x14ac:dyDescent="0.3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</row>
    <row r="457" spans="1:15" x14ac:dyDescent="0.3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</row>
    <row r="458" spans="1:15" x14ac:dyDescent="0.3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</row>
    <row r="459" spans="1:15" x14ac:dyDescent="0.3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</row>
    <row r="460" spans="1:15" x14ac:dyDescent="0.3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</row>
    <row r="461" spans="1:15" x14ac:dyDescent="0.3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</row>
    <row r="462" spans="1:15" x14ac:dyDescent="0.3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</row>
    <row r="463" spans="1:15" x14ac:dyDescent="0.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</row>
    <row r="464" spans="1:15" x14ac:dyDescent="0.3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</row>
    <row r="465" spans="1:15" x14ac:dyDescent="0.3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</row>
    <row r="466" spans="1:15" x14ac:dyDescent="0.3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</row>
    <row r="467" spans="1:15" x14ac:dyDescent="0.3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</row>
    <row r="468" spans="1:15" x14ac:dyDescent="0.3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</row>
    <row r="469" spans="1:15" x14ac:dyDescent="0.3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</row>
    <row r="470" spans="1:15" x14ac:dyDescent="0.3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</row>
    <row r="471" spans="1:15" x14ac:dyDescent="0.3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</row>
    <row r="472" spans="1:15" x14ac:dyDescent="0.3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</row>
    <row r="473" spans="1:15" x14ac:dyDescent="0.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</row>
    <row r="474" spans="1:15" x14ac:dyDescent="0.3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</row>
    <row r="475" spans="1:15" x14ac:dyDescent="0.3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</row>
    <row r="476" spans="1:15" x14ac:dyDescent="0.3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</row>
    <row r="477" spans="1:15" x14ac:dyDescent="0.3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</row>
    <row r="478" spans="1:15" x14ac:dyDescent="0.3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</row>
    <row r="479" spans="1:15" x14ac:dyDescent="0.3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</row>
    <row r="480" spans="1:15" x14ac:dyDescent="0.3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</row>
    <row r="481" spans="1:15" x14ac:dyDescent="0.3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</row>
    <row r="482" spans="1:15" x14ac:dyDescent="0.3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</row>
    <row r="483" spans="1:15" x14ac:dyDescent="0.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</row>
    <row r="484" spans="1:15" x14ac:dyDescent="0.3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</row>
    <row r="485" spans="1:15" x14ac:dyDescent="0.3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</row>
    <row r="486" spans="1:15" x14ac:dyDescent="0.3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</row>
    <row r="487" spans="1:15" x14ac:dyDescent="0.3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</row>
    <row r="488" spans="1:15" x14ac:dyDescent="0.3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</row>
    <row r="489" spans="1:15" x14ac:dyDescent="0.3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</row>
    <row r="490" spans="1:15" x14ac:dyDescent="0.3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</row>
    <row r="491" spans="1:15" x14ac:dyDescent="0.3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</row>
    <row r="492" spans="1:15" x14ac:dyDescent="0.3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</row>
    <row r="493" spans="1:15" x14ac:dyDescent="0.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</row>
    <row r="494" spans="1:15" x14ac:dyDescent="0.3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</row>
    <row r="495" spans="1:15" x14ac:dyDescent="0.3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</row>
    <row r="496" spans="1:15" x14ac:dyDescent="0.3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</row>
    <row r="497" spans="1:15" x14ac:dyDescent="0.3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</row>
    <row r="498" spans="1:15" x14ac:dyDescent="0.3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</row>
    <row r="499" spans="1:15" x14ac:dyDescent="0.3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</row>
    <row r="500" spans="1:15" x14ac:dyDescent="0.3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</row>
    <row r="501" spans="1:15" x14ac:dyDescent="0.3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21E22-31EE-4E93-9185-4C87CA9CB3D9}">
  <dimension ref="A1:T501"/>
  <sheetViews>
    <sheetView tabSelected="1" workbookViewId="0">
      <selection activeCell="A2" sqref="A2"/>
    </sheetView>
  </sheetViews>
  <sheetFormatPr defaultRowHeight="14.4" x14ac:dyDescent="0.3"/>
  <cols>
    <col min="1" max="1" width="10.77734375" bestFit="1" customWidth="1"/>
    <col min="2" max="2" width="9.33203125" bestFit="1" customWidth="1"/>
    <col min="3" max="3" width="9.21875" bestFit="1" customWidth="1"/>
    <col min="4" max="4" width="6.88671875" bestFit="1" customWidth="1"/>
    <col min="5" max="5" width="4" bestFit="1" customWidth="1"/>
    <col min="6" max="6" width="12.5546875" bestFit="1" customWidth="1"/>
    <col min="7" max="7" width="10.88671875" bestFit="1" customWidth="1"/>
    <col min="8" max="8" width="10.33203125" bestFit="1" customWidth="1"/>
    <col min="9" max="9" width="7" bestFit="1" customWidth="1"/>
    <col min="10" max="10" width="9.109375" bestFit="1" customWidth="1"/>
    <col min="11" max="11" width="27.33203125" bestFit="1" customWidth="1"/>
    <col min="12" max="12" width="7.44140625" bestFit="1" customWidth="1"/>
    <col min="13" max="13" width="16.21875" bestFit="1" customWidth="1"/>
    <col min="14" max="14" width="6.88671875" bestFit="1" customWidth="1"/>
    <col min="15" max="15" width="10" bestFit="1" customWidth="1"/>
  </cols>
  <sheetData>
    <row r="1" spans="1:2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1523</v>
      </c>
      <c r="N1" s="2" t="s">
        <v>1524</v>
      </c>
      <c r="O1" s="2" t="s">
        <v>1525</v>
      </c>
    </row>
    <row r="2" spans="1:20" x14ac:dyDescent="0.3">
      <c r="A2" s="1" t="s">
        <v>12</v>
      </c>
      <c r="B2" s="1" t="s">
        <v>13</v>
      </c>
      <c r="C2" s="1" t="s">
        <v>14</v>
      </c>
      <c r="D2" s="1" t="s">
        <v>15</v>
      </c>
      <c r="E2" s="1">
        <v>30</v>
      </c>
      <c r="F2" s="1" t="s">
        <v>16</v>
      </c>
      <c r="G2" s="1" t="s">
        <v>17</v>
      </c>
      <c r="H2" s="1" t="s">
        <v>18</v>
      </c>
      <c r="I2" s="1">
        <v>105257</v>
      </c>
      <c r="J2" s="1" t="s">
        <v>19</v>
      </c>
      <c r="K2" s="1" t="s">
        <v>20</v>
      </c>
      <c r="L2" s="1" t="s">
        <v>21</v>
      </c>
      <c r="M2" s="1" t="s">
        <v>1509</v>
      </c>
      <c r="N2" s="1">
        <v>1</v>
      </c>
      <c r="O2" s="1">
        <v>110519.85</v>
      </c>
    </row>
    <row r="3" spans="1:20" x14ac:dyDescent="0.3">
      <c r="A3" s="1" t="s">
        <v>22</v>
      </c>
      <c r="B3" s="1" t="s">
        <v>13</v>
      </c>
      <c r="C3" s="1" t="s">
        <v>23</v>
      </c>
      <c r="D3" s="1" t="s">
        <v>24</v>
      </c>
      <c r="E3" s="1">
        <v>48</v>
      </c>
      <c r="F3" s="1" t="s">
        <v>25</v>
      </c>
      <c r="G3" s="1" t="s">
        <v>26</v>
      </c>
      <c r="H3" s="1" t="s">
        <v>27</v>
      </c>
      <c r="I3" s="1">
        <v>97903</v>
      </c>
      <c r="J3" s="1" t="s">
        <v>19</v>
      </c>
      <c r="K3" s="1" t="s">
        <v>28</v>
      </c>
      <c r="L3" s="1" t="s">
        <v>21</v>
      </c>
      <c r="M3" s="1" t="s">
        <v>1513</v>
      </c>
      <c r="N3" s="1">
        <v>4</v>
      </c>
      <c r="O3" s="1">
        <v>107693.3</v>
      </c>
    </row>
    <row r="4" spans="1:20" x14ac:dyDescent="0.3">
      <c r="A4" s="1" t="s">
        <v>29</v>
      </c>
      <c r="B4" s="1" t="s">
        <v>30</v>
      </c>
      <c r="C4" s="1" t="s">
        <v>23</v>
      </c>
      <c r="D4" s="1" t="s">
        <v>24</v>
      </c>
      <c r="E4" s="1">
        <v>48</v>
      </c>
      <c r="F4" s="1" t="s">
        <v>31</v>
      </c>
      <c r="G4" s="1" t="s">
        <v>32</v>
      </c>
      <c r="H4" s="1" t="s">
        <v>33</v>
      </c>
      <c r="I4" s="1">
        <v>73429</v>
      </c>
      <c r="J4" s="1" t="s">
        <v>34</v>
      </c>
      <c r="K4" s="1" t="s">
        <v>35</v>
      </c>
      <c r="L4" s="1" t="s">
        <v>36</v>
      </c>
      <c r="M4" s="1" t="s">
        <v>1515</v>
      </c>
      <c r="N4" s="1">
        <v>2</v>
      </c>
      <c r="O4" s="1">
        <v>77100.45</v>
      </c>
    </row>
    <row r="5" spans="1:20" x14ac:dyDescent="0.3">
      <c r="A5" s="1" t="s">
        <v>37</v>
      </c>
      <c r="B5" s="1" t="s">
        <v>38</v>
      </c>
      <c r="C5" s="1" t="s">
        <v>14</v>
      </c>
      <c r="D5" s="1" t="s">
        <v>15</v>
      </c>
      <c r="E5" s="1">
        <v>50</v>
      </c>
      <c r="F5" s="1" t="s">
        <v>39</v>
      </c>
      <c r="G5" s="1" t="s">
        <v>40</v>
      </c>
      <c r="H5" s="1" t="s">
        <v>41</v>
      </c>
      <c r="I5" s="1">
        <v>99336</v>
      </c>
      <c r="J5" s="1" t="s">
        <v>34</v>
      </c>
      <c r="K5" s="1" t="s">
        <v>42</v>
      </c>
      <c r="L5" s="1" t="s">
        <v>21</v>
      </c>
      <c r="M5" s="1" t="s">
        <v>1517</v>
      </c>
      <c r="N5" s="1">
        <v>4</v>
      </c>
      <c r="O5" s="1">
        <v>109269.6</v>
      </c>
    </row>
    <row r="6" spans="1:20" x14ac:dyDescent="0.3">
      <c r="A6" s="1" t="s">
        <v>43</v>
      </c>
      <c r="B6" s="1" t="s">
        <v>44</v>
      </c>
      <c r="C6" s="1" t="s">
        <v>45</v>
      </c>
      <c r="D6" s="1" t="s">
        <v>24</v>
      </c>
      <c r="E6" s="1">
        <v>60</v>
      </c>
      <c r="F6" s="1" t="s">
        <v>16</v>
      </c>
      <c r="G6" s="1" t="s">
        <v>32</v>
      </c>
      <c r="H6" s="1" t="s">
        <v>46</v>
      </c>
      <c r="I6" s="1">
        <v>105020</v>
      </c>
      <c r="J6" s="1" t="s">
        <v>34</v>
      </c>
      <c r="K6" s="1" t="s">
        <v>47</v>
      </c>
      <c r="L6" s="1" t="s">
        <v>21</v>
      </c>
      <c r="M6" s="1" t="s">
        <v>1509</v>
      </c>
      <c r="N6" s="1">
        <v>2</v>
      </c>
      <c r="O6" s="1">
        <v>110271</v>
      </c>
    </row>
    <row r="7" spans="1:20" x14ac:dyDescent="0.3">
      <c r="A7" s="1" t="s">
        <v>48</v>
      </c>
      <c r="B7" s="1" t="s">
        <v>49</v>
      </c>
      <c r="C7" s="1" t="s">
        <v>14</v>
      </c>
      <c r="D7" s="1" t="s">
        <v>24</v>
      </c>
      <c r="E7" s="1">
        <v>33</v>
      </c>
      <c r="F7" s="1" t="s">
        <v>50</v>
      </c>
      <c r="G7" s="1" t="s">
        <v>32</v>
      </c>
      <c r="H7" s="1" t="s">
        <v>51</v>
      </c>
      <c r="I7" s="1">
        <v>93173</v>
      </c>
      <c r="J7" s="1" t="s">
        <v>34</v>
      </c>
      <c r="K7" s="1" t="s">
        <v>52</v>
      </c>
      <c r="L7" s="1" t="s">
        <v>21</v>
      </c>
      <c r="M7" s="1" t="s">
        <v>1511</v>
      </c>
      <c r="N7" s="1">
        <v>3</v>
      </c>
      <c r="O7" s="1">
        <v>99695.11</v>
      </c>
    </row>
    <row r="8" spans="1:20" x14ac:dyDescent="0.3">
      <c r="A8" s="1" t="s">
        <v>53</v>
      </c>
      <c r="B8" s="1" t="s">
        <v>54</v>
      </c>
      <c r="C8" s="1" t="s">
        <v>45</v>
      </c>
      <c r="D8" s="1" t="s">
        <v>24</v>
      </c>
      <c r="E8" s="1">
        <v>52</v>
      </c>
      <c r="F8" s="1" t="s">
        <v>39</v>
      </c>
      <c r="G8" s="1" t="s">
        <v>17</v>
      </c>
      <c r="H8" s="1" t="s">
        <v>55</v>
      </c>
      <c r="I8" s="1">
        <v>106626</v>
      </c>
      <c r="J8" s="1" t="s">
        <v>34</v>
      </c>
      <c r="K8" s="1" t="s">
        <v>56</v>
      </c>
      <c r="L8" s="1" t="s">
        <v>21</v>
      </c>
      <c r="M8" s="1" t="s">
        <v>1517</v>
      </c>
      <c r="N8" s="1">
        <v>2</v>
      </c>
      <c r="O8" s="1">
        <v>111957.3</v>
      </c>
    </row>
    <row r="9" spans="1:20" x14ac:dyDescent="0.3">
      <c r="A9" s="1" t="s">
        <v>57</v>
      </c>
      <c r="B9" s="1" t="s">
        <v>58</v>
      </c>
      <c r="C9" s="1" t="s">
        <v>14</v>
      </c>
      <c r="D9" s="1" t="s">
        <v>15</v>
      </c>
      <c r="E9" s="1">
        <v>42</v>
      </c>
      <c r="F9" s="1" t="s">
        <v>50</v>
      </c>
      <c r="G9" s="1" t="s">
        <v>40</v>
      </c>
      <c r="H9" s="1" t="s">
        <v>59</v>
      </c>
      <c r="I9" s="1">
        <v>114547</v>
      </c>
      <c r="J9" s="1" t="s">
        <v>60</v>
      </c>
      <c r="K9" s="1" t="s">
        <v>61</v>
      </c>
      <c r="L9" s="1" t="s">
        <v>36</v>
      </c>
      <c r="M9" s="1" t="s">
        <v>1511</v>
      </c>
      <c r="N9" s="1">
        <v>1</v>
      </c>
      <c r="O9" s="1">
        <v>120274.35</v>
      </c>
    </row>
    <row r="10" spans="1:20" x14ac:dyDescent="0.3">
      <c r="A10" s="1" t="s">
        <v>62</v>
      </c>
      <c r="B10" s="1" t="s">
        <v>58</v>
      </c>
      <c r="C10" s="1" t="s">
        <v>63</v>
      </c>
      <c r="D10" s="1" t="s">
        <v>15</v>
      </c>
      <c r="E10" s="1">
        <v>40</v>
      </c>
      <c r="F10" s="1" t="s">
        <v>16</v>
      </c>
      <c r="G10" s="1" t="s">
        <v>32</v>
      </c>
      <c r="H10" s="1" t="s">
        <v>64</v>
      </c>
      <c r="I10" s="1">
        <v>51139</v>
      </c>
      <c r="J10" s="1" t="s">
        <v>65</v>
      </c>
      <c r="K10" s="1" t="s">
        <v>66</v>
      </c>
      <c r="L10" s="1" t="s">
        <v>36</v>
      </c>
      <c r="M10" s="1" t="s">
        <v>1509</v>
      </c>
      <c r="N10" s="1">
        <v>4</v>
      </c>
      <c r="O10" s="1">
        <v>56252.9</v>
      </c>
    </row>
    <row r="11" spans="1:20" x14ac:dyDescent="0.3">
      <c r="A11" s="1" t="s">
        <v>67</v>
      </c>
      <c r="B11" s="1" t="s">
        <v>13</v>
      </c>
      <c r="C11" s="1" t="s">
        <v>23</v>
      </c>
      <c r="D11" s="1" t="s">
        <v>15</v>
      </c>
      <c r="E11" s="1">
        <v>25</v>
      </c>
      <c r="F11" s="1" t="s">
        <v>39</v>
      </c>
      <c r="G11" s="1" t="s">
        <v>17</v>
      </c>
      <c r="H11" s="1" t="s">
        <v>68</v>
      </c>
      <c r="I11" s="1">
        <v>60673</v>
      </c>
      <c r="J11" s="1" t="s">
        <v>65</v>
      </c>
      <c r="K11" s="1" t="s">
        <v>69</v>
      </c>
      <c r="L11" s="1" t="s">
        <v>36</v>
      </c>
      <c r="M11" s="1" t="s">
        <v>1517</v>
      </c>
      <c r="N11" s="1">
        <v>5</v>
      </c>
      <c r="O11" s="1">
        <v>69773.95</v>
      </c>
    </row>
    <row r="12" spans="1:20" x14ac:dyDescent="0.3">
      <c r="A12" s="1" t="s">
        <v>70</v>
      </c>
      <c r="B12" s="1" t="s">
        <v>71</v>
      </c>
      <c r="C12" s="1" t="s">
        <v>23</v>
      </c>
      <c r="D12" s="1" t="s">
        <v>15</v>
      </c>
      <c r="E12" s="1">
        <v>25</v>
      </c>
      <c r="F12" s="1" t="s">
        <v>39</v>
      </c>
      <c r="G12" s="1" t="s">
        <v>32</v>
      </c>
      <c r="H12" s="1" t="s">
        <v>72</v>
      </c>
      <c r="I12" s="1">
        <v>65690</v>
      </c>
      <c r="J12" s="1" t="s">
        <v>19</v>
      </c>
      <c r="K12" s="1" t="s">
        <v>73</v>
      </c>
      <c r="L12" s="1" t="s">
        <v>36</v>
      </c>
      <c r="M12" s="1" t="s">
        <v>1517</v>
      </c>
      <c r="N12" s="1">
        <v>3</v>
      </c>
      <c r="O12" s="1">
        <v>70288.3</v>
      </c>
      <c r="Q12" s="6" t="s">
        <v>1528</v>
      </c>
      <c r="R12" s="6"/>
      <c r="S12" s="6"/>
      <c r="T12" s="6"/>
    </row>
    <row r="13" spans="1:20" x14ac:dyDescent="0.3">
      <c r="A13" s="1" t="s">
        <v>74</v>
      </c>
      <c r="B13" s="1" t="s">
        <v>30</v>
      </c>
      <c r="C13" s="1" t="s">
        <v>45</v>
      </c>
      <c r="D13" s="1" t="s">
        <v>24</v>
      </c>
      <c r="E13" s="1">
        <v>49</v>
      </c>
      <c r="F13" s="1" t="s">
        <v>25</v>
      </c>
      <c r="G13" s="1" t="s">
        <v>26</v>
      </c>
      <c r="H13" s="1" t="s">
        <v>75</v>
      </c>
      <c r="I13" s="1">
        <v>63823</v>
      </c>
      <c r="J13" s="1" t="s">
        <v>65</v>
      </c>
      <c r="K13" s="1" t="s">
        <v>76</v>
      </c>
      <c r="L13" s="1" t="s">
        <v>21</v>
      </c>
      <c r="M13" s="1" t="s">
        <v>1513</v>
      </c>
      <c r="N13" s="1">
        <v>2</v>
      </c>
      <c r="O13" s="1">
        <v>67014.149999999994</v>
      </c>
    </row>
    <row r="14" spans="1:20" x14ac:dyDescent="0.3">
      <c r="A14" s="1" t="s">
        <v>77</v>
      </c>
      <c r="B14" s="1" t="s">
        <v>30</v>
      </c>
      <c r="C14" s="1" t="s">
        <v>78</v>
      </c>
      <c r="D14" s="1" t="s">
        <v>15</v>
      </c>
      <c r="E14" s="1">
        <v>56</v>
      </c>
      <c r="F14" s="1" t="s">
        <v>39</v>
      </c>
      <c r="G14" s="1" t="s">
        <v>17</v>
      </c>
      <c r="H14" s="1" t="s">
        <v>79</v>
      </c>
      <c r="I14" s="1">
        <v>49557</v>
      </c>
      <c r="J14" s="1" t="s">
        <v>80</v>
      </c>
      <c r="K14" s="1" t="s">
        <v>81</v>
      </c>
      <c r="L14" s="1" t="s">
        <v>36</v>
      </c>
      <c r="M14" s="1" t="s">
        <v>1517</v>
      </c>
      <c r="N14" s="1">
        <v>3</v>
      </c>
      <c r="O14" s="1">
        <v>53025.99</v>
      </c>
    </row>
    <row r="15" spans="1:20" x14ac:dyDescent="0.3">
      <c r="A15" s="1" t="s">
        <v>82</v>
      </c>
      <c r="B15" s="1" t="s">
        <v>30</v>
      </c>
      <c r="C15" s="1" t="s">
        <v>83</v>
      </c>
      <c r="D15" s="1" t="s">
        <v>24</v>
      </c>
      <c r="E15" s="1">
        <v>44</v>
      </c>
      <c r="F15" s="1" t="s">
        <v>16</v>
      </c>
      <c r="G15" s="1" t="s">
        <v>32</v>
      </c>
      <c r="H15" s="1" t="s">
        <v>84</v>
      </c>
      <c r="I15" s="1">
        <v>116901</v>
      </c>
      <c r="J15" s="1" t="s">
        <v>65</v>
      </c>
      <c r="K15" s="1" t="s">
        <v>85</v>
      </c>
      <c r="L15" s="1" t="s">
        <v>21</v>
      </c>
      <c r="M15" s="1" t="s">
        <v>1509</v>
      </c>
      <c r="N15" s="1">
        <v>2</v>
      </c>
      <c r="O15" s="1">
        <v>122746.05</v>
      </c>
    </row>
    <row r="16" spans="1:20" x14ac:dyDescent="0.3">
      <c r="A16" s="1" t="s">
        <v>86</v>
      </c>
      <c r="B16" s="1" t="s">
        <v>38</v>
      </c>
      <c r="C16" s="1" t="s">
        <v>83</v>
      </c>
      <c r="D16" s="1" t="s">
        <v>15</v>
      </c>
      <c r="E16" s="1">
        <v>55</v>
      </c>
      <c r="F16" s="1" t="s">
        <v>50</v>
      </c>
      <c r="G16" s="1" t="s">
        <v>17</v>
      </c>
      <c r="H16" s="1" t="s">
        <v>87</v>
      </c>
      <c r="I16" s="1">
        <v>85190</v>
      </c>
      <c r="J16" s="1" t="s">
        <v>60</v>
      </c>
      <c r="K16" s="1" t="s">
        <v>88</v>
      </c>
      <c r="L16" s="1" t="s">
        <v>36</v>
      </c>
      <c r="M16" s="1" t="s">
        <v>1511</v>
      </c>
      <c r="N16" s="1">
        <v>4</v>
      </c>
      <c r="O16" s="1">
        <v>93709</v>
      </c>
    </row>
    <row r="17" spans="1:15" x14ac:dyDescent="0.3">
      <c r="A17" s="1" t="s">
        <v>89</v>
      </c>
      <c r="B17" s="1" t="s">
        <v>54</v>
      </c>
      <c r="C17" s="1" t="s">
        <v>90</v>
      </c>
      <c r="D17" s="1" t="s">
        <v>15</v>
      </c>
      <c r="E17" s="1">
        <v>30</v>
      </c>
      <c r="F17" s="1" t="s">
        <v>31</v>
      </c>
      <c r="G17" s="1" t="s">
        <v>32</v>
      </c>
      <c r="H17" s="1" t="s">
        <v>91</v>
      </c>
      <c r="I17" s="1">
        <v>95723</v>
      </c>
      <c r="J17" s="1" t="s">
        <v>65</v>
      </c>
      <c r="K17" s="1" t="s">
        <v>92</v>
      </c>
      <c r="L17" s="1" t="s">
        <v>36</v>
      </c>
      <c r="M17" s="1" t="s">
        <v>1515</v>
      </c>
      <c r="N17" s="1">
        <v>2</v>
      </c>
      <c r="O17" s="1">
        <v>100509.15</v>
      </c>
    </row>
    <row r="18" spans="1:15" x14ac:dyDescent="0.3">
      <c r="A18" s="1" t="s">
        <v>93</v>
      </c>
      <c r="B18" s="1" t="s">
        <v>94</v>
      </c>
      <c r="C18" s="1" t="s">
        <v>95</v>
      </c>
      <c r="D18" s="1" t="s">
        <v>15</v>
      </c>
      <c r="E18" s="1">
        <v>51</v>
      </c>
      <c r="F18" s="1" t="s">
        <v>31</v>
      </c>
      <c r="G18" s="1" t="s">
        <v>26</v>
      </c>
      <c r="H18" s="1" t="s">
        <v>96</v>
      </c>
      <c r="I18" s="1">
        <v>35234</v>
      </c>
      <c r="J18" s="1" t="s">
        <v>60</v>
      </c>
      <c r="K18" s="1" t="s">
        <v>97</v>
      </c>
      <c r="L18" s="1" t="s">
        <v>36</v>
      </c>
      <c r="M18" s="1" t="s">
        <v>1515</v>
      </c>
      <c r="N18" s="1">
        <v>1</v>
      </c>
      <c r="O18" s="1">
        <v>36995.699999999997</v>
      </c>
    </row>
    <row r="19" spans="1:15" x14ac:dyDescent="0.3">
      <c r="A19" s="1" t="s">
        <v>98</v>
      </c>
      <c r="B19" s="1" t="s">
        <v>58</v>
      </c>
      <c r="C19" s="1" t="s">
        <v>23</v>
      </c>
      <c r="D19" s="1" t="s">
        <v>24</v>
      </c>
      <c r="E19" s="1">
        <v>38</v>
      </c>
      <c r="F19" s="1" t="s">
        <v>16</v>
      </c>
      <c r="G19" s="1" t="s">
        <v>26</v>
      </c>
      <c r="H19" s="1" t="s">
        <v>99</v>
      </c>
      <c r="I19" s="1">
        <v>102733</v>
      </c>
      <c r="J19" s="1" t="s">
        <v>19</v>
      </c>
      <c r="K19" s="1" t="s">
        <v>100</v>
      </c>
      <c r="L19" s="1" t="s">
        <v>36</v>
      </c>
      <c r="M19" s="1" t="s">
        <v>1509</v>
      </c>
      <c r="N19" s="1">
        <v>4</v>
      </c>
      <c r="O19" s="1">
        <v>113006.3</v>
      </c>
    </row>
    <row r="20" spans="1:15" x14ac:dyDescent="0.3">
      <c r="A20" s="1" t="s">
        <v>101</v>
      </c>
      <c r="B20" s="1" t="s">
        <v>30</v>
      </c>
      <c r="C20" s="1" t="s">
        <v>78</v>
      </c>
      <c r="D20" s="1" t="s">
        <v>15</v>
      </c>
      <c r="E20" s="1">
        <v>46</v>
      </c>
      <c r="F20" s="1" t="s">
        <v>16</v>
      </c>
      <c r="G20" s="1" t="s">
        <v>40</v>
      </c>
      <c r="H20" s="1" t="s">
        <v>102</v>
      </c>
      <c r="I20" s="1">
        <v>76829</v>
      </c>
      <c r="J20" s="1" t="s">
        <v>65</v>
      </c>
      <c r="K20" s="1" t="s">
        <v>103</v>
      </c>
      <c r="L20" s="1" t="s">
        <v>21</v>
      </c>
      <c r="M20" s="1" t="s">
        <v>1509</v>
      </c>
      <c r="N20" s="1">
        <v>5</v>
      </c>
      <c r="O20" s="1">
        <v>88353.35</v>
      </c>
    </row>
    <row r="21" spans="1:15" x14ac:dyDescent="0.3">
      <c r="A21" s="1" t="s">
        <v>104</v>
      </c>
      <c r="B21" s="1" t="s">
        <v>94</v>
      </c>
      <c r="C21" s="1" t="s">
        <v>14</v>
      </c>
      <c r="D21" s="1" t="s">
        <v>24</v>
      </c>
      <c r="E21" s="1">
        <v>60</v>
      </c>
      <c r="F21" s="1" t="s">
        <v>39</v>
      </c>
      <c r="G21" s="1" t="s">
        <v>32</v>
      </c>
      <c r="H21" s="1" t="s">
        <v>105</v>
      </c>
      <c r="I21" s="1">
        <v>69718</v>
      </c>
      <c r="J21" s="1" t="s">
        <v>34</v>
      </c>
      <c r="K21" s="1" t="s">
        <v>106</v>
      </c>
      <c r="L21" s="1" t="s">
        <v>36</v>
      </c>
      <c r="M21" s="1" t="s">
        <v>1517</v>
      </c>
      <c r="N21" s="1">
        <v>5</v>
      </c>
      <c r="O21" s="1">
        <v>80175.7</v>
      </c>
    </row>
    <row r="22" spans="1:15" x14ac:dyDescent="0.3">
      <c r="A22" s="1" t="s">
        <v>107</v>
      </c>
      <c r="B22" s="1" t="s">
        <v>94</v>
      </c>
      <c r="C22" s="1" t="s">
        <v>83</v>
      </c>
      <c r="D22" s="1" t="s">
        <v>15</v>
      </c>
      <c r="E22" s="1">
        <v>24</v>
      </c>
      <c r="F22" s="1" t="s">
        <v>31</v>
      </c>
      <c r="G22" s="1" t="s">
        <v>108</v>
      </c>
      <c r="H22" s="1" t="s">
        <v>109</v>
      </c>
      <c r="I22" s="1">
        <v>90834</v>
      </c>
      <c r="J22" s="1" t="s">
        <v>80</v>
      </c>
      <c r="K22" s="1" t="s">
        <v>110</v>
      </c>
      <c r="L22" s="1" t="s">
        <v>21</v>
      </c>
      <c r="M22" s="1" t="s">
        <v>1515</v>
      </c>
      <c r="N22" s="1">
        <v>1</v>
      </c>
      <c r="O22" s="1">
        <v>95375.7</v>
      </c>
    </row>
    <row r="23" spans="1:15" x14ac:dyDescent="0.3">
      <c r="A23" s="1" t="s">
        <v>111</v>
      </c>
      <c r="B23" s="1" t="s">
        <v>13</v>
      </c>
      <c r="C23" s="1" t="s">
        <v>14</v>
      </c>
      <c r="D23" s="1" t="s">
        <v>24</v>
      </c>
      <c r="E23" s="1">
        <v>51</v>
      </c>
      <c r="F23" s="1" t="s">
        <v>16</v>
      </c>
      <c r="G23" s="1" t="s">
        <v>108</v>
      </c>
      <c r="H23" s="1" t="s">
        <v>112</v>
      </c>
      <c r="I23" s="1">
        <v>51631</v>
      </c>
      <c r="J23" s="1" t="s">
        <v>65</v>
      </c>
      <c r="K23" s="1" t="s">
        <v>113</v>
      </c>
      <c r="L23" s="1" t="s">
        <v>36</v>
      </c>
      <c r="M23" s="1" t="s">
        <v>1509</v>
      </c>
      <c r="N23" s="1">
        <v>5</v>
      </c>
      <c r="O23" s="1">
        <v>59375.65</v>
      </c>
    </row>
    <row r="24" spans="1:15" x14ac:dyDescent="0.3">
      <c r="A24" s="1" t="s">
        <v>114</v>
      </c>
      <c r="B24" s="1" t="s">
        <v>71</v>
      </c>
      <c r="C24" s="1" t="s">
        <v>63</v>
      </c>
      <c r="D24" s="1" t="s">
        <v>24</v>
      </c>
      <c r="E24" s="1">
        <v>45</v>
      </c>
      <c r="F24" s="1" t="s">
        <v>31</v>
      </c>
      <c r="G24" s="1" t="s">
        <v>26</v>
      </c>
      <c r="H24" s="1" t="s">
        <v>115</v>
      </c>
      <c r="I24" s="1">
        <v>51414</v>
      </c>
      <c r="J24" s="1" t="s">
        <v>65</v>
      </c>
      <c r="K24" s="1" t="s">
        <v>116</v>
      </c>
      <c r="L24" s="1" t="s">
        <v>21</v>
      </c>
      <c r="M24" s="1" t="s">
        <v>1515</v>
      </c>
      <c r="N24" s="1">
        <v>3</v>
      </c>
      <c r="O24" s="1">
        <v>55012.98</v>
      </c>
    </row>
    <row r="25" spans="1:15" x14ac:dyDescent="0.3">
      <c r="A25" s="1" t="s">
        <v>117</v>
      </c>
      <c r="B25" s="1" t="s">
        <v>44</v>
      </c>
      <c r="C25" s="1" t="s">
        <v>63</v>
      </c>
      <c r="D25" s="1" t="s">
        <v>24</v>
      </c>
      <c r="E25" s="1">
        <v>35</v>
      </c>
      <c r="F25" s="1" t="s">
        <v>50</v>
      </c>
      <c r="G25" s="1" t="s">
        <v>17</v>
      </c>
      <c r="H25" s="1" t="s">
        <v>118</v>
      </c>
      <c r="I25" s="1">
        <v>79578</v>
      </c>
      <c r="J25" s="1" t="s">
        <v>19</v>
      </c>
      <c r="K25" s="1" t="s">
        <v>119</v>
      </c>
      <c r="L25" s="1" t="s">
        <v>36</v>
      </c>
      <c r="M25" s="1" t="s">
        <v>1511</v>
      </c>
      <c r="N25" s="1">
        <v>4</v>
      </c>
      <c r="O25" s="1">
        <v>87535.8</v>
      </c>
    </row>
    <row r="26" spans="1:15" x14ac:dyDescent="0.3">
      <c r="A26" s="1" t="s">
        <v>120</v>
      </c>
      <c r="B26" s="1" t="s">
        <v>71</v>
      </c>
      <c r="C26" s="1" t="s">
        <v>83</v>
      </c>
      <c r="D26" s="1" t="s">
        <v>24</v>
      </c>
      <c r="E26" s="1">
        <v>47</v>
      </c>
      <c r="F26" s="1" t="s">
        <v>25</v>
      </c>
      <c r="G26" s="1" t="s">
        <v>108</v>
      </c>
      <c r="H26" s="1" t="s">
        <v>121</v>
      </c>
      <c r="I26" s="1">
        <v>111899</v>
      </c>
      <c r="J26" s="1" t="s">
        <v>65</v>
      </c>
      <c r="K26" s="1" t="s">
        <v>122</v>
      </c>
      <c r="L26" s="1" t="s">
        <v>36</v>
      </c>
      <c r="M26" s="1" t="s">
        <v>1513</v>
      </c>
      <c r="N26" s="1">
        <v>4</v>
      </c>
      <c r="O26" s="1">
        <v>123088.9</v>
      </c>
    </row>
    <row r="27" spans="1:15" x14ac:dyDescent="0.3">
      <c r="A27" s="1" t="s">
        <v>123</v>
      </c>
      <c r="B27" s="1" t="s">
        <v>58</v>
      </c>
      <c r="C27" s="1" t="s">
        <v>14</v>
      </c>
      <c r="D27" s="1" t="s">
        <v>24</v>
      </c>
      <c r="E27" s="1">
        <v>47</v>
      </c>
      <c r="F27" s="1" t="s">
        <v>31</v>
      </c>
      <c r="G27" s="1" t="s">
        <v>26</v>
      </c>
      <c r="H27" s="1" t="s">
        <v>124</v>
      </c>
      <c r="I27" s="1">
        <v>95862</v>
      </c>
      <c r="J27" s="1" t="s">
        <v>19</v>
      </c>
      <c r="K27" s="1" t="s">
        <v>125</v>
      </c>
      <c r="L27" s="1" t="s">
        <v>21</v>
      </c>
      <c r="M27" s="1" t="s">
        <v>1515</v>
      </c>
      <c r="N27" s="1">
        <v>1</v>
      </c>
      <c r="O27" s="1">
        <v>100655.1</v>
      </c>
    </row>
    <row r="28" spans="1:15" x14ac:dyDescent="0.3">
      <c r="A28" s="1" t="s">
        <v>126</v>
      </c>
      <c r="B28" s="1" t="s">
        <v>13</v>
      </c>
      <c r="C28" s="1" t="s">
        <v>83</v>
      </c>
      <c r="D28" s="1" t="s">
        <v>15</v>
      </c>
      <c r="E28" s="1">
        <v>49</v>
      </c>
      <c r="F28" s="1" t="s">
        <v>25</v>
      </c>
      <c r="G28" s="1" t="s">
        <v>17</v>
      </c>
      <c r="H28" s="1" t="s">
        <v>127</v>
      </c>
      <c r="I28" s="1">
        <v>110397</v>
      </c>
      <c r="J28" s="1" t="s">
        <v>80</v>
      </c>
      <c r="K28" s="1" t="s">
        <v>128</v>
      </c>
      <c r="L28" s="1" t="s">
        <v>36</v>
      </c>
      <c r="M28" s="1" t="s">
        <v>1513</v>
      </c>
      <c r="N28" s="1">
        <v>1</v>
      </c>
      <c r="O28" s="1">
        <v>115916.85</v>
      </c>
    </row>
    <row r="29" spans="1:15" x14ac:dyDescent="0.3">
      <c r="A29" s="1" t="s">
        <v>129</v>
      </c>
      <c r="B29" s="1" t="s">
        <v>44</v>
      </c>
      <c r="C29" s="1" t="s">
        <v>130</v>
      </c>
      <c r="D29" s="1" t="s">
        <v>15</v>
      </c>
      <c r="E29" s="1">
        <v>27</v>
      </c>
      <c r="F29" s="1" t="s">
        <v>50</v>
      </c>
      <c r="G29" s="1" t="s">
        <v>26</v>
      </c>
      <c r="H29" s="1" t="s">
        <v>131</v>
      </c>
      <c r="I29" s="1">
        <v>111149</v>
      </c>
      <c r="J29" s="1" t="s">
        <v>80</v>
      </c>
      <c r="K29" s="1" t="s">
        <v>132</v>
      </c>
      <c r="L29" s="1" t="s">
        <v>21</v>
      </c>
      <c r="M29" s="1" t="s">
        <v>1511</v>
      </c>
      <c r="N29" s="1">
        <v>4</v>
      </c>
      <c r="O29" s="1">
        <v>122263.9</v>
      </c>
    </row>
    <row r="30" spans="1:15" x14ac:dyDescent="0.3">
      <c r="A30" s="1" t="s">
        <v>133</v>
      </c>
      <c r="B30" s="1" t="s">
        <v>54</v>
      </c>
      <c r="C30" s="1" t="s">
        <v>78</v>
      </c>
      <c r="D30" s="1" t="s">
        <v>24</v>
      </c>
      <c r="E30" s="1">
        <v>36</v>
      </c>
      <c r="F30" s="1" t="s">
        <v>31</v>
      </c>
      <c r="G30" s="1" t="s">
        <v>17</v>
      </c>
      <c r="H30" s="1" t="s">
        <v>134</v>
      </c>
      <c r="I30" s="1">
        <v>67035</v>
      </c>
      <c r="J30" s="1" t="s">
        <v>80</v>
      </c>
      <c r="K30" s="1" t="s">
        <v>135</v>
      </c>
      <c r="L30" s="1" t="s">
        <v>36</v>
      </c>
      <c r="M30" s="1" t="s">
        <v>1515</v>
      </c>
      <c r="N30" s="1">
        <v>5</v>
      </c>
      <c r="O30" s="1">
        <v>77090.25</v>
      </c>
    </row>
    <row r="31" spans="1:15" x14ac:dyDescent="0.3">
      <c r="A31" s="1" t="s">
        <v>136</v>
      </c>
      <c r="B31" s="1" t="s">
        <v>38</v>
      </c>
      <c r="C31" s="1" t="s">
        <v>14</v>
      </c>
      <c r="D31" s="1" t="s">
        <v>24</v>
      </c>
      <c r="E31" s="1">
        <v>41</v>
      </c>
      <c r="F31" s="1" t="s">
        <v>25</v>
      </c>
      <c r="G31" s="1" t="s">
        <v>17</v>
      </c>
      <c r="H31" s="1" t="s">
        <v>137</v>
      </c>
      <c r="I31" s="1">
        <v>103851</v>
      </c>
      <c r="J31" s="1" t="s">
        <v>34</v>
      </c>
      <c r="K31" s="1" t="s">
        <v>138</v>
      </c>
      <c r="L31" s="1" t="s">
        <v>36</v>
      </c>
      <c r="M31" s="1" t="s">
        <v>1513</v>
      </c>
      <c r="N31" s="1">
        <v>2</v>
      </c>
      <c r="O31" s="1">
        <v>109043.55</v>
      </c>
    </row>
    <row r="32" spans="1:15" x14ac:dyDescent="0.3">
      <c r="A32" s="1" t="s">
        <v>139</v>
      </c>
      <c r="B32" s="1" t="s">
        <v>13</v>
      </c>
      <c r="C32" s="1" t="s">
        <v>45</v>
      </c>
      <c r="D32" s="1" t="s">
        <v>15</v>
      </c>
      <c r="E32" s="1">
        <v>26</v>
      </c>
      <c r="F32" s="1" t="s">
        <v>39</v>
      </c>
      <c r="G32" s="1" t="s">
        <v>108</v>
      </c>
      <c r="H32" s="1" t="s">
        <v>140</v>
      </c>
      <c r="I32" s="1">
        <v>63676</v>
      </c>
      <c r="J32" s="1" t="s">
        <v>19</v>
      </c>
      <c r="K32" s="1" t="s">
        <v>141</v>
      </c>
      <c r="L32" s="1" t="s">
        <v>36</v>
      </c>
      <c r="M32" s="1" t="s">
        <v>1517</v>
      </c>
      <c r="N32" s="1">
        <v>1</v>
      </c>
      <c r="O32" s="1">
        <v>66859.8</v>
      </c>
    </row>
    <row r="33" spans="1:15" x14ac:dyDescent="0.3">
      <c r="A33" s="1" t="s">
        <v>142</v>
      </c>
      <c r="B33" s="1" t="s">
        <v>143</v>
      </c>
      <c r="C33" s="1" t="s">
        <v>95</v>
      </c>
      <c r="D33" s="1" t="s">
        <v>15</v>
      </c>
      <c r="E33" s="1">
        <v>31</v>
      </c>
      <c r="F33" s="1" t="s">
        <v>16</v>
      </c>
      <c r="G33" s="1" t="s">
        <v>40</v>
      </c>
      <c r="H33" s="1" t="s">
        <v>144</v>
      </c>
      <c r="I33" s="1">
        <v>115269</v>
      </c>
      <c r="J33" s="1" t="s">
        <v>80</v>
      </c>
      <c r="K33" s="1" t="s">
        <v>145</v>
      </c>
      <c r="L33" s="1" t="s">
        <v>36</v>
      </c>
      <c r="M33" s="1" t="s">
        <v>1509</v>
      </c>
      <c r="N33" s="1">
        <v>4</v>
      </c>
      <c r="O33" s="1">
        <v>126795.9</v>
      </c>
    </row>
    <row r="34" spans="1:15" x14ac:dyDescent="0.3">
      <c r="A34" s="1" t="s">
        <v>146</v>
      </c>
      <c r="B34" s="1" t="s">
        <v>143</v>
      </c>
      <c r="C34" s="1" t="s">
        <v>63</v>
      </c>
      <c r="D34" s="1" t="s">
        <v>24</v>
      </c>
      <c r="E34" s="1">
        <v>47</v>
      </c>
      <c r="F34" s="1" t="s">
        <v>31</v>
      </c>
      <c r="G34" s="1" t="s">
        <v>17</v>
      </c>
      <c r="H34" s="1" t="s">
        <v>147</v>
      </c>
      <c r="I34" s="1">
        <v>77203</v>
      </c>
      <c r="J34" s="1" t="s">
        <v>34</v>
      </c>
      <c r="K34" s="1" t="s">
        <v>148</v>
      </c>
      <c r="L34" s="1" t="s">
        <v>21</v>
      </c>
      <c r="M34" s="1" t="s">
        <v>1515</v>
      </c>
      <c r="N34" s="1">
        <v>5</v>
      </c>
      <c r="O34" s="1">
        <v>88783.45</v>
      </c>
    </row>
    <row r="35" spans="1:15" x14ac:dyDescent="0.3">
      <c r="A35" s="1" t="s">
        <v>149</v>
      </c>
      <c r="B35" s="1" t="s">
        <v>58</v>
      </c>
      <c r="C35" s="1" t="s">
        <v>83</v>
      </c>
      <c r="D35" s="1" t="s">
        <v>24</v>
      </c>
      <c r="E35" s="1">
        <v>57</v>
      </c>
      <c r="F35" s="1" t="s">
        <v>16</v>
      </c>
      <c r="G35" s="1" t="s">
        <v>108</v>
      </c>
      <c r="H35" s="1" t="s">
        <v>150</v>
      </c>
      <c r="I35" s="1">
        <v>113291</v>
      </c>
      <c r="J35" s="1" t="s">
        <v>80</v>
      </c>
      <c r="K35" s="1" t="s">
        <v>151</v>
      </c>
      <c r="L35" s="1" t="s">
        <v>36</v>
      </c>
      <c r="M35" s="1" t="s">
        <v>1509</v>
      </c>
      <c r="N35" s="1">
        <v>1</v>
      </c>
      <c r="O35" s="1">
        <v>118955.55</v>
      </c>
    </row>
    <row r="36" spans="1:15" x14ac:dyDescent="0.3">
      <c r="A36" s="1" t="s">
        <v>152</v>
      </c>
      <c r="B36" s="1" t="s">
        <v>38</v>
      </c>
      <c r="C36" s="1" t="s">
        <v>78</v>
      </c>
      <c r="D36" s="1" t="s">
        <v>15</v>
      </c>
      <c r="E36" s="1">
        <v>45</v>
      </c>
      <c r="F36" s="1" t="s">
        <v>16</v>
      </c>
      <c r="G36" s="1" t="s">
        <v>17</v>
      </c>
      <c r="H36" s="1" t="s">
        <v>153</v>
      </c>
      <c r="I36" s="1">
        <v>93729</v>
      </c>
      <c r="J36" s="1" t="s">
        <v>80</v>
      </c>
      <c r="K36" s="1" t="s">
        <v>154</v>
      </c>
      <c r="L36" s="1" t="s">
        <v>36</v>
      </c>
      <c r="M36" s="1" t="s">
        <v>1509</v>
      </c>
      <c r="N36" s="1">
        <v>5</v>
      </c>
      <c r="O36" s="1">
        <v>107788.35</v>
      </c>
    </row>
    <row r="37" spans="1:15" x14ac:dyDescent="0.3">
      <c r="A37" s="1" t="s">
        <v>155</v>
      </c>
      <c r="B37" s="1" t="s">
        <v>30</v>
      </c>
      <c r="C37" s="1" t="s">
        <v>45</v>
      </c>
      <c r="D37" s="1" t="s">
        <v>24</v>
      </c>
      <c r="E37" s="1">
        <v>40</v>
      </c>
      <c r="F37" s="1" t="s">
        <v>39</v>
      </c>
      <c r="G37" s="1" t="s">
        <v>108</v>
      </c>
      <c r="H37" s="1" t="s">
        <v>156</v>
      </c>
      <c r="I37" s="1">
        <v>35947</v>
      </c>
      <c r="J37" s="1" t="s">
        <v>65</v>
      </c>
      <c r="K37" s="1" t="s">
        <v>157</v>
      </c>
      <c r="L37" s="1" t="s">
        <v>36</v>
      </c>
      <c r="M37" s="1" t="s">
        <v>1517</v>
      </c>
      <c r="N37" s="1">
        <v>1</v>
      </c>
      <c r="O37" s="1">
        <v>37744.35</v>
      </c>
    </row>
    <row r="38" spans="1:15" x14ac:dyDescent="0.3">
      <c r="A38" s="1" t="s">
        <v>158</v>
      </c>
      <c r="B38" s="1" t="s">
        <v>13</v>
      </c>
      <c r="C38" s="1" t="s">
        <v>45</v>
      </c>
      <c r="D38" s="1" t="s">
        <v>15</v>
      </c>
      <c r="E38" s="1">
        <v>49</v>
      </c>
      <c r="F38" s="1" t="s">
        <v>39</v>
      </c>
      <c r="G38" s="1" t="s">
        <v>26</v>
      </c>
      <c r="H38" s="1" t="s">
        <v>159</v>
      </c>
      <c r="I38" s="1">
        <v>72311</v>
      </c>
      <c r="J38" s="1" t="s">
        <v>80</v>
      </c>
      <c r="K38" s="1" t="s">
        <v>160</v>
      </c>
      <c r="L38" s="1" t="s">
        <v>36</v>
      </c>
      <c r="M38" s="1" t="s">
        <v>1517</v>
      </c>
      <c r="N38" s="1">
        <v>4</v>
      </c>
      <c r="O38" s="1">
        <v>79542.100000000006</v>
      </c>
    </row>
    <row r="39" spans="1:15" x14ac:dyDescent="0.3">
      <c r="A39" s="1" t="s">
        <v>161</v>
      </c>
      <c r="B39" s="1" t="s">
        <v>143</v>
      </c>
      <c r="C39" s="1" t="s">
        <v>90</v>
      </c>
      <c r="D39" s="1" t="s">
        <v>24</v>
      </c>
      <c r="E39" s="1">
        <v>53</v>
      </c>
      <c r="F39" s="1" t="s">
        <v>50</v>
      </c>
      <c r="G39" s="1" t="s">
        <v>40</v>
      </c>
      <c r="H39" s="1" t="s">
        <v>162</v>
      </c>
      <c r="I39" s="1">
        <v>38763</v>
      </c>
      <c r="J39" s="1" t="s">
        <v>60</v>
      </c>
      <c r="K39" s="1" t="s">
        <v>163</v>
      </c>
      <c r="L39" s="1" t="s">
        <v>21</v>
      </c>
      <c r="M39" s="1" t="s">
        <v>1511</v>
      </c>
      <c r="N39" s="1">
        <v>4</v>
      </c>
      <c r="O39" s="1">
        <v>42639.3</v>
      </c>
    </row>
    <row r="40" spans="1:15" x14ac:dyDescent="0.3">
      <c r="A40" s="1" t="s">
        <v>164</v>
      </c>
      <c r="B40" s="1" t="s">
        <v>38</v>
      </c>
      <c r="C40" s="1" t="s">
        <v>165</v>
      </c>
      <c r="D40" s="1" t="s">
        <v>15</v>
      </c>
      <c r="E40" s="1">
        <v>54</v>
      </c>
      <c r="F40" s="1" t="s">
        <v>31</v>
      </c>
      <c r="G40" s="1" t="s">
        <v>32</v>
      </c>
      <c r="H40" s="1" t="s">
        <v>166</v>
      </c>
      <c r="I40" s="1">
        <v>101175</v>
      </c>
      <c r="J40" s="1" t="s">
        <v>60</v>
      </c>
      <c r="K40" s="1" t="s">
        <v>167</v>
      </c>
      <c r="L40" s="1" t="s">
        <v>21</v>
      </c>
      <c r="M40" s="1" t="s">
        <v>1515</v>
      </c>
      <c r="N40" s="1">
        <v>3</v>
      </c>
      <c r="O40" s="1">
        <v>108257.25</v>
      </c>
    </row>
    <row r="41" spans="1:15" x14ac:dyDescent="0.3">
      <c r="A41" s="1" t="s">
        <v>168</v>
      </c>
      <c r="B41" s="1" t="s">
        <v>143</v>
      </c>
      <c r="C41" s="1" t="s">
        <v>90</v>
      </c>
      <c r="D41" s="1" t="s">
        <v>15</v>
      </c>
      <c r="E41" s="1">
        <v>41</v>
      </c>
      <c r="F41" s="1" t="s">
        <v>25</v>
      </c>
      <c r="G41" s="1" t="s">
        <v>108</v>
      </c>
      <c r="H41" s="1" t="s">
        <v>169</v>
      </c>
      <c r="I41" s="1">
        <v>36386</v>
      </c>
      <c r="J41" s="1" t="s">
        <v>65</v>
      </c>
      <c r="K41" s="1" t="s">
        <v>170</v>
      </c>
      <c r="L41" s="1" t="s">
        <v>21</v>
      </c>
      <c r="M41" s="1" t="s">
        <v>1513</v>
      </c>
      <c r="N41" s="1">
        <v>2</v>
      </c>
      <c r="O41" s="1">
        <v>38205.300000000003</v>
      </c>
    </row>
    <row r="42" spans="1:15" x14ac:dyDescent="0.3">
      <c r="A42" s="1" t="s">
        <v>171</v>
      </c>
      <c r="B42" s="1" t="s">
        <v>71</v>
      </c>
      <c r="C42" s="1" t="s">
        <v>45</v>
      </c>
      <c r="D42" s="1" t="s">
        <v>15</v>
      </c>
      <c r="E42" s="1">
        <v>56</v>
      </c>
      <c r="F42" s="1" t="s">
        <v>39</v>
      </c>
      <c r="G42" s="1" t="s">
        <v>40</v>
      </c>
      <c r="H42" s="1" t="s">
        <v>172</v>
      </c>
      <c r="I42" s="1">
        <v>76395</v>
      </c>
      <c r="J42" s="1" t="s">
        <v>19</v>
      </c>
      <c r="K42" s="1" t="s">
        <v>173</v>
      </c>
      <c r="L42" s="1" t="s">
        <v>36</v>
      </c>
      <c r="M42" s="1" t="s">
        <v>1517</v>
      </c>
      <c r="N42" s="1">
        <v>4</v>
      </c>
      <c r="O42" s="1">
        <v>84034.5</v>
      </c>
    </row>
    <row r="43" spans="1:15" x14ac:dyDescent="0.3">
      <c r="A43" s="1" t="s">
        <v>174</v>
      </c>
      <c r="B43" s="1" t="s">
        <v>44</v>
      </c>
      <c r="C43" s="1" t="s">
        <v>95</v>
      </c>
      <c r="D43" s="1" t="s">
        <v>24</v>
      </c>
      <c r="E43" s="1">
        <v>49</v>
      </c>
      <c r="F43" s="1" t="s">
        <v>31</v>
      </c>
      <c r="G43" s="1" t="s">
        <v>108</v>
      </c>
      <c r="H43" s="1" t="s">
        <v>175</v>
      </c>
      <c r="I43" s="1">
        <v>43701</v>
      </c>
      <c r="J43" s="1" t="s">
        <v>60</v>
      </c>
      <c r="K43" s="1" t="s">
        <v>176</v>
      </c>
      <c r="L43" s="1" t="s">
        <v>21</v>
      </c>
      <c r="M43" s="1" t="s">
        <v>1515</v>
      </c>
      <c r="N43" s="1">
        <v>3</v>
      </c>
      <c r="O43" s="1">
        <v>46760.07</v>
      </c>
    </row>
    <row r="44" spans="1:15" x14ac:dyDescent="0.3">
      <c r="A44" s="1" t="s">
        <v>177</v>
      </c>
      <c r="B44" s="1" t="s">
        <v>94</v>
      </c>
      <c r="C44" s="1" t="s">
        <v>130</v>
      </c>
      <c r="D44" s="1" t="s">
        <v>24</v>
      </c>
      <c r="E44" s="1">
        <v>32</v>
      </c>
      <c r="F44" s="1" t="s">
        <v>25</v>
      </c>
      <c r="G44" s="1" t="s">
        <v>17</v>
      </c>
      <c r="H44" s="1" t="s">
        <v>178</v>
      </c>
      <c r="I44" s="1">
        <v>85198</v>
      </c>
      <c r="J44" s="1" t="s">
        <v>60</v>
      </c>
      <c r="K44" s="1" t="s">
        <v>179</v>
      </c>
      <c r="L44" s="1" t="s">
        <v>21</v>
      </c>
      <c r="M44" s="1" t="s">
        <v>1513</v>
      </c>
      <c r="N44" s="1">
        <v>5</v>
      </c>
      <c r="O44" s="1">
        <v>97977.7</v>
      </c>
    </row>
    <row r="45" spans="1:15" x14ac:dyDescent="0.3">
      <c r="A45" s="1" t="s">
        <v>180</v>
      </c>
      <c r="B45" s="1" t="s">
        <v>13</v>
      </c>
      <c r="C45" s="1" t="s">
        <v>130</v>
      </c>
      <c r="D45" s="1" t="s">
        <v>15</v>
      </c>
      <c r="E45" s="1">
        <v>26</v>
      </c>
      <c r="F45" s="1" t="s">
        <v>16</v>
      </c>
      <c r="G45" s="1" t="s">
        <v>40</v>
      </c>
      <c r="H45" s="1" t="s">
        <v>181</v>
      </c>
      <c r="I45" s="1">
        <v>39451</v>
      </c>
      <c r="J45" s="1" t="s">
        <v>80</v>
      </c>
      <c r="K45" s="1" t="s">
        <v>182</v>
      </c>
      <c r="L45" s="1" t="s">
        <v>21</v>
      </c>
      <c r="M45" s="1" t="s">
        <v>1509</v>
      </c>
      <c r="N45" s="1">
        <v>3</v>
      </c>
      <c r="O45" s="1">
        <v>42212.57</v>
      </c>
    </row>
    <row r="46" spans="1:15" x14ac:dyDescent="0.3">
      <c r="A46" s="1" t="s">
        <v>183</v>
      </c>
      <c r="B46" s="1" t="s">
        <v>143</v>
      </c>
      <c r="C46" s="1" t="s">
        <v>165</v>
      </c>
      <c r="D46" s="1" t="s">
        <v>15</v>
      </c>
      <c r="E46" s="1">
        <v>26</v>
      </c>
      <c r="F46" s="1" t="s">
        <v>31</v>
      </c>
      <c r="G46" s="1" t="s">
        <v>40</v>
      </c>
      <c r="H46" s="1" t="s">
        <v>184</v>
      </c>
      <c r="I46" s="1">
        <v>45087</v>
      </c>
      <c r="J46" s="1" t="s">
        <v>80</v>
      </c>
      <c r="K46" s="1" t="s">
        <v>185</v>
      </c>
      <c r="L46" s="1" t="s">
        <v>21</v>
      </c>
      <c r="M46" s="1" t="s">
        <v>1515</v>
      </c>
      <c r="N46" s="1">
        <v>1</v>
      </c>
      <c r="O46" s="1">
        <v>47341.35</v>
      </c>
    </row>
    <row r="47" spans="1:15" x14ac:dyDescent="0.3">
      <c r="A47" s="1" t="s">
        <v>186</v>
      </c>
      <c r="B47" s="1" t="s">
        <v>30</v>
      </c>
      <c r="C47" s="1" t="s">
        <v>95</v>
      </c>
      <c r="D47" s="1" t="s">
        <v>24</v>
      </c>
      <c r="E47" s="1">
        <v>26</v>
      </c>
      <c r="F47" s="1" t="s">
        <v>31</v>
      </c>
      <c r="G47" s="1" t="s">
        <v>17</v>
      </c>
      <c r="H47" s="1" t="s">
        <v>187</v>
      </c>
      <c r="I47" s="1">
        <v>38222</v>
      </c>
      <c r="J47" s="1" t="s">
        <v>65</v>
      </c>
      <c r="K47" s="1" t="s">
        <v>188</v>
      </c>
      <c r="L47" s="1" t="s">
        <v>36</v>
      </c>
      <c r="M47" s="1" t="s">
        <v>1515</v>
      </c>
      <c r="N47" s="1">
        <v>4</v>
      </c>
      <c r="O47" s="1">
        <v>42044.2</v>
      </c>
    </row>
    <row r="48" spans="1:15" x14ac:dyDescent="0.3">
      <c r="A48" s="1" t="s">
        <v>189</v>
      </c>
      <c r="B48" s="1" t="s">
        <v>71</v>
      </c>
      <c r="C48" s="1" t="s">
        <v>63</v>
      </c>
      <c r="D48" s="1" t="s">
        <v>15</v>
      </c>
      <c r="E48" s="1">
        <v>57</v>
      </c>
      <c r="F48" s="1" t="s">
        <v>25</v>
      </c>
      <c r="G48" s="1" t="s">
        <v>26</v>
      </c>
      <c r="H48" s="1" t="s">
        <v>190</v>
      </c>
      <c r="I48" s="1">
        <v>96188</v>
      </c>
      <c r="J48" s="1" t="s">
        <v>60</v>
      </c>
      <c r="K48" s="1" t="s">
        <v>191</v>
      </c>
      <c r="L48" s="1" t="s">
        <v>21</v>
      </c>
      <c r="M48" s="1" t="s">
        <v>1513</v>
      </c>
      <c r="N48" s="1">
        <v>5</v>
      </c>
      <c r="O48" s="1">
        <v>110616.2</v>
      </c>
    </row>
    <row r="49" spans="1:15" x14ac:dyDescent="0.3">
      <c r="A49" s="1" t="s">
        <v>192</v>
      </c>
      <c r="B49" s="1" t="s">
        <v>49</v>
      </c>
      <c r="C49" s="1" t="s">
        <v>83</v>
      </c>
      <c r="D49" s="1" t="s">
        <v>24</v>
      </c>
      <c r="E49" s="1">
        <v>32</v>
      </c>
      <c r="F49" s="1" t="s">
        <v>50</v>
      </c>
      <c r="G49" s="1" t="s">
        <v>17</v>
      </c>
      <c r="H49" s="1" t="s">
        <v>193</v>
      </c>
      <c r="I49" s="1">
        <v>106013</v>
      </c>
      <c r="J49" s="1" t="s">
        <v>80</v>
      </c>
      <c r="K49" s="1" t="s">
        <v>194</v>
      </c>
      <c r="L49" s="1" t="s">
        <v>21</v>
      </c>
      <c r="M49" s="1" t="s">
        <v>1511</v>
      </c>
      <c r="N49" s="1">
        <v>5</v>
      </c>
      <c r="O49" s="1">
        <v>121914.95</v>
      </c>
    </row>
    <row r="50" spans="1:15" x14ac:dyDescent="0.3">
      <c r="A50" s="1" t="s">
        <v>195</v>
      </c>
      <c r="B50" s="1" t="s">
        <v>54</v>
      </c>
      <c r="C50" s="1" t="s">
        <v>95</v>
      </c>
      <c r="D50" s="1" t="s">
        <v>24</v>
      </c>
      <c r="E50" s="1">
        <v>52</v>
      </c>
      <c r="F50" s="1" t="s">
        <v>31</v>
      </c>
      <c r="G50" s="1" t="s">
        <v>26</v>
      </c>
      <c r="H50" s="1" t="s">
        <v>196</v>
      </c>
      <c r="I50" s="1">
        <v>82014</v>
      </c>
      <c r="J50" s="1" t="s">
        <v>19</v>
      </c>
      <c r="K50" s="1" t="s">
        <v>197</v>
      </c>
      <c r="L50" s="1" t="s">
        <v>21</v>
      </c>
      <c r="M50" s="1" t="s">
        <v>1515</v>
      </c>
      <c r="N50" s="1">
        <v>2</v>
      </c>
      <c r="O50" s="1">
        <v>86114.7</v>
      </c>
    </row>
    <row r="51" spans="1:15" x14ac:dyDescent="0.3">
      <c r="A51" s="1" t="s">
        <v>198</v>
      </c>
      <c r="B51" s="1" t="s">
        <v>38</v>
      </c>
      <c r="C51" s="1" t="s">
        <v>95</v>
      </c>
      <c r="D51" s="1" t="s">
        <v>24</v>
      </c>
      <c r="E51" s="1">
        <v>46</v>
      </c>
      <c r="F51" s="1" t="s">
        <v>31</v>
      </c>
      <c r="G51" s="1" t="s">
        <v>40</v>
      </c>
      <c r="H51" s="1" t="s">
        <v>124</v>
      </c>
      <c r="I51" s="1">
        <v>84323</v>
      </c>
      <c r="J51" s="1" t="s">
        <v>34</v>
      </c>
      <c r="K51" s="1" t="s">
        <v>199</v>
      </c>
      <c r="L51" s="1" t="s">
        <v>21</v>
      </c>
      <c r="M51" s="1" t="s">
        <v>1515</v>
      </c>
      <c r="N51" s="1">
        <v>1</v>
      </c>
      <c r="O51" s="1">
        <v>88539.15</v>
      </c>
    </row>
    <row r="52" spans="1:15" x14ac:dyDescent="0.3">
      <c r="A52" s="1" t="s">
        <v>200</v>
      </c>
      <c r="B52" s="1" t="s">
        <v>58</v>
      </c>
      <c r="C52" s="1" t="s">
        <v>63</v>
      </c>
      <c r="D52" s="1" t="s">
        <v>15</v>
      </c>
      <c r="E52" s="1">
        <v>42</v>
      </c>
      <c r="F52" s="1" t="s">
        <v>16</v>
      </c>
      <c r="G52" s="1" t="s">
        <v>17</v>
      </c>
      <c r="H52" s="1" t="s">
        <v>201</v>
      </c>
      <c r="I52" s="1">
        <v>93289</v>
      </c>
      <c r="J52" s="1" t="s">
        <v>65</v>
      </c>
      <c r="K52" s="1" t="s">
        <v>202</v>
      </c>
      <c r="L52" s="1" t="s">
        <v>36</v>
      </c>
      <c r="M52" s="1" t="s">
        <v>1509</v>
      </c>
      <c r="N52" s="1">
        <v>5</v>
      </c>
      <c r="O52" s="1">
        <v>107282.35</v>
      </c>
    </row>
    <row r="53" spans="1:15" x14ac:dyDescent="0.3">
      <c r="A53" s="1" t="s">
        <v>203</v>
      </c>
      <c r="B53" s="1" t="s">
        <v>38</v>
      </c>
      <c r="C53" s="1" t="s">
        <v>130</v>
      </c>
      <c r="D53" s="1" t="s">
        <v>15</v>
      </c>
      <c r="E53" s="1">
        <v>46</v>
      </c>
      <c r="F53" s="1" t="s">
        <v>39</v>
      </c>
      <c r="G53" s="1" t="s">
        <v>40</v>
      </c>
      <c r="H53" s="1" t="s">
        <v>204</v>
      </c>
      <c r="I53" s="1">
        <v>43926</v>
      </c>
      <c r="J53" s="1" t="s">
        <v>80</v>
      </c>
      <c r="K53" s="1" t="s">
        <v>205</v>
      </c>
      <c r="L53" s="1" t="s">
        <v>36</v>
      </c>
      <c r="M53" s="1" t="s">
        <v>1517</v>
      </c>
      <c r="N53" s="1">
        <v>4</v>
      </c>
      <c r="O53" s="1">
        <v>48318.6</v>
      </c>
    </row>
    <row r="54" spans="1:15" x14ac:dyDescent="0.3">
      <c r="A54" s="1" t="s">
        <v>206</v>
      </c>
      <c r="B54" s="1" t="s">
        <v>30</v>
      </c>
      <c r="C54" s="1" t="s">
        <v>23</v>
      </c>
      <c r="D54" s="1" t="s">
        <v>24</v>
      </c>
      <c r="E54" s="1">
        <v>57</v>
      </c>
      <c r="F54" s="1" t="s">
        <v>16</v>
      </c>
      <c r="G54" s="1" t="s">
        <v>32</v>
      </c>
      <c r="H54" s="1" t="s">
        <v>207</v>
      </c>
      <c r="I54" s="1">
        <v>102761</v>
      </c>
      <c r="J54" s="1" t="s">
        <v>65</v>
      </c>
      <c r="K54" s="1" t="s">
        <v>208</v>
      </c>
      <c r="L54" s="1" t="s">
        <v>36</v>
      </c>
      <c r="M54" s="1" t="s">
        <v>1509</v>
      </c>
      <c r="N54" s="1">
        <v>4</v>
      </c>
      <c r="O54" s="1">
        <v>113037.1</v>
      </c>
    </row>
    <row r="55" spans="1:15" x14ac:dyDescent="0.3">
      <c r="A55" s="1" t="s">
        <v>209</v>
      </c>
      <c r="B55" s="1" t="s">
        <v>94</v>
      </c>
      <c r="C55" s="1" t="s">
        <v>95</v>
      </c>
      <c r="D55" s="1" t="s">
        <v>24</v>
      </c>
      <c r="E55" s="1">
        <v>58</v>
      </c>
      <c r="F55" s="1" t="s">
        <v>50</v>
      </c>
      <c r="G55" s="1" t="s">
        <v>108</v>
      </c>
      <c r="H55" s="1" t="s">
        <v>210</v>
      </c>
      <c r="I55" s="1">
        <v>109960</v>
      </c>
      <c r="J55" s="1" t="s">
        <v>65</v>
      </c>
      <c r="K55" s="1" t="s">
        <v>211</v>
      </c>
      <c r="L55" s="1" t="s">
        <v>36</v>
      </c>
      <c r="M55" s="1" t="s">
        <v>1511</v>
      </c>
      <c r="N55" s="1">
        <v>2</v>
      </c>
      <c r="O55" s="1">
        <v>115458</v>
      </c>
    </row>
    <row r="56" spans="1:15" x14ac:dyDescent="0.3">
      <c r="A56" s="1" t="s">
        <v>212</v>
      </c>
      <c r="B56" s="1" t="s">
        <v>71</v>
      </c>
      <c r="C56" s="1" t="s">
        <v>165</v>
      </c>
      <c r="D56" s="1" t="s">
        <v>24</v>
      </c>
      <c r="E56" s="1">
        <v>42</v>
      </c>
      <c r="F56" s="1" t="s">
        <v>50</v>
      </c>
      <c r="G56" s="1" t="s">
        <v>26</v>
      </c>
      <c r="H56" s="1" t="s">
        <v>213</v>
      </c>
      <c r="I56" s="1">
        <v>83308</v>
      </c>
      <c r="J56" s="1" t="s">
        <v>60</v>
      </c>
      <c r="K56" s="1" t="s">
        <v>214</v>
      </c>
      <c r="L56" s="1" t="s">
        <v>36</v>
      </c>
      <c r="M56" s="1" t="s">
        <v>1511</v>
      </c>
      <c r="N56" s="1">
        <v>1</v>
      </c>
      <c r="O56" s="1">
        <v>87473.4</v>
      </c>
    </row>
    <row r="57" spans="1:15" x14ac:dyDescent="0.3">
      <c r="A57" s="1" t="s">
        <v>215</v>
      </c>
      <c r="B57" s="1" t="s">
        <v>71</v>
      </c>
      <c r="C57" s="1" t="s">
        <v>45</v>
      </c>
      <c r="D57" s="1" t="s">
        <v>24</v>
      </c>
      <c r="E57" s="1">
        <v>26</v>
      </c>
      <c r="F57" s="1" t="s">
        <v>50</v>
      </c>
      <c r="G57" s="1" t="s">
        <v>108</v>
      </c>
      <c r="H57" s="1" t="s">
        <v>216</v>
      </c>
      <c r="I57" s="1">
        <v>44078</v>
      </c>
      <c r="J57" s="1" t="s">
        <v>65</v>
      </c>
      <c r="K57" s="1" t="s">
        <v>217</v>
      </c>
      <c r="L57" s="1" t="s">
        <v>36</v>
      </c>
      <c r="M57" s="1" t="s">
        <v>1511</v>
      </c>
      <c r="N57" s="1">
        <v>3</v>
      </c>
      <c r="O57" s="1">
        <v>47163.46</v>
      </c>
    </row>
    <row r="58" spans="1:15" x14ac:dyDescent="0.3">
      <c r="A58" s="1" t="s">
        <v>218</v>
      </c>
      <c r="B58" s="1" t="s">
        <v>30</v>
      </c>
      <c r="C58" s="1" t="s">
        <v>63</v>
      </c>
      <c r="D58" s="1" t="s">
        <v>24</v>
      </c>
      <c r="E58" s="1">
        <v>32</v>
      </c>
      <c r="F58" s="1" t="s">
        <v>16</v>
      </c>
      <c r="G58" s="1" t="s">
        <v>26</v>
      </c>
      <c r="H58" s="1" t="s">
        <v>219</v>
      </c>
      <c r="I58" s="1">
        <v>60444</v>
      </c>
      <c r="J58" s="1" t="s">
        <v>65</v>
      </c>
      <c r="K58" s="1" t="s">
        <v>220</v>
      </c>
      <c r="L58" s="1" t="s">
        <v>36</v>
      </c>
      <c r="M58" s="1" t="s">
        <v>1509</v>
      </c>
      <c r="N58" s="1">
        <v>4</v>
      </c>
      <c r="O58" s="1">
        <v>66488.399999999994</v>
      </c>
    </row>
    <row r="59" spans="1:15" x14ac:dyDescent="0.3">
      <c r="A59" s="1" t="s">
        <v>221</v>
      </c>
      <c r="B59" s="1" t="s">
        <v>58</v>
      </c>
      <c r="C59" s="1" t="s">
        <v>78</v>
      </c>
      <c r="D59" s="1" t="s">
        <v>24</v>
      </c>
      <c r="E59" s="1">
        <v>26</v>
      </c>
      <c r="F59" s="1" t="s">
        <v>31</v>
      </c>
      <c r="G59" s="1" t="s">
        <v>26</v>
      </c>
      <c r="H59" s="1" t="s">
        <v>222</v>
      </c>
      <c r="I59" s="1">
        <v>37951</v>
      </c>
      <c r="J59" s="1" t="s">
        <v>34</v>
      </c>
      <c r="K59" s="1" t="s">
        <v>223</v>
      </c>
      <c r="L59" s="1" t="s">
        <v>36</v>
      </c>
      <c r="M59" s="1" t="s">
        <v>1515</v>
      </c>
      <c r="N59" s="1">
        <v>2</v>
      </c>
      <c r="O59" s="1">
        <v>39848.550000000003</v>
      </c>
    </row>
    <row r="60" spans="1:15" x14ac:dyDescent="0.3">
      <c r="A60" s="1" t="s">
        <v>224</v>
      </c>
      <c r="B60" s="1" t="s">
        <v>71</v>
      </c>
      <c r="C60" s="1" t="s">
        <v>130</v>
      </c>
      <c r="D60" s="1" t="s">
        <v>24</v>
      </c>
      <c r="E60" s="1">
        <v>36</v>
      </c>
      <c r="F60" s="1" t="s">
        <v>50</v>
      </c>
      <c r="G60" s="1" t="s">
        <v>26</v>
      </c>
      <c r="H60" s="1" t="s">
        <v>225</v>
      </c>
      <c r="I60" s="1">
        <v>88790</v>
      </c>
      <c r="J60" s="1" t="s">
        <v>80</v>
      </c>
      <c r="K60" s="1" t="s">
        <v>226</v>
      </c>
      <c r="L60" s="1" t="s">
        <v>36</v>
      </c>
      <c r="M60" s="1" t="s">
        <v>1511</v>
      </c>
      <c r="N60" s="1">
        <v>3</v>
      </c>
      <c r="O60" s="1">
        <v>95005.3</v>
      </c>
    </row>
    <row r="61" spans="1:15" x14ac:dyDescent="0.3">
      <c r="A61" s="1" t="s">
        <v>227</v>
      </c>
      <c r="B61" s="1" t="s">
        <v>38</v>
      </c>
      <c r="C61" s="1" t="s">
        <v>63</v>
      </c>
      <c r="D61" s="1" t="s">
        <v>24</v>
      </c>
      <c r="E61" s="1">
        <v>50</v>
      </c>
      <c r="F61" s="1" t="s">
        <v>50</v>
      </c>
      <c r="G61" s="1" t="s">
        <v>32</v>
      </c>
      <c r="H61" s="1" t="s">
        <v>228</v>
      </c>
      <c r="I61" s="1">
        <v>119530</v>
      </c>
      <c r="J61" s="1" t="s">
        <v>19</v>
      </c>
      <c r="K61" s="1" t="s">
        <v>229</v>
      </c>
      <c r="L61" s="1" t="s">
        <v>36</v>
      </c>
      <c r="M61" s="1" t="s">
        <v>1511</v>
      </c>
      <c r="N61" s="1">
        <v>3</v>
      </c>
      <c r="O61" s="1">
        <v>127897.1</v>
      </c>
    </row>
    <row r="62" spans="1:15" x14ac:dyDescent="0.3">
      <c r="A62" s="1" t="s">
        <v>230</v>
      </c>
      <c r="B62" s="1" t="s">
        <v>143</v>
      </c>
      <c r="C62" s="1" t="s">
        <v>78</v>
      </c>
      <c r="D62" s="1" t="s">
        <v>15</v>
      </c>
      <c r="E62" s="1">
        <v>30</v>
      </c>
      <c r="F62" s="1" t="s">
        <v>16</v>
      </c>
      <c r="G62" s="1" t="s">
        <v>108</v>
      </c>
      <c r="H62" s="1" t="s">
        <v>231</v>
      </c>
      <c r="I62" s="1">
        <v>72048</v>
      </c>
      <c r="J62" s="1" t="s">
        <v>65</v>
      </c>
      <c r="K62" s="1" t="s">
        <v>232</v>
      </c>
      <c r="L62" s="1" t="s">
        <v>36</v>
      </c>
      <c r="M62" s="1" t="s">
        <v>1509</v>
      </c>
      <c r="N62" s="1">
        <v>4</v>
      </c>
      <c r="O62" s="1">
        <v>79252.800000000003</v>
      </c>
    </row>
    <row r="63" spans="1:15" x14ac:dyDescent="0.3">
      <c r="A63" s="1" t="s">
        <v>233</v>
      </c>
      <c r="B63" s="1" t="s">
        <v>54</v>
      </c>
      <c r="C63" s="1" t="s">
        <v>90</v>
      </c>
      <c r="D63" s="1" t="s">
        <v>24</v>
      </c>
      <c r="E63" s="1">
        <v>33</v>
      </c>
      <c r="F63" s="1" t="s">
        <v>31</v>
      </c>
      <c r="G63" s="1" t="s">
        <v>32</v>
      </c>
      <c r="H63" s="1" t="s">
        <v>234</v>
      </c>
      <c r="I63" s="1">
        <v>76700</v>
      </c>
      <c r="J63" s="1" t="s">
        <v>60</v>
      </c>
      <c r="K63" s="1" t="s">
        <v>235</v>
      </c>
      <c r="L63" s="1" t="s">
        <v>36</v>
      </c>
      <c r="M63" s="1" t="s">
        <v>1515</v>
      </c>
      <c r="N63" s="1">
        <v>5</v>
      </c>
      <c r="O63" s="1">
        <v>88205</v>
      </c>
    </row>
    <row r="64" spans="1:15" x14ac:dyDescent="0.3">
      <c r="A64" s="1" t="s">
        <v>236</v>
      </c>
      <c r="B64" s="1" t="s">
        <v>71</v>
      </c>
      <c r="C64" s="1" t="s">
        <v>130</v>
      </c>
      <c r="D64" s="1" t="s">
        <v>24</v>
      </c>
      <c r="E64" s="1">
        <v>22</v>
      </c>
      <c r="F64" s="1" t="s">
        <v>16</v>
      </c>
      <c r="G64" s="1" t="s">
        <v>40</v>
      </c>
      <c r="H64" s="1" t="s">
        <v>237</v>
      </c>
      <c r="I64" s="1">
        <v>86315</v>
      </c>
      <c r="J64" s="1" t="s">
        <v>60</v>
      </c>
      <c r="K64" s="1" t="s">
        <v>238</v>
      </c>
      <c r="L64" s="1" t="s">
        <v>36</v>
      </c>
      <c r="M64" s="1" t="s">
        <v>1509</v>
      </c>
      <c r="N64" s="1">
        <v>1</v>
      </c>
      <c r="O64" s="1">
        <v>90630.75</v>
      </c>
    </row>
    <row r="65" spans="1:15" x14ac:dyDescent="0.3">
      <c r="A65" s="1" t="s">
        <v>239</v>
      </c>
      <c r="B65" s="1" t="s">
        <v>38</v>
      </c>
      <c r="C65" s="1" t="s">
        <v>83</v>
      </c>
      <c r="D65" s="1" t="s">
        <v>15</v>
      </c>
      <c r="E65" s="1">
        <v>49</v>
      </c>
      <c r="F65" s="1" t="s">
        <v>50</v>
      </c>
      <c r="G65" s="1" t="s">
        <v>32</v>
      </c>
      <c r="H65" s="1" t="s">
        <v>240</v>
      </c>
      <c r="I65" s="1">
        <v>85454</v>
      </c>
      <c r="J65" s="1" t="s">
        <v>34</v>
      </c>
      <c r="K65" s="1" t="s">
        <v>241</v>
      </c>
      <c r="L65" s="1" t="s">
        <v>21</v>
      </c>
      <c r="M65" s="1" t="s">
        <v>1511</v>
      </c>
      <c r="N65" s="1">
        <v>3</v>
      </c>
      <c r="O65" s="1">
        <v>91435.78</v>
      </c>
    </row>
    <row r="66" spans="1:15" x14ac:dyDescent="0.3">
      <c r="A66" s="1" t="s">
        <v>242</v>
      </c>
      <c r="B66" s="1" t="s">
        <v>30</v>
      </c>
      <c r="C66" s="1" t="s">
        <v>90</v>
      </c>
      <c r="D66" s="1" t="s">
        <v>24</v>
      </c>
      <c r="E66" s="1">
        <v>31</v>
      </c>
      <c r="F66" s="1" t="s">
        <v>16</v>
      </c>
      <c r="G66" s="1" t="s">
        <v>32</v>
      </c>
      <c r="H66" s="1" t="s">
        <v>243</v>
      </c>
      <c r="I66" s="1">
        <v>83281</v>
      </c>
      <c r="J66" s="1" t="s">
        <v>60</v>
      </c>
      <c r="K66" s="1" t="s">
        <v>244</v>
      </c>
      <c r="L66" s="1" t="s">
        <v>36</v>
      </c>
      <c r="M66" s="1" t="s">
        <v>1509</v>
      </c>
      <c r="N66" s="1">
        <v>3</v>
      </c>
      <c r="O66" s="1">
        <v>89110.67</v>
      </c>
    </row>
    <row r="67" spans="1:15" x14ac:dyDescent="0.3">
      <c r="A67" s="1" t="s">
        <v>245</v>
      </c>
      <c r="B67" s="1" t="s">
        <v>58</v>
      </c>
      <c r="C67" s="1" t="s">
        <v>165</v>
      </c>
      <c r="D67" s="1" t="s">
        <v>15</v>
      </c>
      <c r="E67" s="1">
        <v>31</v>
      </c>
      <c r="F67" s="1" t="s">
        <v>16</v>
      </c>
      <c r="G67" s="1" t="s">
        <v>40</v>
      </c>
      <c r="H67" s="1" t="s">
        <v>246</v>
      </c>
      <c r="I67" s="1">
        <v>44531</v>
      </c>
      <c r="J67" s="1" t="s">
        <v>34</v>
      </c>
      <c r="K67" s="1" t="s">
        <v>247</v>
      </c>
      <c r="L67" s="1" t="s">
        <v>21</v>
      </c>
      <c r="M67" s="1" t="s">
        <v>1509</v>
      </c>
      <c r="N67" s="1">
        <v>5</v>
      </c>
      <c r="O67" s="1">
        <v>51210.65</v>
      </c>
    </row>
    <row r="68" spans="1:15" x14ac:dyDescent="0.3">
      <c r="A68" s="1" t="s">
        <v>248</v>
      </c>
      <c r="B68" s="1" t="s">
        <v>38</v>
      </c>
      <c r="C68" s="1" t="s">
        <v>130</v>
      </c>
      <c r="D68" s="1" t="s">
        <v>24</v>
      </c>
      <c r="E68" s="1">
        <v>36</v>
      </c>
      <c r="F68" s="1" t="s">
        <v>31</v>
      </c>
      <c r="G68" s="1" t="s">
        <v>17</v>
      </c>
      <c r="H68" s="1" t="s">
        <v>249</v>
      </c>
      <c r="I68" s="1">
        <v>44990</v>
      </c>
      <c r="J68" s="1" t="s">
        <v>80</v>
      </c>
      <c r="K68" s="1" t="s">
        <v>250</v>
      </c>
      <c r="L68" s="1" t="s">
        <v>21</v>
      </c>
      <c r="M68" s="1" t="s">
        <v>1515</v>
      </c>
      <c r="N68" s="1">
        <v>3</v>
      </c>
      <c r="O68" s="1">
        <v>48139.3</v>
      </c>
    </row>
    <row r="69" spans="1:15" x14ac:dyDescent="0.3">
      <c r="A69" s="1" t="s">
        <v>251</v>
      </c>
      <c r="B69" s="1" t="s">
        <v>44</v>
      </c>
      <c r="C69" s="1" t="s">
        <v>23</v>
      </c>
      <c r="D69" s="1" t="s">
        <v>15</v>
      </c>
      <c r="E69" s="1">
        <v>34</v>
      </c>
      <c r="F69" s="1" t="s">
        <v>16</v>
      </c>
      <c r="G69" s="1" t="s">
        <v>32</v>
      </c>
      <c r="H69" s="1" t="s">
        <v>252</v>
      </c>
      <c r="I69" s="1">
        <v>39110</v>
      </c>
      <c r="J69" s="1" t="s">
        <v>34</v>
      </c>
      <c r="K69" s="1" t="s">
        <v>253</v>
      </c>
      <c r="L69" s="1" t="s">
        <v>36</v>
      </c>
      <c r="M69" s="1" t="s">
        <v>1509</v>
      </c>
      <c r="N69" s="1">
        <v>2</v>
      </c>
      <c r="O69" s="1">
        <v>41065.5</v>
      </c>
    </row>
    <row r="70" spans="1:15" x14ac:dyDescent="0.3">
      <c r="A70" s="1" t="s">
        <v>254</v>
      </c>
      <c r="B70" s="1" t="s">
        <v>13</v>
      </c>
      <c r="C70" s="1" t="s">
        <v>45</v>
      </c>
      <c r="D70" s="1" t="s">
        <v>24</v>
      </c>
      <c r="E70" s="1">
        <v>35</v>
      </c>
      <c r="F70" s="1" t="s">
        <v>50</v>
      </c>
      <c r="G70" s="1" t="s">
        <v>40</v>
      </c>
      <c r="H70" s="1" t="s">
        <v>255</v>
      </c>
      <c r="I70" s="1">
        <v>60760</v>
      </c>
      <c r="J70" s="1" t="s">
        <v>80</v>
      </c>
      <c r="K70" s="1" t="s">
        <v>256</v>
      </c>
      <c r="L70" s="1" t="s">
        <v>36</v>
      </c>
      <c r="M70" s="1" t="s">
        <v>1511</v>
      </c>
      <c r="N70" s="1">
        <v>4</v>
      </c>
      <c r="O70" s="1">
        <v>66836</v>
      </c>
    </row>
    <row r="71" spans="1:15" x14ac:dyDescent="0.3">
      <c r="A71" s="1" t="s">
        <v>257</v>
      </c>
      <c r="B71" s="1" t="s">
        <v>38</v>
      </c>
      <c r="C71" s="1" t="s">
        <v>90</v>
      </c>
      <c r="D71" s="1" t="s">
        <v>15</v>
      </c>
      <c r="E71" s="1">
        <v>27</v>
      </c>
      <c r="F71" s="1" t="s">
        <v>31</v>
      </c>
      <c r="G71" s="1" t="s">
        <v>26</v>
      </c>
      <c r="H71" s="1" t="s">
        <v>258</v>
      </c>
      <c r="I71" s="1">
        <v>118796</v>
      </c>
      <c r="J71" s="1" t="s">
        <v>60</v>
      </c>
      <c r="K71" s="1" t="s">
        <v>259</v>
      </c>
      <c r="L71" s="1" t="s">
        <v>36</v>
      </c>
      <c r="M71" s="1" t="s">
        <v>1515</v>
      </c>
      <c r="N71" s="1">
        <v>4</v>
      </c>
      <c r="O71" s="1">
        <v>130675.6</v>
      </c>
    </row>
    <row r="72" spans="1:15" x14ac:dyDescent="0.3">
      <c r="A72" s="1" t="s">
        <v>260</v>
      </c>
      <c r="B72" s="1" t="s">
        <v>71</v>
      </c>
      <c r="C72" s="1" t="s">
        <v>90</v>
      </c>
      <c r="D72" s="1" t="s">
        <v>15</v>
      </c>
      <c r="E72" s="1">
        <v>49</v>
      </c>
      <c r="F72" s="1" t="s">
        <v>31</v>
      </c>
      <c r="G72" s="1" t="s">
        <v>17</v>
      </c>
      <c r="H72" s="1" t="s">
        <v>261</v>
      </c>
      <c r="I72" s="1">
        <v>88225</v>
      </c>
      <c r="J72" s="1" t="s">
        <v>34</v>
      </c>
      <c r="K72" s="1" t="s">
        <v>262</v>
      </c>
      <c r="L72" s="1" t="s">
        <v>21</v>
      </c>
      <c r="M72" s="1" t="s">
        <v>1515</v>
      </c>
      <c r="N72" s="1">
        <v>2</v>
      </c>
      <c r="O72" s="1">
        <v>92636.25</v>
      </c>
    </row>
    <row r="73" spans="1:15" x14ac:dyDescent="0.3">
      <c r="A73" s="1" t="s">
        <v>263</v>
      </c>
      <c r="B73" s="1" t="s">
        <v>49</v>
      </c>
      <c r="C73" s="1" t="s">
        <v>90</v>
      </c>
      <c r="D73" s="1" t="s">
        <v>15</v>
      </c>
      <c r="E73" s="1">
        <v>22</v>
      </c>
      <c r="F73" s="1" t="s">
        <v>31</v>
      </c>
      <c r="G73" s="1" t="s">
        <v>108</v>
      </c>
      <c r="H73" s="1" t="s">
        <v>264</v>
      </c>
      <c r="I73" s="1">
        <v>64891</v>
      </c>
      <c r="J73" s="1" t="s">
        <v>65</v>
      </c>
      <c r="K73" s="1" t="s">
        <v>265</v>
      </c>
      <c r="L73" s="1" t="s">
        <v>21</v>
      </c>
      <c r="M73" s="1" t="s">
        <v>1515</v>
      </c>
      <c r="N73" s="1">
        <v>4</v>
      </c>
      <c r="O73" s="1">
        <v>71380.100000000006</v>
      </c>
    </row>
    <row r="74" spans="1:15" x14ac:dyDescent="0.3">
      <c r="A74" s="1" t="s">
        <v>266</v>
      </c>
      <c r="B74" s="1" t="s">
        <v>44</v>
      </c>
      <c r="C74" s="1" t="s">
        <v>45</v>
      </c>
      <c r="D74" s="1" t="s">
        <v>24</v>
      </c>
      <c r="E74" s="1">
        <v>48</v>
      </c>
      <c r="F74" s="1" t="s">
        <v>50</v>
      </c>
      <c r="G74" s="1" t="s">
        <v>32</v>
      </c>
      <c r="H74" s="1" t="s">
        <v>267</v>
      </c>
      <c r="I74" s="1">
        <v>72035</v>
      </c>
      <c r="J74" s="1" t="s">
        <v>19</v>
      </c>
      <c r="K74" s="1" t="s">
        <v>268</v>
      </c>
      <c r="L74" s="1" t="s">
        <v>21</v>
      </c>
      <c r="M74" s="1" t="s">
        <v>1511</v>
      </c>
      <c r="N74" s="1">
        <v>3</v>
      </c>
      <c r="O74" s="1">
        <v>77077.45</v>
      </c>
    </row>
    <row r="75" spans="1:15" x14ac:dyDescent="0.3">
      <c r="A75" s="1" t="s">
        <v>269</v>
      </c>
      <c r="B75" s="1" t="s">
        <v>13</v>
      </c>
      <c r="C75" s="1" t="s">
        <v>130</v>
      </c>
      <c r="D75" s="1" t="s">
        <v>24</v>
      </c>
      <c r="E75" s="1">
        <v>30</v>
      </c>
      <c r="F75" s="1" t="s">
        <v>16</v>
      </c>
      <c r="G75" s="1" t="s">
        <v>17</v>
      </c>
      <c r="H75" s="1" t="s">
        <v>270</v>
      </c>
      <c r="I75" s="1">
        <v>50545</v>
      </c>
      <c r="J75" s="1" t="s">
        <v>80</v>
      </c>
      <c r="K75" s="1" t="s">
        <v>271</v>
      </c>
      <c r="L75" s="1" t="s">
        <v>21</v>
      </c>
      <c r="M75" s="1" t="s">
        <v>1509</v>
      </c>
      <c r="N75" s="1">
        <v>3</v>
      </c>
      <c r="O75" s="1">
        <v>54083.15</v>
      </c>
    </row>
    <row r="76" spans="1:15" x14ac:dyDescent="0.3">
      <c r="A76" s="1" t="s">
        <v>272</v>
      </c>
      <c r="B76" s="1" t="s">
        <v>143</v>
      </c>
      <c r="C76" s="1" t="s">
        <v>23</v>
      </c>
      <c r="D76" s="1" t="s">
        <v>24</v>
      </c>
      <c r="E76" s="1">
        <v>36</v>
      </c>
      <c r="F76" s="1" t="s">
        <v>16</v>
      </c>
      <c r="G76" s="1" t="s">
        <v>32</v>
      </c>
      <c r="H76" s="1" t="s">
        <v>273</v>
      </c>
      <c r="I76" s="1">
        <v>79385</v>
      </c>
      <c r="J76" s="1" t="s">
        <v>34</v>
      </c>
      <c r="K76" s="1" t="s">
        <v>274</v>
      </c>
      <c r="L76" s="1" t="s">
        <v>21</v>
      </c>
      <c r="M76" s="1" t="s">
        <v>1509</v>
      </c>
      <c r="N76" s="1">
        <v>5</v>
      </c>
      <c r="O76" s="1">
        <v>91292.75</v>
      </c>
    </row>
    <row r="77" spans="1:15" x14ac:dyDescent="0.3">
      <c r="A77" s="1" t="s">
        <v>275</v>
      </c>
      <c r="B77" s="1" t="s">
        <v>54</v>
      </c>
      <c r="C77" s="1" t="s">
        <v>14</v>
      </c>
      <c r="D77" s="1" t="s">
        <v>15</v>
      </c>
      <c r="E77" s="1">
        <v>52</v>
      </c>
      <c r="F77" s="1" t="s">
        <v>50</v>
      </c>
      <c r="G77" s="1" t="s">
        <v>32</v>
      </c>
      <c r="H77" s="1" t="s">
        <v>276</v>
      </c>
      <c r="I77" s="1">
        <v>48744</v>
      </c>
      <c r="J77" s="1" t="s">
        <v>65</v>
      </c>
      <c r="K77" s="1" t="s">
        <v>277</v>
      </c>
      <c r="L77" s="1" t="s">
        <v>36</v>
      </c>
      <c r="M77" s="1" t="s">
        <v>1511</v>
      </c>
      <c r="N77" s="1">
        <v>3</v>
      </c>
      <c r="O77" s="1">
        <v>52156.08</v>
      </c>
    </row>
    <row r="78" spans="1:15" x14ac:dyDescent="0.3">
      <c r="A78" s="1" t="s">
        <v>278</v>
      </c>
      <c r="B78" s="1" t="s">
        <v>143</v>
      </c>
      <c r="C78" s="1" t="s">
        <v>95</v>
      </c>
      <c r="D78" s="1" t="s">
        <v>24</v>
      </c>
      <c r="E78" s="1">
        <v>53</v>
      </c>
      <c r="F78" s="1" t="s">
        <v>25</v>
      </c>
      <c r="G78" s="1" t="s">
        <v>108</v>
      </c>
      <c r="H78" s="1" t="s">
        <v>279</v>
      </c>
      <c r="I78" s="1">
        <v>48865</v>
      </c>
      <c r="J78" s="1" t="s">
        <v>60</v>
      </c>
      <c r="K78" s="1" t="s">
        <v>280</v>
      </c>
      <c r="L78" s="1" t="s">
        <v>21</v>
      </c>
      <c r="M78" s="1" t="s">
        <v>1513</v>
      </c>
      <c r="N78" s="1">
        <v>1</v>
      </c>
      <c r="O78" s="1">
        <v>51308.25</v>
      </c>
    </row>
    <row r="79" spans="1:15" x14ac:dyDescent="0.3">
      <c r="A79" s="1" t="s">
        <v>281</v>
      </c>
      <c r="B79" s="1" t="s">
        <v>49</v>
      </c>
      <c r="C79" s="1" t="s">
        <v>63</v>
      </c>
      <c r="D79" s="1" t="s">
        <v>15</v>
      </c>
      <c r="E79" s="1">
        <v>53</v>
      </c>
      <c r="F79" s="1" t="s">
        <v>50</v>
      </c>
      <c r="G79" s="1" t="s">
        <v>17</v>
      </c>
      <c r="H79" s="1" t="s">
        <v>282</v>
      </c>
      <c r="I79" s="1">
        <v>73437</v>
      </c>
      <c r="J79" s="1" t="s">
        <v>65</v>
      </c>
      <c r="K79" s="1" t="s">
        <v>283</v>
      </c>
      <c r="L79" s="1" t="s">
        <v>36</v>
      </c>
      <c r="M79" s="1" t="s">
        <v>1511</v>
      </c>
      <c r="N79" s="1">
        <v>4</v>
      </c>
      <c r="O79" s="1">
        <v>80780.7</v>
      </c>
    </row>
    <row r="80" spans="1:15" x14ac:dyDescent="0.3">
      <c r="A80" s="1" t="s">
        <v>284</v>
      </c>
      <c r="B80" s="1" t="s">
        <v>54</v>
      </c>
      <c r="C80" s="1" t="s">
        <v>165</v>
      </c>
      <c r="D80" s="1" t="s">
        <v>15</v>
      </c>
      <c r="E80" s="1">
        <v>25</v>
      </c>
      <c r="F80" s="1" t="s">
        <v>39</v>
      </c>
      <c r="G80" s="1" t="s">
        <v>17</v>
      </c>
      <c r="H80" s="1" t="s">
        <v>285</v>
      </c>
      <c r="I80" s="1">
        <v>75232</v>
      </c>
      <c r="J80" s="1" t="s">
        <v>80</v>
      </c>
      <c r="K80" s="1" t="s">
        <v>286</v>
      </c>
      <c r="L80" s="1" t="s">
        <v>21</v>
      </c>
      <c r="M80" s="1" t="s">
        <v>1517</v>
      </c>
      <c r="N80" s="1">
        <v>1</v>
      </c>
      <c r="O80" s="1">
        <v>78993.600000000006</v>
      </c>
    </row>
    <row r="81" spans="1:15" x14ac:dyDescent="0.3">
      <c r="A81" s="1" t="s">
        <v>287</v>
      </c>
      <c r="B81" s="1" t="s">
        <v>71</v>
      </c>
      <c r="C81" s="1" t="s">
        <v>14</v>
      </c>
      <c r="D81" s="1" t="s">
        <v>15</v>
      </c>
      <c r="E81" s="1">
        <v>48</v>
      </c>
      <c r="F81" s="1" t="s">
        <v>31</v>
      </c>
      <c r="G81" s="1" t="s">
        <v>17</v>
      </c>
      <c r="H81" s="1" t="s">
        <v>288</v>
      </c>
      <c r="I81" s="1">
        <v>53034</v>
      </c>
      <c r="J81" s="1" t="s">
        <v>65</v>
      </c>
      <c r="K81" s="1" t="s">
        <v>289</v>
      </c>
      <c r="L81" s="1" t="s">
        <v>21</v>
      </c>
      <c r="M81" s="1" t="s">
        <v>1515</v>
      </c>
      <c r="N81" s="1">
        <v>2</v>
      </c>
      <c r="O81" s="1">
        <v>55685.7</v>
      </c>
    </row>
    <row r="82" spans="1:15" x14ac:dyDescent="0.3">
      <c r="A82" s="1" t="s">
        <v>290</v>
      </c>
      <c r="B82" s="1" t="s">
        <v>71</v>
      </c>
      <c r="C82" s="1" t="s">
        <v>23</v>
      </c>
      <c r="D82" s="1" t="s">
        <v>24</v>
      </c>
      <c r="E82" s="1">
        <v>45</v>
      </c>
      <c r="F82" s="1" t="s">
        <v>16</v>
      </c>
      <c r="G82" s="1" t="s">
        <v>17</v>
      </c>
      <c r="H82" s="1" t="s">
        <v>291</v>
      </c>
      <c r="I82" s="1">
        <v>110168</v>
      </c>
      <c r="J82" s="1" t="s">
        <v>60</v>
      </c>
      <c r="K82" s="1" t="s">
        <v>292</v>
      </c>
      <c r="L82" s="1" t="s">
        <v>36</v>
      </c>
      <c r="M82" s="1" t="s">
        <v>1509</v>
      </c>
      <c r="N82" s="1">
        <v>4</v>
      </c>
      <c r="O82" s="1">
        <v>121184.8</v>
      </c>
    </row>
    <row r="83" spans="1:15" x14ac:dyDescent="0.3">
      <c r="A83" s="1" t="s">
        <v>293</v>
      </c>
      <c r="B83" s="1" t="s">
        <v>38</v>
      </c>
      <c r="C83" s="1" t="s">
        <v>78</v>
      </c>
      <c r="D83" s="1" t="s">
        <v>15</v>
      </c>
      <c r="E83" s="1">
        <v>51</v>
      </c>
      <c r="F83" s="1" t="s">
        <v>25</v>
      </c>
      <c r="G83" s="1" t="s">
        <v>32</v>
      </c>
      <c r="H83" s="1" t="s">
        <v>294</v>
      </c>
      <c r="I83" s="1">
        <v>107488</v>
      </c>
      <c r="J83" s="1" t="s">
        <v>34</v>
      </c>
      <c r="K83" s="1" t="s">
        <v>295</v>
      </c>
      <c r="L83" s="1" t="s">
        <v>36</v>
      </c>
      <c r="M83" s="1" t="s">
        <v>1513</v>
      </c>
      <c r="N83" s="1">
        <v>1</v>
      </c>
      <c r="O83" s="1">
        <v>112862.39999999999</v>
      </c>
    </row>
    <row r="84" spans="1:15" x14ac:dyDescent="0.3">
      <c r="A84" s="1" t="s">
        <v>296</v>
      </c>
      <c r="B84" s="1" t="s">
        <v>44</v>
      </c>
      <c r="C84" s="1" t="s">
        <v>45</v>
      </c>
      <c r="D84" s="1" t="s">
        <v>15</v>
      </c>
      <c r="E84" s="1">
        <v>50</v>
      </c>
      <c r="F84" s="1" t="s">
        <v>31</v>
      </c>
      <c r="G84" s="1" t="s">
        <v>17</v>
      </c>
      <c r="H84" s="1" t="s">
        <v>297</v>
      </c>
      <c r="I84" s="1">
        <v>53754</v>
      </c>
      <c r="J84" s="1" t="s">
        <v>34</v>
      </c>
      <c r="K84" s="1" t="s">
        <v>298</v>
      </c>
      <c r="L84" s="1" t="s">
        <v>36</v>
      </c>
      <c r="M84" s="1" t="s">
        <v>1515</v>
      </c>
      <c r="N84" s="1">
        <v>3</v>
      </c>
      <c r="O84" s="1">
        <v>57516.78</v>
      </c>
    </row>
    <row r="85" spans="1:15" x14ac:dyDescent="0.3">
      <c r="A85" s="1" t="s">
        <v>299</v>
      </c>
      <c r="B85" s="1" t="s">
        <v>94</v>
      </c>
      <c r="C85" s="1" t="s">
        <v>130</v>
      </c>
      <c r="D85" s="1" t="s">
        <v>24</v>
      </c>
      <c r="E85" s="1">
        <v>47</v>
      </c>
      <c r="F85" s="1" t="s">
        <v>16</v>
      </c>
      <c r="G85" s="1" t="s">
        <v>32</v>
      </c>
      <c r="H85" s="1" t="s">
        <v>300</v>
      </c>
      <c r="I85" s="1">
        <v>99891</v>
      </c>
      <c r="J85" s="1" t="s">
        <v>34</v>
      </c>
      <c r="K85" s="1" t="s">
        <v>301</v>
      </c>
      <c r="L85" s="1" t="s">
        <v>36</v>
      </c>
      <c r="M85" s="1" t="s">
        <v>1509</v>
      </c>
      <c r="N85" s="1">
        <v>2</v>
      </c>
      <c r="O85" s="1">
        <v>104885.55</v>
      </c>
    </row>
    <row r="86" spans="1:15" x14ac:dyDescent="0.3">
      <c r="A86" s="1" t="s">
        <v>302</v>
      </c>
      <c r="B86" s="1" t="s">
        <v>54</v>
      </c>
      <c r="C86" s="1" t="s">
        <v>90</v>
      </c>
      <c r="D86" s="1" t="s">
        <v>24</v>
      </c>
      <c r="E86" s="1">
        <v>37</v>
      </c>
      <c r="F86" s="1" t="s">
        <v>31</v>
      </c>
      <c r="G86" s="1" t="s">
        <v>26</v>
      </c>
      <c r="H86" s="1" t="s">
        <v>303</v>
      </c>
      <c r="I86" s="1">
        <v>109363</v>
      </c>
      <c r="J86" s="1" t="s">
        <v>60</v>
      </c>
      <c r="K86" s="1" t="s">
        <v>304</v>
      </c>
      <c r="L86" s="1" t="s">
        <v>36</v>
      </c>
      <c r="M86" s="1" t="s">
        <v>1515</v>
      </c>
      <c r="N86" s="1">
        <v>4</v>
      </c>
      <c r="O86" s="1">
        <v>120299.3</v>
      </c>
    </row>
    <row r="87" spans="1:15" x14ac:dyDescent="0.3">
      <c r="A87" s="1" t="s">
        <v>305</v>
      </c>
      <c r="B87" s="1" t="s">
        <v>58</v>
      </c>
      <c r="C87" s="1" t="s">
        <v>78</v>
      </c>
      <c r="D87" s="1" t="s">
        <v>24</v>
      </c>
      <c r="E87" s="1">
        <v>26</v>
      </c>
      <c r="F87" s="1" t="s">
        <v>39</v>
      </c>
      <c r="G87" s="1" t="s">
        <v>40</v>
      </c>
      <c r="H87" s="1" t="s">
        <v>144</v>
      </c>
      <c r="I87" s="1">
        <v>57248</v>
      </c>
      <c r="J87" s="1" t="s">
        <v>19</v>
      </c>
      <c r="K87" s="1" t="s">
        <v>306</v>
      </c>
      <c r="L87" s="1" t="s">
        <v>21</v>
      </c>
      <c r="M87" s="1" t="s">
        <v>1517</v>
      </c>
      <c r="N87" s="1">
        <v>3</v>
      </c>
      <c r="O87" s="1">
        <v>61255.360000000001</v>
      </c>
    </row>
    <row r="88" spans="1:15" x14ac:dyDescent="0.3">
      <c r="A88" s="1" t="s">
        <v>307</v>
      </c>
      <c r="B88" s="1" t="s">
        <v>44</v>
      </c>
      <c r="C88" s="1" t="s">
        <v>95</v>
      </c>
      <c r="D88" s="1" t="s">
        <v>15</v>
      </c>
      <c r="E88" s="1">
        <v>28</v>
      </c>
      <c r="F88" s="1" t="s">
        <v>50</v>
      </c>
      <c r="G88" s="1" t="s">
        <v>108</v>
      </c>
      <c r="H88" s="1" t="s">
        <v>308</v>
      </c>
      <c r="I88" s="1">
        <v>89625</v>
      </c>
      <c r="J88" s="1" t="s">
        <v>60</v>
      </c>
      <c r="K88" s="1" t="s">
        <v>309</v>
      </c>
      <c r="L88" s="1" t="s">
        <v>36</v>
      </c>
      <c r="M88" s="1" t="s">
        <v>1511</v>
      </c>
      <c r="N88" s="1">
        <v>5</v>
      </c>
      <c r="O88" s="1">
        <v>103068.75</v>
      </c>
    </row>
    <row r="89" spans="1:15" x14ac:dyDescent="0.3">
      <c r="A89" s="1" t="s">
        <v>310</v>
      </c>
      <c r="B89" s="1" t="s">
        <v>49</v>
      </c>
      <c r="C89" s="1" t="s">
        <v>45</v>
      </c>
      <c r="D89" s="1" t="s">
        <v>15</v>
      </c>
      <c r="E89" s="1">
        <v>44</v>
      </c>
      <c r="F89" s="1" t="s">
        <v>39</v>
      </c>
      <c r="G89" s="1" t="s">
        <v>17</v>
      </c>
      <c r="H89" s="1" t="s">
        <v>311</v>
      </c>
      <c r="I89" s="1">
        <v>104211</v>
      </c>
      <c r="J89" s="1" t="s">
        <v>65</v>
      </c>
      <c r="K89" s="1" t="s">
        <v>312</v>
      </c>
      <c r="L89" s="1" t="s">
        <v>36</v>
      </c>
      <c r="M89" s="1" t="s">
        <v>1517</v>
      </c>
      <c r="N89" s="1">
        <v>5</v>
      </c>
      <c r="O89" s="1">
        <v>119842.65</v>
      </c>
    </row>
    <row r="90" spans="1:15" x14ac:dyDescent="0.3">
      <c r="A90" s="1" t="s">
        <v>313</v>
      </c>
      <c r="B90" s="1" t="s">
        <v>54</v>
      </c>
      <c r="C90" s="1" t="s">
        <v>90</v>
      </c>
      <c r="D90" s="1" t="s">
        <v>15</v>
      </c>
      <c r="E90" s="1">
        <v>36</v>
      </c>
      <c r="F90" s="1" t="s">
        <v>25</v>
      </c>
      <c r="G90" s="1" t="s">
        <v>32</v>
      </c>
      <c r="H90" s="1" t="s">
        <v>314</v>
      </c>
      <c r="I90" s="1">
        <v>82819</v>
      </c>
      <c r="J90" s="1" t="s">
        <v>34</v>
      </c>
      <c r="K90" s="1" t="s">
        <v>315</v>
      </c>
      <c r="L90" s="1" t="s">
        <v>36</v>
      </c>
      <c r="M90" s="1" t="s">
        <v>1513</v>
      </c>
      <c r="N90" s="1">
        <v>1</v>
      </c>
      <c r="O90" s="1">
        <v>86959.95</v>
      </c>
    </row>
    <row r="91" spans="1:15" x14ac:dyDescent="0.3">
      <c r="A91" s="1" t="s">
        <v>316</v>
      </c>
      <c r="B91" s="1" t="s">
        <v>30</v>
      </c>
      <c r="C91" s="1" t="s">
        <v>90</v>
      </c>
      <c r="D91" s="1" t="s">
        <v>15</v>
      </c>
      <c r="E91" s="1">
        <v>54</v>
      </c>
      <c r="F91" s="1" t="s">
        <v>25</v>
      </c>
      <c r="G91" s="1" t="s">
        <v>32</v>
      </c>
      <c r="H91" s="1" t="s">
        <v>317</v>
      </c>
      <c r="I91" s="1">
        <v>105392</v>
      </c>
      <c r="J91" s="1" t="s">
        <v>80</v>
      </c>
      <c r="K91" s="1" t="s">
        <v>318</v>
      </c>
      <c r="L91" s="1" t="s">
        <v>21</v>
      </c>
      <c r="M91" s="1" t="s">
        <v>1513</v>
      </c>
      <c r="N91" s="1">
        <v>3</v>
      </c>
      <c r="O91" s="1">
        <v>112769.44</v>
      </c>
    </row>
    <row r="92" spans="1:15" x14ac:dyDescent="0.3">
      <c r="A92" s="1" t="s">
        <v>319</v>
      </c>
      <c r="B92" s="1" t="s">
        <v>58</v>
      </c>
      <c r="C92" s="1" t="s">
        <v>23</v>
      </c>
      <c r="D92" s="1" t="s">
        <v>24</v>
      </c>
      <c r="E92" s="1">
        <v>49</v>
      </c>
      <c r="F92" s="1" t="s">
        <v>50</v>
      </c>
      <c r="G92" s="1" t="s">
        <v>17</v>
      </c>
      <c r="H92" s="1" t="s">
        <v>320</v>
      </c>
      <c r="I92" s="1">
        <v>52568</v>
      </c>
      <c r="J92" s="1" t="s">
        <v>34</v>
      </c>
      <c r="K92" s="1" t="s">
        <v>321</v>
      </c>
      <c r="L92" s="1" t="s">
        <v>21</v>
      </c>
      <c r="M92" s="1" t="s">
        <v>1511</v>
      </c>
      <c r="N92" s="1">
        <v>1</v>
      </c>
      <c r="O92" s="1">
        <v>55196.4</v>
      </c>
    </row>
    <row r="93" spans="1:15" x14ac:dyDescent="0.3">
      <c r="A93" s="1" t="s">
        <v>322</v>
      </c>
      <c r="B93" s="1" t="s">
        <v>71</v>
      </c>
      <c r="C93" s="1" t="s">
        <v>90</v>
      </c>
      <c r="D93" s="1" t="s">
        <v>15</v>
      </c>
      <c r="E93" s="1">
        <v>35</v>
      </c>
      <c r="F93" s="1" t="s">
        <v>25</v>
      </c>
      <c r="G93" s="1" t="s">
        <v>17</v>
      </c>
      <c r="H93" s="1" t="s">
        <v>323</v>
      </c>
      <c r="I93" s="1">
        <v>119403</v>
      </c>
      <c r="J93" s="1" t="s">
        <v>60</v>
      </c>
      <c r="K93" s="1" t="s">
        <v>324</v>
      </c>
      <c r="L93" s="1" t="s">
        <v>36</v>
      </c>
      <c r="M93" s="1" t="s">
        <v>1513</v>
      </c>
      <c r="N93" s="1">
        <v>3</v>
      </c>
      <c r="O93" s="1">
        <v>127761.21</v>
      </c>
    </row>
    <row r="94" spans="1:15" x14ac:dyDescent="0.3">
      <c r="A94" s="1" t="s">
        <v>325</v>
      </c>
      <c r="B94" s="1" t="s">
        <v>49</v>
      </c>
      <c r="C94" s="1" t="s">
        <v>78</v>
      </c>
      <c r="D94" s="1" t="s">
        <v>15</v>
      </c>
      <c r="E94" s="1">
        <v>44</v>
      </c>
      <c r="F94" s="1" t="s">
        <v>50</v>
      </c>
      <c r="G94" s="1" t="s">
        <v>32</v>
      </c>
      <c r="H94" s="1" t="s">
        <v>326</v>
      </c>
      <c r="I94" s="1">
        <v>54883</v>
      </c>
      <c r="J94" s="1" t="s">
        <v>34</v>
      </c>
      <c r="K94" s="1" t="s">
        <v>327</v>
      </c>
      <c r="L94" s="1" t="s">
        <v>36</v>
      </c>
      <c r="M94" s="1" t="s">
        <v>1511</v>
      </c>
      <c r="N94" s="1">
        <v>2</v>
      </c>
      <c r="O94" s="1">
        <v>57627.15</v>
      </c>
    </row>
    <row r="95" spans="1:15" x14ac:dyDescent="0.3">
      <c r="A95" s="1" t="s">
        <v>328</v>
      </c>
      <c r="B95" s="1" t="s">
        <v>49</v>
      </c>
      <c r="C95" s="1" t="s">
        <v>78</v>
      </c>
      <c r="D95" s="1" t="s">
        <v>15</v>
      </c>
      <c r="E95" s="1">
        <v>44</v>
      </c>
      <c r="F95" s="1" t="s">
        <v>16</v>
      </c>
      <c r="G95" s="1" t="s">
        <v>32</v>
      </c>
      <c r="H95" s="1" t="s">
        <v>329</v>
      </c>
      <c r="I95" s="1">
        <v>83855</v>
      </c>
      <c r="J95" s="1" t="s">
        <v>34</v>
      </c>
      <c r="K95" s="1" t="s">
        <v>330</v>
      </c>
      <c r="L95" s="1" t="s">
        <v>36</v>
      </c>
      <c r="M95" s="1" t="s">
        <v>1509</v>
      </c>
      <c r="N95" s="1">
        <v>1</v>
      </c>
      <c r="O95" s="1">
        <v>88047.75</v>
      </c>
    </row>
    <row r="96" spans="1:15" x14ac:dyDescent="0.3">
      <c r="A96" s="1" t="s">
        <v>331</v>
      </c>
      <c r="B96" s="1" t="s">
        <v>94</v>
      </c>
      <c r="C96" s="1" t="s">
        <v>63</v>
      </c>
      <c r="D96" s="1" t="s">
        <v>24</v>
      </c>
      <c r="E96" s="1">
        <v>53</v>
      </c>
      <c r="F96" s="1" t="s">
        <v>31</v>
      </c>
      <c r="G96" s="1" t="s">
        <v>40</v>
      </c>
      <c r="H96" s="1" t="s">
        <v>332</v>
      </c>
      <c r="I96" s="1">
        <v>43725</v>
      </c>
      <c r="J96" s="1" t="s">
        <v>65</v>
      </c>
      <c r="K96" s="1" t="s">
        <v>333</v>
      </c>
      <c r="L96" s="1" t="s">
        <v>21</v>
      </c>
      <c r="M96" s="1" t="s">
        <v>1515</v>
      </c>
      <c r="N96" s="1">
        <v>2</v>
      </c>
      <c r="O96" s="1">
        <v>45911.25</v>
      </c>
    </row>
    <row r="97" spans="1:15" x14ac:dyDescent="0.3">
      <c r="A97" s="1" t="s">
        <v>334</v>
      </c>
      <c r="B97" s="1" t="s">
        <v>54</v>
      </c>
      <c r="C97" s="1" t="s">
        <v>45</v>
      </c>
      <c r="D97" s="1" t="s">
        <v>15</v>
      </c>
      <c r="E97" s="1">
        <v>24</v>
      </c>
      <c r="F97" s="1" t="s">
        <v>31</v>
      </c>
      <c r="G97" s="1" t="s">
        <v>40</v>
      </c>
      <c r="H97" s="1" t="s">
        <v>335</v>
      </c>
      <c r="I97" s="1">
        <v>104506</v>
      </c>
      <c r="J97" s="1" t="s">
        <v>65</v>
      </c>
      <c r="K97" s="1" t="s">
        <v>336</v>
      </c>
      <c r="L97" s="1" t="s">
        <v>21</v>
      </c>
      <c r="M97" s="1" t="s">
        <v>1515</v>
      </c>
      <c r="N97" s="1">
        <v>4</v>
      </c>
      <c r="O97" s="1">
        <v>114956.6</v>
      </c>
    </row>
    <row r="98" spans="1:15" x14ac:dyDescent="0.3">
      <c r="A98" s="1" t="s">
        <v>337</v>
      </c>
      <c r="B98" s="1" t="s">
        <v>38</v>
      </c>
      <c r="C98" s="1" t="s">
        <v>90</v>
      </c>
      <c r="D98" s="1" t="s">
        <v>15</v>
      </c>
      <c r="E98" s="1">
        <v>45</v>
      </c>
      <c r="F98" s="1" t="s">
        <v>25</v>
      </c>
      <c r="G98" s="1" t="s">
        <v>40</v>
      </c>
      <c r="H98" s="1" t="s">
        <v>338</v>
      </c>
      <c r="I98" s="1">
        <v>36873</v>
      </c>
      <c r="J98" s="1" t="s">
        <v>65</v>
      </c>
      <c r="K98" s="1" t="s">
        <v>339</v>
      </c>
      <c r="L98" s="1" t="s">
        <v>36</v>
      </c>
      <c r="M98" s="1" t="s">
        <v>1513</v>
      </c>
      <c r="N98" s="1">
        <v>2</v>
      </c>
      <c r="O98" s="1">
        <v>38716.65</v>
      </c>
    </row>
    <row r="99" spans="1:15" x14ac:dyDescent="0.3">
      <c r="A99" s="1" t="s">
        <v>340</v>
      </c>
      <c r="B99" s="1" t="s">
        <v>13</v>
      </c>
      <c r="C99" s="1" t="s">
        <v>90</v>
      </c>
      <c r="D99" s="1" t="s">
        <v>24</v>
      </c>
      <c r="E99" s="1">
        <v>25</v>
      </c>
      <c r="F99" s="1" t="s">
        <v>39</v>
      </c>
      <c r="G99" s="1" t="s">
        <v>40</v>
      </c>
      <c r="H99" s="1" t="s">
        <v>341</v>
      </c>
      <c r="I99" s="1">
        <v>50051</v>
      </c>
      <c r="J99" s="1" t="s">
        <v>19</v>
      </c>
      <c r="K99" s="1" t="s">
        <v>342</v>
      </c>
      <c r="L99" s="1" t="s">
        <v>21</v>
      </c>
      <c r="M99" s="1" t="s">
        <v>1517</v>
      </c>
      <c r="N99" s="1">
        <v>2</v>
      </c>
      <c r="O99" s="1">
        <v>52553.55</v>
      </c>
    </row>
    <row r="100" spans="1:15" x14ac:dyDescent="0.3">
      <c r="A100" s="1" t="s">
        <v>343</v>
      </c>
      <c r="B100" s="1" t="s">
        <v>38</v>
      </c>
      <c r="C100" s="1" t="s">
        <v>78</v>
      </c>
      <c r="D100" s="1" t="s">
        <v>24</v>
      </c>
      <c r="E100" s="1">
        <v>42</v>
      </c>
      <c r="F100" s="1" t="s">
        <v>31</v>
      </c>
      <c r="G100" s="1" t="s">
        <v>40</v>
      </c>
      <c r="H100" s="1" t="s">
        <v>344</v>
      </c>
      <c r="I100" s="1">
        <v>42571</v>
      </c>
      <c r="J100" s="1" t="s">
        <v>34</v>
      </c>
      <c r="K100" s="1" t="s">
        <v>345</v>
      </c>
      <c r="L100" s="1" t="s">
        <v>36</v>
      </c>
      <c r="M100" s="1" t="s">
        <v>1515</v>
      </c>
      <c r="N100" s="1">
        <v>4</v>
      </c>
      <c r="O100" s="1">
        <v>46828.1</v>
      </c>
    </row>
    <row r="101" spans="1:15" x14ac:dyDescent="0.3">
      <c r="A101" s="1" t="s">
        <v>346</v>
      </c>
      <c r="B101" s="1" t="s">
        <v>38</v>
      </c>
      <c r="C101" s="1" t="s">
        <v>23</v>
      </c>
      <c r="D101" s="1" t="s">
        <v>24</v>
      </c>
      <c r="E101" s="1">
        <v>60</v>
      </c>
      <c r="F101" s="1" t="s">
        <v>50</v>
      </c>
      <c r="G101" s="1" t="s">
        <v>17</v>
      </c>
      <c r="H101" s="1" t="s">
        <v>347</v>
      </c>
      <c r="I101" s="1">
        <v>60616</v>
      </c>
      <c r="J101" s="1" t="s">
        <v>80</v>
      </c>
      <c r="K101" s="1" t="s">
        <v>348</v>
      </c>
      <c r="L101" s="1" t="s">
        <v>36</v>
      </c>
      <c r="M101" s="1" t="s">
        <v>1511</v>
      </c>
      <c r="N101" s="1">
        <v>1</v>
      </c>
      <c r="O101" s="1">
        <v>63646.8</v>
      </c>
    </row>
    <row r="102" spans="1:15" x14ac:dyDescent="0.3">
      <c r="A102" s="1" t="s">
        <v>349</v>
      </c>
      <c r="B102" s="1" t="s">
        <v>44</v>
      </c>
      <c r="C102" s="1" t="s">
        <v>95</v>
      </c>
      <c r="D102" s="1" t="s">
        <v>24</v>
      </c>
      <c r="E102" s="1">
        <v>57</v>
      </c>
      <c r="F102" s="1" t="s">
        <v>25</v>
      </c>
      <c r="G102" s="1" t="s">
        <v>32</v>
      </c>
      <c r="H102" s="1" t="s">
        <v>350</v>
      </c>
      <c r="I102" s="1">
        <v>75929</v>
      </c>
      <c r="J102" s="1" t="s">
        <v>19</v>
      </c>
      <c r="K102" s="1" t="s">
        <v>351</v>
      </c>
      <c r="L102" s="1" t="s">
        <v>36</v>
      </c>
      <c r="M102" s="1" t="s">
        <v>1513</v>
      </c>
      <c r="N102" s="1">
        <v>5</v>
      </c>
      <c r="O102" s="1">
        <v>87318.35</v>
      </c>
    </row>
    <row r="103" spans="1:15" x14ac:dyDescent="0.3">
      <c r="A103" s="1" t="s">
        <v>352</v>
      </c>
      <c r="B103" s="1" t="s">
        <v>71</v>
      </c>
      <c r="C103" s="1" t="s">
        <v>83</v>
      </c>
      <c r="D103" s="1" t="s">
        <v>24</v>
      </c>
      <c r="E103" s="1">
        <v>43</v>
      </c>
      <c r="F103" s="1" t="s">
        <v>50</v>
      </c>
      <c r="G103" s="1" t="s">
        <v>108</v>
      </c>
      <c r="H103" s="1" t="s">
        <v>353</v>
      </c>
      <c r="I103" s="1">
        <v>106165</v>
      </c>
      <c r="J103" s="1" t="s">
        <v>80</v>
      </c>
      <c r="K103" s="1" t="s">
        <v>354</v>
      </c>
      <c r="L103" s="1" t="s">
        <v>36</v>
      </c>
      <c r="M103" s="1" t="s">
        <v>1511</v>
      </c>
      <c r="N103" s="1">
        <v>5</v>
      </c>
      <c r="O103" s="1">
        <v>122089.75</v>
      </c>
    </row>
    <row r="104" spans="1:15" x14ac:dyDescent="0.3">
      <c r="A104" s="1" t="s">
        <v>355</v>
      </c>
      <c r="B104" s="1" t="s">
        <v>49</v>
      </c>
      <c r="C104" s="1" t="s">
        <v>23</v>
      </c>
      <c r="D104" s="1" t="s">
        <v>24</v>
      </c>
      <c r="E104" s="1">
        <v>23</v>
      </c>
      <c r="F104" s="1" t="s">
        <v>50</v>
      </c>
      <c r="G104" s="1" t="s">
        <v>26</v>
      </c>
      <c r="H104" s="1" t="s">
        <v>356</v>
      </c>
      <c r="I104" s="1">
        <v>44946</v>
      </c>
      <c r="J104" s="1" t="s">
        <v>60</v>
      </c>
      <c r="K104" s="1" t="s">
        <v>357</v>
      </c>
      <c r="L104" s="1" t="s">
        <v>36</v>
      </c>
      <c r="M104" s="1" t="s">
        <v>1511</v>
      </c>
      <c r="N104" s="1">
        <v>5</v>
      </c>
      <c r="O104" s="1">
        <v>51687.9</v>
      </c>
    </row>
    <row r="105" spans="1:15" x14ac:dyDescent="0.3">
      <c r="A105" s="1" t="s">
        <v>358</v>
      </c>
      <c r="B105" s="1" t="s">
        <v>30</v>
      </c>
      <c r="C105" s="1" t="s">
        <v>90</v>
      </c>
      <c r="D105" s="1" t="s">
        <v>15</v>
      </c>
      <c r="E105" s="1">
        <v>32</v>
      </c>
      <c r="F105" s="1" t="s">
        <v>16</v>
      </c>
      <c r="G105" s="1" t="s">
        <v>26</v>
      </c>
      <c r="H105" s="1" t="s">
        <v>359</v>
      </c>
      <c r="I105" s="1">
        <v>64572</v>
      </c>
      <c r="J105" s="1" t="s">
        <v>80</v>
      </c>
      <c r="K105" s="1" t="s">
        <v>360</v>
      </c>
      <c r="L105" s="1" t="s">
        <v>21</v>
      </c>
      <c r="M105" s="1" t="s">
        <v>1509</v>
      </c>
      <c r="N105" s="1">
        <v>3</v>
      </c>
      <c r="O105" s="1">
        <v>69092.040000000008</v>
      </c>
    </row>
    <row r="106" spans="1:15" x14ac:dyDescent="0.3">
      <c r="A106" s="1" t="s">
        <v>361</v>
      </c>
      <c r="B106" s="1" t="s">
        <v>94</v>
      </c>
      <c r="C106" s="1" t="s">
        <v>14</v>
      </c>
      <c r="D106" s="1" t="s">
        <v>24</v>
      </c>
      <c r="E106" s="1">
        <v>56</v>
      </c>
      <c r="F106" s="1" t="s">
        <v>16</v>
      </c>
      <c r="G106" s="1" t="s">
        <v>40</v>
      </c>
      <c r="H106" s="1" t="s">
        <v>362</v>
      </c>
      <c r="I106" s="1">
        <v>74825</v>
      </c>
      <c r="J106" s="1" t="s">
        <v>80</v>
      </c>
      <c r="K106" s="1" t="s">
        <v>363</v>
      </c>
      <c r="L106" s="1" t="s">
        <v>21</v>
      </c>
      <c r="M106" s="1" t="s">
        <v>1509</v>
      </c>
      <c r="N106" s="1">
        <v>3</v>
      </c>
      <c r="O106" s="1">
        <v>80062.75</v>
      </c>
    </row>
    <row r="107" spans="1:15" x14ac:dyDescent="0.3">
      <c r="A107" s="1" t="s">
        <v>364</v>
      </c>
      <c r="B107" s="1" t="s">
        <v>143</v>
      </c>
      <c r="C107" s="1" t="s">
        <v>45</v>
      </c>
      <c r="D107" s="1" t="s">
        <v>24</v>
      </c>
      <c r="E107" s="1">
        <v>27</v>
      </c>
      <c r="F107" s="1" t="s">
        <v>50</v>
      </c>
      <c r="G107" s="1" t="s">
        <v>17</v>
      </c>
      <c r="H107" s="1" t="s">
        <v>365</v>
      </c>
      <c r="I107" s="1">
        <v>52495</v>
      </c>
      <c r="J107" s="1" t="s">
        <v>65</v>
      </c>
      <c r="K107" s="1" t="s">
        <v>366</v>
      </c>
      <c r="L107" s="1" t="s">
        <v>21</v>
      </c>
      <c r="M107" s="1" t="s">
        <v>1511</v>
      </c>
      <c r="N107" s="1">
        <v>5</v>
      </c>
      <c r="O107" s="1">
        <v>60369.25</v>
      </c>
    </row>
    <row r="108" spans="1:15" x14ac:dyDescent="0.3">
      <c r="A108" s="1" t="s">
        <v>367</v>
      </c>
      <c r="B108" s="1" t="s">
        <v>143</v>
      </c>
      <c r="C108" s="1" t="s">
        <v>63</v>
      </c>
      <c r="D108" s="1" t="s">
        <v>24</v>
      </c>
      <c r="E108" s="1">
        <v>27</v>
      </c>
      <c r="F108" s="1" t="s">
        <v>31</v>
      </c>
      <c r="G108" s="1" t="s">
        <v>17</v>
      </c>
      <c r="H108" s="1" t="s">
        <v>368</v>
      </c>
      <c r="I108" s="1">
        <v>90958</v>
      </c>
      <c r="J108" s="1" t="s">
        <v>19</v>
      </c>
      <c r="K108" s="1" t="s">
        <v>369</v>
      </c>
      <c r="L108" s="1" t="s">
        <v>36</v>
      </c>
      <c r="M108" s="1" t="s">
        <v>1515</v>
      </c>
      <c r="N108" s="1">
        <v>1</v>
      </c>
      <c r="O108" s="1">
        <v>95505.9</v>
      </c>
    </row>
    <row r="109" spans="1:15" x14ac:dyDescent="0.3">
      <c r="A109" s="1" t="s">
        <v>370</v>
      </c>
      <c r="B109" s="1" t="s">
        <v>143</v>
      </c>
      <c r="C109" s="1" t="s">
        <v>83</v>
      </c>
      <c r="D109" s="1" t="s">
        <v>15</v>
      </c>
      <c r="E109" s="1">
        <v>58</v>
      </c>
      <c r="F109" s="1" t="s">
        <v>39</v>
      </c>
      <c r="G109" s="1" t="s">
        <v>40</v>
      </c>
      <c r="H109" s="1" t="s">
        <v>371</v>
      </c>
      <c r="I109" s="1">
        <v>51096</v>
      </c>
      <c r="J109" s="1" t="s">
        <v>19</v>
      </c>
      <c r="K109" s="1" t="s">
        <v>372</v>
      </c>
      <c r="L109" s="1" t="s">
        <v>36</v>
      </c>
      <c r="M109" s="1" t="s">
        <v>1517</v>
      </c>
      <c r="N109" s="1">
        <v>1</v>
      </c>
      <c r="O109" s="1">
        <v>53650.8</v>
      </c>
    </row>
    <row r="110" spans="1:15" x14ac:dyDescent="0.3">
      <c r="A110" s="1" t="s">
        <v>373</v>
      </c>
      <c r="B110" s="1" t="s">
        <v>58</v>
      </c>
      <c r="C110" s="1" t="s">
        <v>95</v>
      </c>
      <c r="D110" s="1" t="s">
        <v>15</v>
      </c>
      <c r="E110" s="1">
        <v>58</v>
      </c>
      <c r="F110" s="1" t="s">
        <v>50</v>
      </c>
      <c r="G110" s="1" t="s">
        <v>108</v>
      </c>
      <c r="H110" s="1" t="s">
        <v>374</v>
      </c>
      <c r="I110" s="1">
        <v>90458</v>
      </c>
      <c r="J110" s="1" t="s">
        <v>19</v>
      </c>
      <c r="K110" s="1" t="s">
        <v>375</v>
      </c>
      <c r="L110" s="1" t="s">
        <v>21</v>
      </c>
      <c r="M110" s="1" t="s">
        <v>1511</v>
      </c>
      <c r="N110" s="1">
        <v>3</v>
      </c>
      <c r="O110" s="1">
        <v>96790.06</v>
      </c>
    </row>
    <row r="111" spans="1:15" x14ac:dyDescent="0.3">
      <c r="A111" s="1" t="s">
        <v>376</v>
      </c>
      <c r="B111" s="1" t="s">
        <v>143</v>
      </c>
      <c r="C111" s="1" t="s">
        <v>130</v>
      </c>
      <c r="D111" s="1" t="s">
        <v>24</v>
      </c>
      <c r="E111" s="1">
        <v>39</v>
      </c>
      <c r="F111" s="1" t="s">
        <v>31</v>
      </c>
      <c r="G111" s="1" t="s">
        <v>17</v>
      </c>
      <c r="H111" s="1" t="s">
        <v>377</v>
      </c>
      <c r="I111" s="1">
        <v>67338</v>
      </c>
      <c r="J111" s="1" t="s">
        <v>34</v>
      </c>
      <c r="K111" s="1" t="s">
        <v>378</v>
      </c>
      <c r="L111" s="1" t="s">
        <v>36</v>
      </c>
      <c r="M111" s="1" t="s">
        <v>1515</v>
      </c>
      <c r="N111" s="1">
        <v>4</v>
      </c>
      <c r="O111" s="1">
        <v>74071.8</v>
      </c>
    </row>
    <row r="112" spans="1:15" x14ac:dyDescent="0.3">
      <c r="A112" s="1" t="s">
        <v>379</v>
      </c>
      <c r="B112" s="1" t="s">
        <v>13</v>
      </c>
      <c r="C112" s="1" t="s">
        <v>14</v>
      </c>
      <c r="D112" s="1" t="s">
        <v>15</v>
      </c>
      <c r="E112" s="1">
        <v>40</v>
      </c>
      <c r="F112" s="1" t="s">
        <v>25</v>
      </c>
      <c r="G112" s="1" t="s">
        <v>40</v>
      </c>
      <c r="H112" s="1" t="s">
        <v>380</v>
      </c>
      <c r="I112" s="1">
        <v>106100</v>
      </c>
      <c r="J112" s="1" t="s">
        <v>34</v>
      </c>
      <c r="K112" s="1" t="s">
        <v>381</v>
      </c>
      <c r="L112" s="1" t="s">
        <v>36</v>
      </c>
      <c r="M112" s="1" t="s">
        <v>1513</v>
      </c>
      <c r="N112" s="1">
        <v>5</v>
      </c>
      <c r="O112" s="1">
        <v>122015</v>
      </c>
    </row>
    <row r="113" spans="1:15" x14ac:dyDescent="0.3">
      <c r="A113" s="1" t="s">
        <v>382</v>
      </c>
      <c r="B113" s="1" t="s">
        <v>13</v>
      </c>
      <c r="C113" s="1" t="s">
        <v>78</v>
      </c>
      <c r="D113" s="1" t="s">
        <v>24</v>
      </c>
      <c r="E113" s="1">
        <v>45</v>
      </c>
      <c r="F113" s="1" t="s">
        <v>16</v>
      </c>
      <c r="G113" s="1" t="s">
        <v>17</v>
      </c>
      <c r="H113" s="1" t="s">
        <v>383</v>
      </c>
      <c r="I113" s="1">
        <v>62840</v>
      </c>
      <c r="J113" s="1" t="s">
        <v>60</v>
      </c>
      <c r="K113" s="1" t="s">
        <v>384</v>
      </c>
      <c r="L113" s="1" t="s">
        <v>36</v>
      </c>
      <c r="M113" s="1" t="s">
        <v>1509</v>
      </c>
      <c r="N113" s="1">
        <v>2</v>
      </c>
      <c r="O113" s="1">
        <v>65982</v>
      </c>
    </row>
    <row r="114" spans="1:15" x14ac:dyDescent="0.3">
      <c r="A114" s="1" t="s">
        <v>385</v>
      </c>
      <c r="B114" s="1" t="s">
        <v>71</v>
      </c>
      <c r="C114" s="1" t="s">
        <v>130</v>
      </c>
      <c r="D114" s="1" t="s">
        <v>24</v>
      </c>
      <c r="E114" s="1">
        <v>48</v>
      </c>
      <c r="F114" s="1" t="s">
        <v>16</v>
      </c>
      <c r="G114" s="1" t="s">
        <v>32</v>
      </c>
      <c r="H114" s="1" t="s">
        <v>386</v>
      </c>
      <c r="I114" s="1">
        <v>69569</v>
      </c>
      <c r="J114" s="1" t="s">
        <v>34</v>
      </c>
      <c r="K114" s="1" t="s">
        <v>387</v>
      </c>
      <c r="L114" s="1" t="s">
        <v>36</v>
      </c>
      <c r="M114" s="1" t="s">
        <v>1509</v>
      </c>
      <c r="N114" s="1">
        <v>5</v>
      </c>
      <c r="O114" s="1">
        <v>80004.350000000006</v>
      </c>
    </row>
    <row r="115" spans="1:15" x14ac:dyDescent="0.3">
      <c r="A115" s="1" t="s">
        <v>388</v>
      </c>
      <c r="B115" s="1" t="s">
        <v>38</v>
      </c>
      <c r="C115" s="1" t="s">
        <v>95</v>
      </c>
      <c r="D115" s="1" t="s">
        <v>15</v>
      </c>
      <c r="E115" s="1">
        <v>23</v>
      </c>
      <c r="F115" s="1" t="s">
        <v>31</v>
      </c>
      <c r="G115" s="1" t="s">
        <v>17</v>
      </c>
      <c r="H115" s="1" t="s">
        <v>389</v>
      </c>
      <c r="I115" s="1">
        <v>109099</v>
      </c>
      <c r="J115" s="1" t="s">
        <v>80</v>
      </c>
      <c r="K115" s="1" t="s">
        <v>390</v>
      </c>
      <c r="L115" s="1" t="s">
        <v>21</v>
      </c>
      <c r="M115" s="1" t="s">
        <v>1515</v>
      </c>
      <c r="N115" s="1">
        <v>3</v>
      </c>
      <c r="O115" s="1">
        <v>116735.93</v>
      </c>
    </row>
    <row r="116" spans="1:15" x14ac:dyDescent="0.3">
      <c r="A116" s="1" t="s">
        <v>391</v>
      </c>
      <c r="B116" s="1" t="s">
        <v>54</v>
      </c>
      <c r="C116" s="1" t="s">
        <v>23</v>
      </c>
      <c r="D116" s="1" t="s">
        <v>15</v>
      </c>
      <c r="E116" s="1">
        <v>30</v>
      </c>
      <c r="F116" s="1" t="s">
        <v>25</v>
      </c>
      <c r="G116" s="1" t="s">
        <v>40</v>
      </c>
      <c r="H116" s="1" t="s">
        <v>392</v>
      </c>
      <c r="I116" s="1">
        <v>74368</v>
      </c>
      <c r="J116" s="1" t="s">
        <v>60</v>
      </c>
      <c r="K116" s="1" t="s">
        <v>393</v>
      </c>
      <c r="L116" s="1" t="s">
        <v>36</v>
      </c>
      <c r="M116" s="1" t="s">
        <v>1513</v>
      </c>
      <c r="N116" s="1">
        <v>1</v>
      </c>
      <c r="O116" s="1">
        <v>78086.399999999994</v>
      </c>
    </row>
    <row r="117" spans="1:15" x14ac:dyDescent="0.3">
      <c r="A117" s="1" t="s">
        <v>394</v>
      </c>
      <c r="B117" s="1" t="s">
        <v>30</v>
      </c>
      <c r="C117" s="1" t="s">
        <v>130</v>
      </c>
      <c r="D117" s="1" t="s">
        <v>24</v>
      </c>
      <c r="E117" s="1">
        <v>58</v>
      </c>
      <c r="F117" s="1" t="s">
        <v>39</v>
      </c>
      <c r="G117" s="1" t="s">
        <v>32</v>
      </c>
      <c r="H117" s="1" t="s">
        <v>395</v>
      </c>
      <c r="I117" s="1">
        <v>111621</v>
      </c>
      <c r="J117" s="1" t="s">
        <v>60</v>
      </c>
      <c r="K117" s="1" t="s">
        <v>396</v>
      </c>
      <c r="L117" s="1" t="s">
        <v>21</v>
      </c>
      <c r="M117" s="1" t="s">
        <v>1517</v>
      </c>
      <c r="N117" s="1">
        <v>5</v>
      </c>
      <c r="O117" s="1">
        <v>128364.15</v>
      </c>
    </row>
    <row r="118" spans="1:15" x14ac:dyDescent="0.3">
      <c r="A118" s="1" t="s">
        <v>397</v>
      </c>
      <c r="B118" s="1" t="s">
        <v>143</v>
      </c>
      <c r="C118" s="1" t="s">
        <v>83</v>
      </c>
      <c r="D118" s="1" t="s">
        <v>15</v>
      </c>
      <c r="E118" s="1">
        <v>32</v>
      </c>
      <c r="F118" s="1" t="s">
        <v>50</v>
      </c>
      <c r="G118" s="1" t="s">
        <v>32</v>
      </c>
      <c r="H118" s="1" t="s">
        <v>338</v>
      </c>
      <c r="I118" s="1">
        <v>82446</v>
      </c>
      <c r="J118" s="1" t="s">
        <v>65</v>
      </c>
      <c r="K118" s="1" t="s">
        <v>398</v>
      </c>
      <c r="L118" s="1" t="s">
        <v>21</v>
      </c>
      <c r="M118" s="1" t="s">
        <v>1511</v>
      </c>
      <c r="N118" s="1">
        <v>1</v>
      </c>
      <c r="O118" s="1">
        <v>86568.3</v>
      </c>
    </row>
    <row r="119" spans="1:15" x14ac:dyDescent="0.3">
      <c r="A119" s="1" t="s">
        <v>399</v>
      </c>
      <c r="B119" s="1" t="s">
        <v>143</v>
      </c>
      <c r="C119" s="1" t="s">
        <v>78</v>
      </c>
      <c r="D119" s="1" t="s">
        <v>24</v>
      </c>
      <c r="E119" s="1">
        <v>24</v>
      </c>
      <c r="F119" s="1" t="s">
        <v>31</v>
      </c>
      <c r="G119" s="1" t="s">
        <v>17</v>
      </c>
      <c r="H119" s="1" t="s">
        <v>400</v>
      </c>
      <c r="I119" s="1">
        <v>99200</v>
      </c>
      <c r="J119" s="1" t="s">
        <v>19</v>
      </c>
      <c r="K119" s="1" t="s">
        <v>401</v>
      </c>
      <c r="L119" s="1" t="s">
        <v>36</v>
      </c>
      <c r="M119" s="1" t="s">
        <v>1515</v>
      </c>
      <c r="N119" s="1">
        <v>5</v>
      </c>
      <c r="O119" s="1">
        <v>114080</v>
      </c>
    </row>
    <row r="120" spans="1:15" x14ac:dyDescent="0.3">
      <c r="A120" s="1" t="s">
        <v>402</v>
      </c>
      <c r="B120" s="1" t="s">
        <v>44</v>
      </c>
      <c r="C120" s="1" t="s">
        <v>95</v>
      </c>
      <c r="D120" s="1" t="s">
        <v>24</v>
      </c>
      <c r="E120" s="1">
        <v>36</v>
      </c>
      <c r="F120" s="1" t="s">
        <v>50</v>
      </c>
      <c r="G120" s="1" t="s">
        <v>26</v>
      </c>
      <c r="H120" s="1" t="s">
        <v>403</v>
      </c>
      <c r="I120" s="1">
        <v>56294</v>
      </c>
      <c r="J120" s="1" t="s">
        <v>60</v>
      </c>
      <c r="K120" s="1" t="s">
        <v>404</v>
      </c>
      <c r="L120" s="1" t="s">
        <v>36</v>
      </c>
      <c r="M120" s="1" t="s">
        <v>1511</v>
      </c>
      <c r="N120" s="1">
        <v>2</v>
      </c>
      <c r="O120" s="1">
        <v>59108.7</v>
      </c>
    </row>
    <row r="121" spans="1:15" x14ac:dyDescent="0.3">
      <c r="A121" s="1" t="s">
        <v>405</v>
      </c>
      <c r="B121" s="1" t="s">
        <v>44</v>
      </c>
      <c r="C121" s="1" t="s">
        <v>165</v>
      </c>
      <c r="D121" s="1" t="s">
        <v>15</v>
      </c>
      <c r="E121" s="1">
        <v>32</v>
      </c>
      <c r="F121" s="1" t="s">
        <v>50</v>
      </c>
      <c r="G121" s="1" t="s">
        <v>40</v>
      </c>
      <c r="H121" s="1" t="s">
        <v>406</v>
      </c>
      <c r="I121" s="1">
        <v>112759</v>
      </c>
      <c r="J121" s="1" t="s">
        <v>80</v>
      </c>
      <c r="K121" s="1" t="s">
        <v>407</v>
      </c>
      <c r="L121" s="1" t="s">
        <v>36</v>
      </c>
      <c r="M121" s="1" t="s">
        <v>1511</v>
      </c>
      <c r="N121" s="1">
        <v>2</v>
      </c>
      <c r="O121" s="1">
        <v>118396.95</v>
      </c>
    </row>
    <row r="122" spans="1:15" x14ac:dyDescent="0.3">
      <c r="A122" s="1" t="s">
        <v>408</v>
      </c>
      <c r="B122" s="1" t="s">
        <v>94</v>
      </c>
      <c r="C122" s="1" t="s">
        <v>45</v>
      </c>
      <c r="D122" s="1" t="s">
        <v>15</v>
      </c>
      <c r="E122" s="1">
        <v>47</v>
      </c>
      <c r="F122" s="1" t="s">
        <v>25</v>
      </c>
      <c r="G122" s="1" t="s">
        <v>40</v>
      </c>
      <c r="H122" s="1" t="s">
        <v>409</v>
      </c>
      <c r="I122" s="1">
        <v>70479</v>
      </c>
      <c r="J122" s="1" t="s">
        <v>34</v>
      </c>
      <c r="K122" s="1" t="s">
        <v>410</v>
      </c>
      <c r="L122" s="1" t="s">
        <v>21</v>
      </c>
      <c r="M122" s="1" t="s">
        <v>1513</v>
      </c>
      <c r="N122" s="1">
        <v>1</v>
      </c>
      <c r="O122" s="1">
        <v>74002.95</v>
      </c>
    </row>
    <row r="123" spans="1:15" x14ac:dyDescent="0.3">
      <c r="A123" s="1" t="s">
        <v>411</v>
      </c>
      <c r="B123" s="1" t="s">
        <v>44</v>
      </c>
      <c r="C123" s="1" t="s">
        <v>63</v>
      </c>
      <c r="D123" s="1" t="s">
        <v>15</v>
      </c>
      <c r="E123" s="1">
        <v>42</v>
      </c>
      <c r="F123" s="1" t="s">
        <v>16</v>
      </c>
      <c r="G123" s="1" t="s">
        <v>26</v>
      </c>
      <c r="H123" s="1" t="s">
        <v>412</v>
      </c>
      <c r="I123" s="1">
        <v>52630</v>
      </c>
      <c r="J123" s="1" t="s">
        <v>60</v>
      </c>
      <c r="K123" s="1" t="s">
        <v>413</v>
      </c>
      <c r="L123" s="1" t="s">
        <v>21</v>
      </c>
      <c r="M123" s="1" t="s">
        <v>1509</v>
      </c>
      <c r="N123" s="1">
        <v>5</v>
      </c>
      <c r="O123" s="1">
        <v>60524.5</v>
      </c>
    </row>
    <row r="124" spans="1:15" x14ac:dyDescent="0.3">
      <c r="A124" s="1" t="s">
        <v>414</v>
      </c>
      <c r="B124" s="1" t="s">
        <v>44</v>
      </c>
      <c r="C124" s="1" t="s">
        <v>130</v>
      </c>
      <c r="D124" s="1" t="s">
        <v>24</v>
      </c>
      <c r="E124" s="1">
        <v>27</v>
      </c>
      <c r="F124" s="1" t="s">
        <v>31</v>
      </c>
      <c r="G124" s="1" t="s">
        <v>32</v>
      </c>
      <c r="H124" s="1" t="s">
        <v>415</v>
      </c>
      <c r="I124" s="1">
        <v>78119</v>
      </c>
      <c r="J124" s="1" t="s">
        <v>60</v>
      </c>
      <c r="K124" s="1" t="s">
        <v>416</v>
      </c>
      <c r="L124" s="1" t="s">
        <v>21</v>
      </c>
      <c r="M124" s="1" t="s">
        <v>1515</v>
      </c>
      <c r="N124" s="1">
        <v>4</v>
      </c>
      <c r="O124" s="1">
        <v>85930.9</v>
      </c>
    </row>
    <row r="125" spans="1:15" x14ac:dyDescent="0.3">
      <c r="A125" s="1" t="s">
        <v>417</v>
      </c>
      <c r="B125" s="1" t="s">
        <v>44</v>
      </c>
      <c r="C125" s="1" t="s">
        <v>78</v>
      </c>
      <c r="D125" s="1" t="s">
        <v>15</v>
      </c>
      <c r="E125" s="1">
        <v>41</v>
      </c>
      <c r="F125" s="1" t="s">
        <v>25</v>
      </c>
      <c r="G125" s="1" t="s">
        <v>32</v>
      </c>
      <c r="H125" s="1" t="s">
        <v>418</v>
      </c>
      <c r="I125" s="1">
        <v>77100</v>
      </c>
      <c r="J125" s="1" t="s">
        <v>19</v>
      </c>
      <c r="K125" s="1" t="s">
        <v>419</v>
      </c>
      <c r="L125" s="1" t="s">
        <v>21</v>
      </c>
      <c r="M125" s="1" t="s">
        <v>1513</v>
      </c>
      <c r="N125" s="1">
        <v>4</v>
      </c>
      <c r="O125" s="1">
        <v>84810</v>
      </c>
    </row>
    <row r="126" spans="1:15" x14ac:dyDescent="0.3">
      <c r="A126" s="1" t="s">
        <v>420</v>
      </c>
      <c r="B126" s="1" t="s">
        <v>38</v>
      </c>
      <c r="C126" s="1" t="s">
        <v>63</v>
      </c>
      <c r="D126" s="1" t="s">
        <v>15</v>
      </c>
      <c r="E126" s="1">
        <v>58</v>
      </c>
      <c r="F126" s="1" t="s">
        <v>31</v>
      </c>
      <c r="G126" s="1" t="s">
        <v>40</v>
      </c>
      <c r="H126" s="1" t="s">
        <v>421</v>
      </c>
      <c r="I126" s="1">
        <v>48296</v>
      </c>
      <c r="J126" s="1" t="s">
        <v>65</v>
      </c>
      <c r="K126" s="1" t="s">
        <v>422</v>
      </c>
      <c r="L126" s="1" t="s">
        <v>36</v>
      </c>
      <c r="M126" s="1" t="s">
        <v>1515</v>
      </c>
      <c r="N126" s="1">
        <v>4</v>
      </c>
      <c r="O126" s="1">
        <v>53125.599999999999</v>
      </c>
    </row>
    <row r="127" spans="1:15" x14ac:dyDescent="0.3">
      <c r="A127" s="1" t="s">
        <v>423</v>
      </c>
      <c r="B127" s="1" t="s">
        <v>54</v>
      </c>
      <c r="C127" s="1" t="s">
        <v>165</v>
      </c>
      <c r="D127" s="1" t="s">
        <v>24</v>
      </c>
      <c r="E127" s="1">
        <v>46</v>
      </c>
      <c r="F127" s="1" t="s">
        <v>50</v>
      </c>
      <c r="G127" s="1" t="s">
        <v>26</v>
      </c>
      <c r="H127" s="1" t="s">
        <v>424</v>
      </c>
      <c r="I127" s="1">
        <v>69026</v>
      </c>
      <c r="J127" s="1" t="s">
        <v>34</v>
      </c>
      <c r="K127" s="1" t="s">
        <v>425</v>
      </c>
      <c r="L127" s="1" t="s">
        <v>21</v>
      </c>
      <c r="M127" s="1" t="s">
        <v>1511</v>
      </c>
      <c r="N127" s="1">
        <v>2</v>
      </c>
      <c r="O127" s="1">
        <v>72477.3</v>
      </c>
    </row>
    <row r="128" spans="1:15" x14ac:dyDescent="0.3">
      <c r="A128" s="1" t="s">
        <v>426</v>
      </c>
      <c r="B128" s="1" t="s">
        <v>58</v>
      </c>
      <c r="C128" s="1" t="s">
        <v>23</v>
      </c>
      <c r="D128" s="1" t="s">
        <v>15</v>
      </c>
      <c r="E128" s="1">
        <v>29</v>
      </c>
      <c r="F128" s="1" t="s">
        <v>25</v>
      </c>
      <c r="G128" s="1" t="s">
        <v>26</v>
      </c>
      <c r="H128" s="1" t="s">
        <v>427</v>
      </c>
      <c r="I128" s="1">
        <v>97080</v>
      </c>
      <c r="J128" s="1" t="s">
        <v>80</v>
      </c>
      <c r="K128" s="1" t="s">
        <v>428</v>
      </c>
      <c r="L128" s="1" t="s">
        <v>21</v>
      </c>
      <c r="M128" s="1" t="s">
        <v>1513</v>
      </c>
      <c r="N128" s="1">
        <v>5</v>
      </c>
      <c r="O128" s="1">
        <v>111642</v>
      </c>
    </row>
    <row r="129" spans="1:15" x14ac:dyDescent="0.3">
      <c r="A129" s="1" t="s">
        <v>429</v>
      </c>
      <c r="B129" s="1" t="s">
        <v>71</v>
      </c>
      <c r="C129" s="1" t="s">
        <v>130</v>
      </c>
      <c r="D129" s="1" t="s">
        <v>24</v>
      </c>
      <c r="E129" s="1">
        <v>26</v>
      </c>
      <c r="F129" s="1" t="s">
        <v>25</v>
      </c>
      <c r="G129" s="1" t="s">
        <v>32</v>
      </c>
      <c r="H129" s="1" t="s">
        <v>430</v>
      </c>
      <c r="I129" s="1">
        <v>71436</v>
      </c>
      <c r="J129" s="1" t="s">
        <v>34</v>
      </c>
      <c r="K129" s="1" t="s">
        <v>431</v>
      </c>
      <c r="L129" s="1" t="s">
        <v>36</v>
      </c>
      <c r="M129" s="1" t="s">
        <v>1513</v>
      </c>
      <c r="N129" s="1">
        <v>1</v>
      </c>
      <c r="O129" s="1">
        <v>75007.8</v>
      </c>
    </row>
    <row r="130" spans="1:15" x14ac:dyDescent="0.3">
      <c r="A130" s="1" t="s">
        <v>432</v>
      </c>
      <c r="B130" s="1" t="s">
        <v>94</v>
      </c>
      <c r="C130" s="1" t="s">
        <v>63</v>
      </c>
      <c r="D130" s="1" t="s">
        <v>24</v>
      </c>
      <c r="E130" s="1">
        <v>44</v>
      </c>
      <c r="F130" s="1" t="s">
        <v>16</v>
      </c>
      <c r="G130" s="1" t="s">
        <v>32</v>
      </c>
      <c r="H130" s="1" t="s">
        <v>433</v>
      </c>
      <c r="I130" s="1">
        <v>87790</v>
      </c>
      <c r="J130" s="1" t="s">
        <v>80</v>
      </c>
      <c r="K130" s="1" t="s">
        <v>434</v>
      </c>
      <c r="L130" s="1" t="s">
        <v>21</v>
      </c>
      <c r="M130" s="1" t="s">
        <v>1509</v>
      </c>
      <c r="N130" s="1">
        <v>5</v>
      </c>
      <c r="O130" s="1">
        <v>100958.5</v>
      </c>
    </row>
    <row r="131" spans="1:15" x14ac:dyDescent="0.3">
      <c r="A131" s="1" t="s">
        <v>435</v>
      </c>
      <c r="B131" s="1" t="s">
        <v>54</v>
      </c>
      <c r="C131" s="1" t="s">
        <v>63</v>
      </c>
      <c r="D131" s="1" t="s">
        <v>24</v>
      </c>
      <c r="E131" s="1">
        <v>59</v>
      </c>
      <c r="F131" s="1" t="s">
        <v>16</v>
      </c>
      <c r="G131" s="1" t="s">
        <v>108</v>
      </c>
      <c r="H131" s="1" t="s">
        <v>436</v>
      </c>
      <c r="I131" s="1">
        <v>119530</v>
      </c>
      <c r="J131" s="1" t="s">
        <v>80</v>
      </c>
      <c r="K131" s="1" t="s">
        <v>437</v>
      </c>
      <c r="L131" s="1" t="s">
        <v>21</v>
      </c>
      <c r="M131" s="1" t="s">
        <v>1509</v>
      </c>
      <c r="N131" s="1">
        <v>1</v>
      </c>
      <c r="O131" s="1">
        <v>125506.5</v>
      </c>
    </row>
    <row r="132" spans="1:15" x14ac:dyDescent="0.3">
      <c r="A132" s="1" t="s">
        <v>438</v>
      </c>
      <c r="B132" s="1" t="s">
        <v>143</v>
      </c>
      <c r="C132" s="1" t="s">
        <v>14</v>
      </c>
      <c r="D132" s="1" t="s">
        <v>24</v>
      </c>
      <c r="E132" s="1">
        <v>37</v>
      </c>
      <c r="F132" s="1" t="s">
        <v>31</v>
      </c>
      <c r="G132" s="1" t="s">
        <v>108</v>
      </c>
      <c r="H132" s="1" t="s">
        <v>439</v>
      </c>
      <c r="I132" s="1">
        <v>100623</v>
      </c>
      <c r="J132" s="1" t="s">
        <v>34</v>
      </c>
      <c r="K132" s="1" t="s">
        <v>440</v>
      </c>
      <c r="L132" s="1" t="s">
        <v>21</v>
      </c>
      <c r="M132" s="1" t="s">
        <v>1515</v>
      </c>
      <c r="N132" s="1">
        <v>5</v>
      </c>
      <c r="O132" s="1">
        <v>115716.45</v>
      </c>
    </row>
    <row r="133" spans="1:15" x14ac:dyDescent="0.3">
      <c r="A133" s="1" t="s">
        <v>441</v>
      </c>
      <c r="B133" s="1" t="s">
        <v>44</v>
      </c>
      <c r="C133" s="1" t="s">
        <v>45</v>
      </c>
      <c r="D133" s="1" t="s">
        <v>24</v>
      </c>
      <c r="E133" s="1">
        <v>60</v>
      </c>
      <c r="F133" s="1" t="s">
        <v>31</v>
      </c>
      <c r="G133" s="1" t="s">
        <v>108</v>
      </c>
      <c r="H133" s="1" t="s">
        <v>442</v>
      </c>
      <c r="I133" s="1">
        <v>40317</v>
      </c>
      <c r="J133" s="1" t="s">
        <v>80</v>
      </c>
      <c r="K133" s="1" t="s">
        <v>443</v>
      </c>
      <c r="L133" s="1" t="s">
        <v>21</v>
      </c>
      <c r="M133" s="1" t="s">
        <v>1515</v>
      </c>
      <c r="N133" s="1">
        <v>5</v>
      </c>
      <c r="O133" s="1">
        <v>46364.55</v>
      </c>
    </row>
    <row r="134" spans="1:15" x14ac:dyDescent="0.3">
      <c r="A134" s="1" t="s">
        <v>444</v>
      </c>
      <c r="B134" s="1" t="s">
        <v>71</v>
      </c>
      <c r="C134" s="1" t="s">
        <v>165</v>
      </c>
      <c r="D134" s="1" t="s">
        <v>24</v>
      </c>
      <c r="E134" s="1">
        <v>51</v>
      </c>
      <c r="F134" s="1" t="s">
        <v>25</v>
      </c>
      <c r="G134" s="1" t="s">
        <v>108</v>
      </c>
      <c r="H134" s="1" t="s">
        <v>445</v>
      </c>
      <c r="I134" s="1">
        <v>87915</v>
      </c>
      <c r="J134" s="1" t="s">
        <v>60</v>
      </c>
      <c r="K134" s="1" t="s">
        <v>446</v>
      </c>
      <c r="L134" s="1" t="s">
        <v>21</v>
      </c>
      <c r="M134" s="1" t="s">
        <v>1513</v>
      </c>
      <c r="N134" s="1">
        <v>4</v>
      </c>
      <c r="O134" s="1">
        <v>96706.5</v>
      </c>
    </row>
    <row r="135" spans="1:15" x14ac:dyDescent="0.3">
      <c r="A135" s="1" t="s">
        <v>447</v>
      </c>
      <c r="B135" s="1" t="s">
        <v>143</v>
      </c>
      <c r="C135" s="1" t="s">
        <v>14</v>
      </c>
      <c r="D135" s="1" t="s">
        <v>15</v>
      </c>
      <c r="E135" s="1">
        <v>49</v>
      </c>
      <c r="F135" s="1" t="s">
        <v>31</v>
      </c>
      <c r="G135" s="1" t="s">
        <v>108</v>
      </c>
      <c r="H135" s="1" t="s">
        <v>448</v>
      </c>
      <c r="I135" s="1">
        <v>102279</v>
      </c>
      <c r="J135" s="1" t="s">
        <v>60</v>
      </c>
      <c r="K135" s="1" t="s">
        <v>449</v>
      </c>
      <c r="L135" s="1" t="s">
        <v>36</v>
      </c>
      <c r="M135" s="1" t="s">
        <v>1515</v>
      </c>
      <c r="N135" s="1">
        <v>2</v>
      </c>
      <c r="O135" s="1">
        <v>107392.95</v>
      </c>
    </row>
    <row r="136" spans="1:15" x14ac:dyDescent="0.3">
      <c r="A136" s="1" t="s">
        <v>450</v>
      </c>
      <c r="B136" s="1" t="s">
        <v>71</v>
      </c>
      <c r="C136" s="1" t="s">
        <v>95</v>
      </c>
      <c r="D136" s="1" t="s">
        <v>24</v>
      </c>
      <c r="E136" s="1">
        <v>36</v>
      </c>
      <c r="F136" s="1" t="s">
        <v>31</v>
      </c>
      <c r="G136" s="1" t="s">
        <v>40</v>
      </c>
      <c r="H136" s="1" t="s">
        <v>451</v>
      </c>
      <c r="I136" s="1">
        <v>72887</v>
      </c>
      <c r="J136" s="1" t="s">
        <v>34</v>
      </c>
      <c r="K136" s="1" t="s">
        <v>452</v>
      </c>
      <c r="L136" s="1" t="s">
        <v>36</v>
      </c>
      <c r="M136" s="1" t="s">
        <v>1515</v>
      </c>
      <c r="N136" s="1">
        <v>1</v>
      </c>
      <c r="O136" s="1">
        <v>76531.350000000006</v>
      </c>
    </row>
    <row r="137" spans="1:15" x14ac:dyDescent="0.3">
      <c r="A137" s="1" t="s">
        <v>453</v>
      </c>
      <c r="B137" s="1" t="s">
        <v>38</v>
      </c>
      <c r="C137" s="1" t="s">
        <v>14</v>
      </c>
      <c r="D137" s="1" t="s">
        <v>15</v>
      </c>
      <c r="E137" s="1">
        <v>43</v>
      </c>
      <c r="F137" s="1" t="s">
        <v>16</v>
      </c>
      <c r="G137" s="1" t="s">
        <v>26</v>
      </c>
      <c r="H137" s="1" t="s">
        <v>454</v>
      </c>
      <c r="I137" s="1">
        <v>92793</v>
      </c>
      <c r="J137" s="1" t="s">
        <v>60</v>
      </c>
      <c r="K137" s="1" t="s">
        <v>455</v>
      </c>
      <c r="L137" s="1" t="s">
        <v>21</v>
      </c>
      <c r="M137" s="1" t="s">
        <v>1509</v>
      </c>
      <c r="N137" s="1">
        <v>2</v>
      </c>
      <c r="O137" s="1">
        <v>97432.65</v>
      </c>
    </row>
    <row r="138" spans="1:15" x14ac:dyDescent="0.3">
      <c r="A138" s="1" t="s">
        <v>456</v>
      </c>
      <c r="B138" s="1" t="s">
        <v>94</v>
      </c>
      <c r="C138" s="1" t="s">
        <v>78</v>
      </c>
      <c r="D138" s="1" t="s">
        <v>24</v>
      </c>
      <c r="E138" s="1">
        <v>48</v>
      </c>
      <c r="F138" s="1" t="s">
        <v>39</v>
      </c>
      <c r="G138" s="1" t="s">
        <v>26</v>
      </c>
      <c r="H138" s="1" t="s">
        <v>457</v>
      </c>
      <c r="I138" s="1">
        <v>114316</v>
      </c>
      <c r="J138" s="1" t="s">
        <v>65</v>
      </c>
      <c r="K138" s="1" t="s">
        <v>458</v>
      </c>
      <c r="L138" s="1" t="s">
        <v>21</v>
      </c>
      <c r="M138" s="1" t="s">
        <v>1517</v>
      </c>
      <c r="N138" s="1">
        <v>3</v>
      </c>
      <c r="O138" s="1">
        <v>122318.12</v>
      </c>
    </row>
    <row r="139" spans="1:15" x14ac:dyDescent="0.3">
      <c r="A139" s="1" t="s">
        <v>459</v>
      </c>
      <c r="B139" s="1" t="s">
        <v>38</v>
      </c>
      <c r="C139" s="1" t="s">
        <v>45</v>
      </c>
      <c r="D139" s="1" t="s">
        <v>24</v>
      </c>
      <c r="E139" s="1">
        <v>59</v>
      </c>
      <c r="F139" s="1" t="s">
        <v>39</v>
      </c>
      <c r="G139" s="1" t="s">
        <v>17</v>
      </c>
      <c r="H139" s="1" t="s">
        <v>460</v>
      </c>
      <c r="I139" s="1">
        <v>60835</v>
      </c>
      <c r="J139" s="1" t="s">
        <v>60</v>
      </c>
      <c r="K139" s="1" t="s">
        <v>461</v>
      </c>
      <c r="L139" s="1" t="s">
        <v>21</v>
      </c>
      <c r="M139" s="1" t="s">
        <v>1517</v>
      </c>
      <c r="N139" s="1">
        <v>1</v>
      </c>
      <c r="O139" s="1">
        <v>63876.75</v>
      </c>
    </row>
    <row r="140" spans="1:15" x14ac:dyDescent="0.3">
      <c r="A140" s="1" t="s">
        <v>462</v>
      </c>
      <c r="B140" s="1" t="s">
        <v>49</v>
      </c>
      <c r="C140" s="1" t="s">
        <v>165</v>
      </c>
      <c r="D140" s="1" t="s">
        <v>24</v>
      </c>
      <c r="E140" s="1">
        <v>31</v>
      </c>
      <c r="F140" s="1" t="s">
        <v>31</v>
      </c>
      <c r="G140" s="1" t="s">
        <v>26</v>
      </c>
      <c r="H140" s="1" t="s">
        <v>463</v>
      </c>
      <c r="I140" s="1">
        <v>105179</v>
      </c>
      <c r="J140" s="1" t="s">
        <v>19</v>
      </c>
      <c r="K140" s="1" t="s">
        <v>464</v>
      </c>
      <c r="L140" s="1" t="s">
        <v>21</v>
      </c>
      <c r="M140" s="1" t="s">
        <v>1515</v>
      </c>
      <c r="N140" s="1">
        <v>5</v>
      </c>
      <c r="O140" s="1">
        <v>120955.85</v>
      </c>
    </row>
    <row r="141" spans="1:15" x14ac:dyDescent="0.3">
      <c r="A141" s="1" t="s">
        <v>465</v>
      </c>
      <c r="B141" s="1" t="s">
        <v>94</v>
      </c>
      <c r="C141" s="1" t="s">
        <v>165</v>
      </c>
      <c r="D141" s="1" t="s">
        <v>15</v>
      </c>
      <c r="E141" s="1">
        <v>48</v>
      </c>
      <c r="F141" s="1" t="s">
        <v>31</v>
      </c>
      <c r="G141" s="1" t="s">
        <v>40</v>
      </c>
      <c r="H141" s="1" t="s">
        <v>466</v>
      </c>
      <c r="I141" s="1">
        <v>109704</v>
      </c>
      <c r="J141" s="1" t="s">
        <v>80</v>
      </c>
      <c r="K141" s="1" t="s">
        <v>467</v>
      </c>
      <c r="L141" s="1" t="s">
        <v>36</v>
      </c>
      <c r="M141" s="1" t="s">
        <v>1515</v>
      </c>
      <c r="N141" s="1">
        <v>2</v>
      </c>
      <c r="O141" s="1">
        <v>115189.2</v>
      </c>
    </row>
    <row r="142" spans="1:15" x14ac:dyDescent="0.3">
      <c r="A142" s="1" t="s">
        <v>468</v>
      </c>
      <c r="B142" s="1" t="s">
        <v>54</v>
      </c>
      <c r="C142" s="1" t="s">
        <v>130</v>
      </c>
      <c r="D142" s="1" t="s">
        <v>15</v>
      </c>
      <c r="E142" s="1">
        <v>32</v>
      </c>
      <c r="F142" s="1" t="s">
        <v>39</v>
      </c>
      <c r="G142" s="1" t="s">
        <v>32</v>
      </c>
      <c r="H142" s="1" t="s">
        <v>469</v>
      </c>
      <c r="I142" s="1">
        <v>68125</v>
      </c>
      <c r="J142" s="1" t="s">
        <v>34</v>
      </c>
      <c r="K142" s="1" t="s">
        <v>470</v>
      </c>
      <c r="L142" s="1" t="s">
        <v>21</v>
      </c>
      <c r="M142" s="1" t="s">
        <v>1517</v>
      </c>
      <c r="N142" s="1">
        <v>3</v>
      </c>
      <c r="O142" s="1">
        <v>72893.75</v>
      </c>
    </row>
    <row r="143" spans="1:15" x14ac:dyDescent="0.3">
      <c r="A143" s="1" t="s">
        <v>471</v>
      </c>
      <c r="B143" s="1" t="s">
        <v>38</v>
      </c>
      <c r="C143" s="1" t="s">
        <v>78</v>
      </c>
      <c r="D143" s="1" t="s">
        <v>15</v>
      </c>
      <c r="E143" s="1">
        <v>47</v>
      </c>
      <c r="F143" s="1" t="s">
        <v>31</v>
      </c>
      <c r="G143" s="1" t="s">
        <v>17</v>
      </c>
      <c r="H143" s="1" t="s">
        <v>472</v>
      </c>
      <c r="I143" s="1">
        <v>96812</v>
      </c>
      <c r="J143" s="1" t="s">
        <v>80</v>
      </c>
      <c r="K143" s="1" t="s">
        <v>473</v>
      </c>
      <c r="L143" s="1" t="s">
        <v>21</v>
      </c>
      <c r="M143" s="1" t="s">
        <v>1515</v>
      </c>
      <c r="N143" s="1">
        <v>1</v>
      </c>
      <c r="O143" s="1">
        <v>101652.6</v>
      </c>
    </row>
    <row r="144" spans="1:15" x14ac:dyDescent="0.3">
      <c r="A144" s="1" t="s">
        <v>474</v>
      </c>
      <c r="B144" s="1" t="s">
        <v>58</v>
      </c>
      <c r="C144" s="1" t="s">
        <v>165</v>
      </c>
      <c r="D144" s="1" t="s">
        <v>15</v>
      </c>
      <c r="E144" s="1">
        <v>47</v>
      </c>
      <c r="F144" s="1" t="s">
        <v>50</v>
      </c>
      <c r="G144" s="1" t="s">
        <v>26</v>
      </c>
      <c r="H144" s="1" t="s">
        <v>475</v>
      </c>
      <c r="I144" s="1">
        <v>116650</v>
      </c>
      <c r="J144" s="1" t="s">
        <v>65</v>
      </c>
      <c r="K144" s="1" t="s">
        <v>476</v>
      </c>
      <c r="L144" s="1" t="s">
        <v>36</v>
      </c>
      <c r="M144" s="1" t="s">
        <v>1511</v>
      </c>
      <c r="N144" s="1">
        <v>3</v>
      </c>
      <c r="O144" s="1">
        <v>124815.5</v>
      </c>
    </row>
    <row r="145" spans="1:15" x14ac:dyDescent="0.3">
      <c r="A145" s="1" t="s">
        <v>477</v>
      </c>
      <c r="B145" s="1" t="s">
        <v>71</v>
      </c>
      <c r="C145" s="1" t="s">
        <v>83</v>
      </c>
      <c r="D145" s="1" t="s">
        <v>24</v>
      </c>
      <c r="E145" s="1">
        <v>28</v>
      </c>
      <c r="F145" s="1" t="s">
        <v>39</v>
      </c>
      <c r="G145" s="1" t="s">
        <v>26</v>
      </c>
      <c r="H145" s="1" t="s">
        <v>478</v>
      </c>
      <c r="I145" s="1">
        <v>86592</v>
      </c>
      <c r="J145" s="1" t="s">
        <v>80</v>
      </c>
      <c r="K145" s="1" t="s">
        <v>479</v>
      </c>
      <c r="L145" s="1" t="s">
        <v>36</v>
      </c>
      <c r="M145" s="1" t="s">
        <v>1517</v>
      </c>
      <c r="N145" s="1">
        <v>1</v>
      </c>
      <c r="O145" s="1">
        <v>90921.600000000006</v>
      </c>
    </row>
    <row r="146" spans="1:15" x14ac:dyDescent="0.3">
      <c r="A146" s="1" t="s">
        <v>480</v>
      </c>
      <c r="B146" s="1" t="s">
        <v>44</v>
      </c>
      <c r="C146" s="1" t="s">
        <v>23</v>
      </c>
      <c r="D146" s="1" t="s">
        <v>24</v>
      </c>
      <c r="E146" s="1">
        <v>57</v>
      </c>
      <c r="F146" s="1" t="s">
        <v>50</v>
      </c>
      <c r="G146" s="1" t="s">
        <v>26</v>
      </c>
      <c r="H146" s="1" t="s">
        <v>481</v>
      </c>
      <c r="I146" s="1">
        <v>78320</v>
      </c>
      <c r="J146" s="1" t="s">
        <v>34</v>
      </c>
      <c r="K146" s="1" t="s">
        <v>482</v>
      </c>
      <c r="L146" s="1" t="s">
        <v>21</v>
      </c>
      <c r="M146" s="1" t="s">
        <v>1511</v>
      </c>
      <c r="N146" s="1">
        <v>1</v>
      </c>
      <c r="O146" s="1">
        <v>82236</v>
      </c>
    </row>
    <row r="147" spans="1:15" x14ac:dyDescent="0.3">
      <c r="A147" s="1" t="s">
        <v>483</v>
      </c>
      <c r="B147" s="1" t="s">
        <v>30</v>
      </c>
      <c r="C147" s="1" t="s">
        <v>45</v>
      </c>
      <c r="D147" s="1" t="s">
        <v>24</v>
      </c>
      <c r="E147" s="1">
        <v>40</v>
      </c>
      <c r="F147" s="1" t="s">
        <v>16</v>
      </c>
      <c r="G147" s="1" t="s">
        <v>17</v>
      </c>
      <c r="H147" s="1" t="s">
        <v>484</v>
      </c>
      <c r="I147" s="1">
        <v>50627</v>
      </c>
      <c r="J147" s="1" t="s">
        <v>80</v>
      </c>
      <c r="K147" s="1" t="s">
        <v>485</v>
      </c>
      <c r="L147" s="1" t="s">
        <v>36</v>
      </c>
      <c r="M147" s="1" t="s">
        <v>1509</v>
      </c>
      <c r="N147" s="1">
        <v>3</v>
      </c>
      <c r="O147" s="1">
        <v>54170.89</v>
      </c>
    </row>
    <row r="148" spans="1:15" x14ac:dyDescent="0.3">
      <c r="A148" s="1" t="s">
        <v>486</v>
      </c>
      <c r="B148" s="1" t="s">
        <v>38</v>
      </c>
      <c r="C148" s="1" t="s">
        <v>95</v>
      </c>
      <c r="D148" s="1" t="s">
        <v>24</v>
      </c>
      <c r="E148" s="1">
        <v>47</v>
      </c>
      <c r="F148" s="1" t="s">
        <v>25</v>
      </c>
      <c r="G148" s="1" t="s">
        <v>26</v>
      </c>
      <c r="H148" s="1" t="s">
        <v>487</v>
      </c>
      <c r="I148" s="1">
        <v>84212</v>
      </c>
      <c r="J148" s="1" t="s">
        <v>34</v>
      </c>
      <c r="K148" s="1" t="s">
        <v>488</v>
      </c>
      <c r="L148" s="1" t="s">
        <v>36</v>
      </c>
      <c r="M148" s="1" t="s">
        <v>1513</v>
      </c>
      <c r="N148" s="1">
        <v>5</v>
      </c>
      <c r="O148" s="1">
        <v>96843.8</v>
      </c>
    </row>
    <row r="149" spans="1:15" x14ac:dyDescent="0.3">
      <c r="A149" s="1" t="s">
        <v>489</v>
      </c>
      <c r="B149" s="1" t="s">
        <v>54</v>
      </c>
      <c r="C149" s="1" t="s">
        <v>63</v>
      </c>
      <c r="D149" s="1" t="s">
        <v>15</v>
      </c>
      <c r="E149" s="1">
        <v>53</v>
      </c>
      <c r="F149" s="1" t="s">
        <v>50</v>
      </c>
      <c r="G149" s="1" t="s">
        <v>32</v>
      </c>
      <c r="H149" s="1" t="s">
        <v>490</v>
      </c>
      <c r="I149" s="1">
        <v>98718</v>
      </c>
      <c r="J149" s="1" t="s">
        <v>34</v>
      </c>
      <c r="K149" s="1" t="s">
        <v>491</v>
      </c>
      <c r="L149" s="1" t="s">
        <v>21</v>
      </c>
      <c r="M149" s="1" t="s">
        <v>1511</v>
      </c>
      <c r="N149" s="1">
        <v>5</v>
      </c>
      <c r="O149" s="1">
        <v>113525.7</v>
      </c>
    </row>
    <row r="150" spans="1:15" x14ac:dyDescent="0.3">
      <c r="A150" s="1" t="s">
        <v>492</v>
      </c>
      <c r="B150" s="1" t="s">
        <v>143</v>
      </c>
      <c r="C150" s="1" t="s">
        <v>23</v>
      </c>
      <c r="D150" s="1" t="s">
        <v>24</v>
      </c>
      <c r="E150" s="1">
        <v>22</v>
      </c>
      <c r="F150" s="1" t="s">
        <v>16</v>
      </c>
      <c r="G150" s="1" t="s">
        <v>26</v>
      </c>
      <c r="H150" s="1" t="s">
        <v>193</v>
      </c>
      <c r="I150" s="1">
        <v>35307</v>
      </c>
      <c r="J150" s="1" t="s">
        <v>80</v>
      </c>
      <c r="K150" s="1" t="s">
        <v>493</v>
      </c>
      <c r="L150" s="1" t="s">
        <v>36</v>
      </c>
      <c r="M150" s="1" t="s">
        <v>1509</v>
      </c>
      <c r="N150" s="1">
        <v>4</v>
      </c>
      <c r="O150" s="1">
        <v>38837.699999999997</v>
      </c>
    </row>
    <row r="151" spans="1:15" x14ac:dyDescent="0.3">
      <c r="A151" s="1" t="s">
        <v>494</v>
      </c>
      <c r="B151" s="1" t="s">
        <v>30</v>
      </c>
      <c r="C151" s="1" t="s">
        <v>130</v>
      </c>
      <c r="D151" s="1" t="s">
        <v>15</v>
      </c>
      <c r="E151" s="1">
        <v>54</v>
      </c>
      <c r="F151" s="1" t="s">
        <v>25</v>
      </c>
      <c r="G151" s="1" t="s">
        <v>108</v>
      </c>
      <c r="H151" s="1" t="s">
        <v>495</v>
      </c>
      <c r="I151" s="1">
        <v>92735</v>
      </c>
      <c r="J151" s="1" t="s">
        <v>60</v>
      </c>
      <c r="K151" s="1" t="s">
        <v>496</v>
      </c>
      <c r="L151" s="1" t="s">
        <v>36</v>
      </c>
      <c r="M151" s="1" t="s">
        <v>1513</v>
      </c>
      <c r="N151" s="1">
        <v>1</v>
      </c>
      <c r="O151" s="1">
        <v>97371.75</v>
      </c>
    </row>
    <row r="152" spans="1:15" x14ac:dyDescent="0.3">
      <c r="A152" s="1" t="s">
        <v>497</v>
      </c>
      <c r="B152" s="1" t="s">
        <v>94</v>
      </c>
      <c r="C152" s="1" t="s">
        <v>14</v>
      </c>
      <c r="D152" s="1" t="s">
        <v>24</v>
      </c>
      <c r="E152" s="1">
        <v>45</v>
      </c>
      <c r="F152" s="1" t="s">
        <v>50</v>
      </c>
      <c r="G152" s="1" t="s">
        <v>17</v>
      </c>
      <c r="H152" s="1" t="s">
        <v>498</v>
      </c>
      <c r="I152" s="1">
        <v>55679</v>
      </c>
      <c r="J152" s="1" t="s">
        <v>60</v>
      </c>
      <c r="K152" s="1" t="s">
        <v>499</v>
      </c>
      <c r="L152" s="1" t="s">
        <v>36</v>
      </c>
      <c r="M152" s="1" t="s">
        <v>1511</v>
      </c>
      <c r="N152" s="1">
        <v>2</v>
      </c>
      <c r="O152" s="1">
        <v>58462.95</v>
      </c>
    </row>
    <row r="153" spans="1:15" x14ac:dyDescent="0.3">
      <c r="A153" s="1" t="s">
        <v>500</v>
      </c>
      <c r="B153" s="1" t="s">
        <v>38</v>
      </c>
      <c r="C153" s="1" t="s">
        <v>90</v>
      </c>
      <c r="D153" s="1" t="s">
        <v>15</v>
      </c>
      <c r="E153" s="1">
        <v>25</v>
      </c>
      <c r="F153" s="1" t="s">
        <v>25</v>
      </c>
      <c r="G153" s="1" t="s">
        <v>32</v>
      </c>
      <c r="H153" s="1" t="s">
        <v>501</v>
      </c>
      <c r="I153" s="1">
        <v>94614</v>
      </c>
      <c r="J153" s="1" t="s">
        <v>34</v>
      </c>
      <c r="K153" s="1" t="s">
        <v>502</v>
      </c>
      <c r="L153" s="1" t="s">
        <v>21</v>
      </c>
      <c r="M153" s="1" t="s">
        <v>1513</v>
      </c>
      <c r="N153" s="1">
        <v>5</v>
      </c>
      <c r="O153" s="1">
        <v>108806.1</v>
      </c>
    </row>
    <row r="154" spans="1:15" x14ac:dyDescent="0.3">
      <c r="A154" s="1" t="s">
        <v>503</v>
      </c>
      <c r="B154" s="1" t="s">
        <v>30</v>
      </c>
      <c r="C154" s="1" t="s">
        <v>90</v>
      </c>
      <c r="D154" s="1" t="s">
        <v>24</v>
      </c>
      <c r="E154" s="1">
        <v>53</v>
      </c>
      <c r="F154" s="1" t="s">
        <v>31</v>
      </c>
      <c r="G154" s="1" t="s">
        <v>40</v>
      </c>
      <c r="H154" s="1" t="s">
        <v>504</v>
      </c>
      <c r="I154" s="1">
        <v>102516</v>
      </c>
      <c r="J154" s="1" t="s">
        <v>34</v>
      </c>
      <c r="K154" s="1" t="s">
        <v>505</v>
      </c>
      <c r="L154" s="1" t="s">
        <v>21</v>
      </c>
      <c r="M154" s="1" t="s">
        <v>1515</v>
      </c>
      <c r="N154" s="1">
        <v>5</v>
      </c>
      <c r="O154" s="1">
        <v>117893.4</v>
      </c>
    </row>
    <row r="155" spans="1:15" x14ac:dyDescent="0.3">
      <c r="A155" s="1" t="s">
        <v>506</v>
      </c>
      <c r="B155" s="1" t="s">
        <v>49</v>
      </c>
      <c r="C155" s="1" t="s">
        <v>90</v>
      </c>
      <c r="D155" s="1" t="s">
        <v>24</v>
      </c>
      <c r="E155" s="1">
        <v>48</v>
      </c>
      <c r="F155" s="1" t="s">
        <v>31</v>
      </c>
      <c r="G155" s="1" t="s">
        <v>17</v>
      </c>
      <c r="H155" s="1" t="s">
        <v>507</v>
      </c>
      <c r="I155" s="1">
        <v>47666</v>
      </c>
      <c r="J155" s="1" t="s">
        <v>80</v>
      </c>
      <c r="K155" s="1" t="s">
        <v>508</v>
      </c>
      <c r="L155" s="1" t="s">
        <v>36</v>
      </c>
      <c r="M155" s="1" t="s">
        <v>1515</v>
      </c>
      <c r="N155" s="1">
        <v>2</v>
      </c>
      <c r="O155" s="1">
        <v>50049.3</v>
      </c>
    </row>
    <row r="156" spans="1:15" x14ac:dyDescent="0.3">
      <c r="A156" s="1" t="s">
        <v>509</v>
      </c>
      <c r="B156" s="1" t="s">
        <v>54</v>
      </c>
      <c r="C156" s="1" t="s">
        <v>23</v>
      </c>
      <c r="D156" s="1" t="s">
        <v>15</v>
      </c>
      <c r="E156" s="1">
        <v>27</v>
      </c>
      <c r="F156" s="1" t="s">
        <v>16</v>
      </c>
      <c r="G156" s="1" t="s">
        <v>40</v>
      </c>
      <c r="H156" s="1" t="s">
        <v>510</v>
      </c>
      <c r="I156" s="1">
        <v>72710</v>
      </c>
      <c r="J156" s="1" t="s">
        <v>80</v>
      </c>
      <c r="K156" s="1" t="s">
        <v>511</v>
      </c>
      <c r="L156" s="1" t="s">
        <v>36</v>
      </c>
      <c r="M156" s="1" t="s">
        <v>1509</v>
      </c>
      <c r="N156" s="1">
        <v>2</v>
      </c>
      <c r="O156" s="1">
        <v>76345.5</v>
      </c>
    </row>
    <row r="157" spans="1:15" x14ac:dyDescent="0.3">
      <c r="A157" s="1" t="s">
        <v>512</v>
      </c>
      <c r="B157" s="1" t="s">
        <v>71</v>
      </c>
      <c r="C157" s="1" t="s">
        <v>23</v>
      </c>
      <c r="D157" s="1" t="s">
        <v>24</v>
      </c>
      <c r="E157" s="1">
        <v>22</v>
      </c>
      <c r="F157" s="1" t="s">
        <v>25</v>
      </c>
      <c r="G157" s="1" t="s">
        <v>108</v>
      </c>
      <c r="H157" s="1" t="s">
        <v>513</v>
      </c>
      <c r="I157" s="1">
        <v>60944</v>
      </c>
      <c r="J157" s="1" t="s">
        <v>65</v>
      </c>
      <c r="K157" s="1" t="s">
        <v>514</v>
      </c>
      <c r="L157" s="1" t="s">
        <v>36</v>
      </c>
      <c r="M157" s="1" t="s">
        <v>1513</v>
      </c>
      <c r="N157" s="1">
        <v>3</v>
      </c>
      <c r="O157" s="1">
        <v>65210.080000000002</v>
      </c>
    </row>
    <row r="158" spans="1:15" x14ac:dyDescent="0.3">
      <c r="A158" s="1" t="s">
        <v>515</v>
      </c>
      <c r="B158" s="1" t="s">
        <v>54</v>
      </c>
      <c r="C158" s="1" t="s">
        <v>78</v>
      </c>
      <c r="D158" s="1" t="s">
        <v>15</v>
      </c>
      <c r="E158" s="1">
        <v>39</v>
      </c>
      <c r="F158" s="1" t="s">
        <v>50</v>
      </c>
      <c r="G158" s="1" t="s">
        <v>32</v>
      </c>
      <c r="H158" s="1" t="s">
        <v>516</v>
      </c>
      <c r="I158" s="1">
        <v>87181</v>
      </c>
      <c r="J158" s="1" t="s">
        <v>60</v>
      </c>
      <c r="K158" s="1" t="s">
        <v>517</v>
      </c>
      <c r="L158" s="1" t="s">
        <v>21</v>
      </c>
      <c r="M158" s="1" t="s">
        <v>1511</v>
      </c>
      <c r="N158" s="1">
        <v>5</v>
      </c>
      <c r="O158" s="1">
        <v>100258.15</v>
      </c>
    </row>
    <row r="159" spans="1:15" x14ac:dyDescent="0.3">
      <c r="A159" s="1" t="s">
        <v>518</v>
      </c>
      <c r="B159" s="1" t="s">
        <v>71</v>
      </c>
      <c r="C159" s="1" t="s">
        <v>63</v>
      </c>
      <c r="D159" s="1" t="s">
        <v>15</v>
      </c>
      <c r="E159" s="1">
        <v>42</v>
      </c>
      <c r="F159" s="1" t="s">
        <v>31</v>
      </c>
      <c r="G159" s="1" t="s">
        <v>32</v>
      </c>
      <c r="H159" s="1" t="s">
        <v>519</v>
      </c>
      <c r="I159" s="1">
        <v>65659</v>
      </c>
      <c r="J159" s="1" t="s">
        <v>65</v>
      </c>
      <c r="K159" s="1" t="s">
        <v>520</v>
      </c>
      <c r="L159" s="1" t="s">
        <v>36</v>
      </c>
      <c r="M159" s="1" t="s">
        <v>1515</v>
      </c>
      <c r="N159" s="1">
        <v>3</v>
      </c>
      <c r="O159" s="1">
        <v>70255.13</v>
      </c>
    </row>
    <row r="160" spans="1:15" x14ac:dyDescent="0.3">
      <c r="A160" s="1" t="s">
        <v>521</v>
      </c>
      <c r="B160" s="1" t="s">
        <v>49</v>
      </c>
      <c r="C160" s="1" t="s">
        <v>78</v>
      </c>
      <c r="D160" s="1" t="s">
        <v>24</v>
      </c>
      <c r="E160" s="1">
        <v>46</v>
      </c>
      <c r="F160" s="1" t="s">
        <v>50</v>
      </c>
      <c r="G160" s="1" t="s">
        <v>32</v>
      </c>
      <c r="H160" s="1" t="s">
        <v>522</v>
      </c>
      <c r="I160" s="1">
        <v>100538</v>
      </c>
      <c r="J160" s="1" t="s">
        <v>65</v>
      </c>
      <c r="K160" s="1" t="s">
        <v>523</v>
      </c>
      <c r="L160" s="1" t="s">
        <v>21</v>
      </c>
      <c r="M160" s="1" t="s">
        <v>1511</v>
      </c>
      <c r="N160" s="1">
        <v>5</v>
      </c>
      <c r="O160" s="1">
        <v>115618.7</v>
      </c>
    </row>
    <row r="161" spans="1:15" x14ac:dyDescent="0.3">
      <c r="A161" s="1" t="s">
        <v>524</v>
      </c>
      <c r="B161" s="1" t="s">
        <v>71</v>
      </c>
      <c r="C161" s="1" t="s">
        <v>165</v>
      </c>
      <c r="D161" s="1" t="s">
        <v>24</v>
      </c>
      <c r="E161" s="1">
        <v>49</v>
      </c>
      <c r="F161" s="1" t="s">
        <v>50</v>
      </c>
      <c r="G161" s="1" t="s">
        <v>32</v>
      </c>
      <c r="H161" s="1" t="s">
        <v>525</v>
      </c>
      <c r="I161" s="1">
        <v>109819</v>
      </c>
      <c r="J161" s="1" t="s">
        <v>19</v>
      </c>
      <c r="K161" s="1" t="s">
        <v>526</v>
      </c>
      <c r="L161" s="1" t="s">
        <v>21</v>
      </c>
      <c r="M161" s="1" t="s">
        <v>1511</v>
      </c>
      <c r="N161" s="1">
        <v>4</v>
      </c>
      <c r="O161" s="1">
        <v>120800.9</v>
      </c>
    </row>
    <row r="162" spans="1:15" x14ac:dyDescent="0.3">
      <c r="A162" s="1" t="s">
        <v>527</v>
      </c>
      <c r="B162" s="1" t="s">
        <v>38</v>
      </c>
      <c r="C162" s="1" t="s">
        <v>14</v>
      </c>
      <c r="D162" s="1" t="s">
        <v>15</v>
      </c>
      <c r="E162" s="1">
        <v>24</v>
      </c>
      <c r="F162" s="1" t="s">
        <v>31</v>
      </c>
      <c r="G162" s="1" t="s">
        <v>40</v>
      </c>
      <c r="H162" s="1" t="s">
        <v>528</v>
      </c>
      <c r="I162" s="1">
        <v>113747</v>
      </c>
      <c r="J162" s="1" t="s">
        <v>60</v>
      </c>
      <c r="K162" s="1" t="s">
        <v>529</v>
      </c>
      <c r="L162" s="1" t="s">
        <v>21</v>
      </c>
      <c r="M162" s="1" t="s">
        <v>1515</v>
      </c>
      <c r="N162" s="1">
        <v>3</v>
      </c>
      <c r="O162" s="1">
        <v>121709.29000000001</v>
      </c>
    </row>
    <row r="163" spans="1:15" x14ac:dyDescent="0.3">
      <c r="A163" s="1" t="s">
        <v>530</v>
      </c>
      <c r="B163" s="1" t="s">
        <v>94</v>
      </c>
      <c r="C163" s="1" t="s">
        <v>45</v>
      </c>
      <c r="D163" s="1" t="s">
        <v>24</v>
      </c>
      <c r="E163" s="1">
        <v>51</v>
      </c>
      <c r="F163" s="1" t="s">
        <v>50</v>
      </c>
      <c r="G163" s="1" t="s">
        <v>26</v>
      </c>
      <c r="H163" s="1" t="s">
        <v>258</v>
      </c>
      <c r="I163" s="1">
        <v>103468</v>
      </c>
      <c r="J163" s="1" t="s">
        <v>65</v>
      </c>
      <c r="K163" s="1" t="s">
        <v>531</v>
      </c>
      <c r="L163" s="1" t="s">
        <v>21</v>
      </c>
      <c r="M163" s="1" t="s">
        <v>1511</v>
      </c>
      <c r="N163" s="1">
        <v>4</v>
      </c>
      <c r="O163" s="1">
        <v>113814.8</v>
      </c>
    </row>
    <row r="164" spans="1:15" x14ac:dyDescent="0.3">
      <c r="A164" s="1" t="s">
        <v>532</v>
      </c>
      <c r="B164" s="1" t="s">
        <v>30</v>
      </c>
      <c r="C164" s="1" t="s">
        <v>90</v>
      </c>
      <c r="D164" s="1" t="s">
        <v>24</v>
      </c>
      <c r="E164" s="1">
        <v>22</v>
      </c>
      <c r="F164" s="1" t="s">
        <v>31</v>
      </c>
      <c r="G164" s="1" t="s">
        <v>32</v>
      </c>
      <c r="H164" s="1" t="s">
        <v>533</v>
      </c>
      <c r="I164" s="1">
        <v>55327</v>
      </c>
      <c r="J164" s="1" t="s">
        <v>65</v>
      </c>
      <c r="K164" s="1" t="s">
        <v>534</v>
      </c>
      <c r="L164" s="1" t="s">
        <v>36</v>
      </c>
      <c r="M164" s="1" t="s">
        <v>1515</v>
      </c>
      <c r="N164" s="1">
        <v>4</v>
      </c>
      <c r="O164" s="1">
        <v>60859.7</v>
      </c>
    </row>
    <row r="165" spans="1:15" x14ac:dyDescent="0.3">
      <c r="A165" s="1" t="s">
        <v>535</v>
      </c>
      <c r="B165" s="1" t="s">
        <v>49</v>
      </c>
      <c r="C165" s="1" t="s">
        <v>45</v>
      </c>
      <c r="D165" s="1" t="s">
        <v>24</v>
      </c>
      <c r="E165" s="1">
        <v>43</v>
      </c>
      <c r="F165" s="1" t="s">
        <v>31</v>
      </c>
      <c r="G165" s="1" t="s">
        <v>26</v>
      </c>
      <c r="H165" s="1" t="s">
        <v>536</v>
      </c>
      <c r="I165" s="1">
        <v>89628</v>
      </c>
      <c r="J165" s="1" t="s">
        <v>60</v>
      </c>
      <c r="K165" s="1" t="s">
        <v>537</v>
      </c>
      <c r="L165" s="1" t="s">
        <v>21</v>
      </c>
      <c r="M165" s="1" t="s">
        <v>1515</v>
      </c>
      <c r="N165" s="1">
        <v>3</v>
      </c>
      <c r="O165" s="1">
        <v>95901.96</v>
      </c>
    </row>
    <row r="166" spans="1:15" x14ac:dyDescent="0.3">
      <c r="A166" s="1" t="s">
        <v>538</v>
      </c>
      <c r="B166" s="1" t="s">
        <v>44</v>
      </c>
      <c r="C166" s="1" t="s">
        <v>78</v>
      </c>
      <c r="D166" s="1" t="s">
        <v>15</v>
      </c>
      <c r="E166" s="1">
        <v>25</v>
      </c>
      <c r="F166" s="1" t="s">
        <v>50</v>
      </c>
      <c r="G166" s="1" t="s">
        <v>108</v>
      </c>
      <c r="H166" s="1" t="s">
        <v>539</v>
      </c>
      <c r="I166" s="1">
        <v>98304</v>
      </c>
      <c r="J166" s="1" t="s">
        <v>80</v>
      </c>
      <c r="K166" s="1" t="s">
        <v>540</v>
      </c>
      <c r="L166" s="1" t="s">
        <v>36</v>
      </c>
      <c r="M166" s="1" t="s">
        <v>1511</v>
      </c>
      <c r="N166" s="1">
        <v>5</v>
      </c>
      <c r="O166" s="1">
        <v>113049.60000000001</v>
      </c>
    </row>
    <row r="167" spans="1:15" x14ac:dyDescent="0.3">
      <c r="A167" s="1" t="s">
        <v>541</v>
      </c>
      <c r="B167" s="1" t="s">
        <v>54</v>
      </c>
      <c r="C167" s="1" t="s">
        <v>90</v>
      </c>
      <c r="D167" s="1" t="s">
        <v>15</v>
      </c>
      <c r="E167" s="1">
        <v>50</v>
      </c>
      <c r="F167" s="1" t="s">
        <v>16</v>
      </c>
      <c r="G167" s="1" t="s">
        <v>26</v>
      </c>
      <c r="H167" s="1" t="s">
        <v>542</v>
      </c>
      <c r="I167" s="1">
        <v>116611</v>
      </c>
      <c r="J167" s="1" t="s">
        <v>65</v>
      </c>
      <c r="K167" s="1" t="s">
        <v>543</v>
      </c>
      <c r="L167" s="1" t="s">
        <v>36</v>
      </c>
      <c r="M167" s="1" t="s">
        <v>1509</v>
      </c>
      <c r="N167" s="1">
        <v>2</v>
      </c>
      <c r="O167" s="1">
        <v>122441.55</v>
      </c>
    </row>
    <row r="168" spans="1:15" x14ac:dyDescent="0.3">
      <c r="A168" s="1" t="s">
        <v>544</v>
      </c>
      <c r="B168" s="1" t="s">
        <v>38</v>
      </c>
      <c r="C168" s="1" t="s">
        <v>78</v>
      </c>
      <c r="D168" s="1" t="s">
        <v>24</v>
      </c>
      <c r="E168" s="1">
        <v>41</v>
      </c>
      <c r="F168" s="1" t="s">
        <v>39</v>
      </c>
      <c r="G168" s="1" t="s">
        <v>17</v>
      </c>
      <c r="H168" s="1" t="s">
        <v>545</v>
      </c>
      <c r="I168" s="1">
        <v>45748</v>
      </c>
      <c r="J168" s="1" t="s">
        <v>19</v>
      </c>
      <c r="K168" s="1" t="s">
        <v>546</v>
      </c>
      <c r="L168" s="1" t="s">
        <v>36</v>
      </c>
      <c r="M168" s="1" t="s">
        <v>1517</v>
      </c>
      <c r="N168" s="1">
        <v>1</v>
      </c>
      <c r="O168" s="1">
        <v>48035.4</v>
      </c>
    </row>
    <row r="169" spans="1:15" x14ac:dyDescent="0.3">
      <c r="A169" s="1" t="s">
        <v>547</v>
      </c>
      <c r="B169" s="1" t="s">
        <v>54</v>
      </c>
      <c r="C169" s="1" t="s">
        <v>83</v>
      </c>
      <c r="D169" s="1" t="s">
        <v>24</v>
      </c>
      <c r="E169" s="1">
        <v>48</v>
      </c>
      <c r="F169" s="1" t="s">
        <v>39</v>
      </c>
      <c r="G169" s="1" t="s">
        <v>32</v>
      </c>
      <c r="H169" s="1" t="s">
        <v>548</v>
      </c>
      <c r="I169" s="1">
        <v>45767</v>
      </c>
      <c r="J169" s="1" t="s">
        <v>80</v>
      </c>
      <c r="K169" s="1" t="s">
        <v>549</v>
      </c>
      <c r="L169" s="1" t="s">
        <v>36</v>
      </c>
      <c r="M169" s="1" t="s">
        <v>1517</v>
      </c>
      <c r="N169" s="1">
        <v>2</v>
      </c>
      <c r="O169" s="1">
        <v>48055.35</v>
      </c>
    </row>
    <row r="170" spans="1:15" x14ac:dyDescent="0.3">
      <c r="A170" s="1" t="s">
        <v>550</v>
      </c>
      <c r="B170" s="1" t="s">
        <v>58</v>
      </c>
      <c r="C170" s="1" t="s">
        <v>45</v>
      </c>
      <c r="D170" s="1" t="s">
        <v>24</v>
      </c>
      <c r="E170" s="1">
        <v>49</v>
      </c>
      <c r="F170" s="1" t="s">
        <v>50</v>
      </c>
      <c r="G170" s="1" t="s">
        <v>108</v>
      </c>
      <c r="H170" s="1" t="s">
        <v>551</v>
      </c>
      <c r="I170" s="1">
        <v>63927</v>
      </c>
      <c r="J170" s="1" t="s">
        <v>34</v>
      </c>
      <c r="K170" s="1" t="s">
        <v>552</v>
      </c>
      <c r="L170" s="1" t="s">
        <v>36</v>
      </c>
      <c r="M170" s="1" t="s">
        <v>1511</v>
      </c>
      <c r="N170" s="1">
        <v>2</v>
      </c>
      <c r="O170" s="1">
        <v>67123.350000000006</v>
      </c>
    </row>
    <row r="171" spans="1:15" x14ac:dyDescent="0.3">
      <c r="A171" s="1" t="s">
        <v>553</v>
      </c>
      <c r="B171" s="1" t="s">
        <v>71</v>
      </c>
      <c r="C171" s="1" t="s">
        <v>23</v>
      </c>
      <c r="D171" s="1" t="s">
        <v>24</v>
      </c>
      <c r="E171" s="1">
        <v>46</v>
      </c>
      <c r="F171" s="1" t="s">
        <v>16</v>
      </c>
      <c r="G171" s="1" t="s">
        <v>108</v>
      </c>
      <c r="H171" s="1" t="s">
        <v>554</v>
      </c>
      <c r="I171" s="1">
        <v>116657</v>
      </c>
      <c r="J171" s="1" t="s">
        <v>60</v>
      </c>
      <c r="K171" s="1" t="s">
        <v>555</v>
      </c>
      <c r="L171" s="1" t="s">
        <v>36</v>
      </c>
      <c r="M171" s="1" t="s">
        <v>1509</v>
      </c>
      <c r="N171" s="1">
        <v>1</v>
      </c>
      <c r="O171" s="1">
        <v>122489.85</v>
      </c>
    </row>
    <row r="172" spans="1:15" x14ac:dyDescent="0.3">
      <c r="A172" s="1" t="s">
        <v>556</v>
      </c>
      <c r="B172" s="1" t="s">
        <v>13</v>
      </c>
      <c r="C172" s="1" t="s">
        <v>90</v>
      </c>
      <c r="D172" s="1" t="s">
        <v>24</v>
      </c>
      <c r="E172" s="1">
        <v>49</v>
      </c>
      <c r="F172" s="1" t="s">
        <v>25</v>
      </c>
      <c r="G172" s="1" t="s">
        <v>26</v>
      </c>
      <c r="H172" s="1" t="s">
        <v>557</v>
      </c>
      <c r="I172" s="1">
        <v>35376</v>
      </c>
      <c r="J172" s="1" t="s">
        <v>34</v>
      </c>
      <c r="K172" s="1" t="s">
        <v>558</v>
      </c>
      <c r="L172" s="1" t="s">
        <v>36</v>
      </c>
      <c r="M172" s="1" t="s">
        <v>1513</v>
      </c>
      <c r="N172" s="1">
        <v>5</v>
      </c>
      <c r="O172" s="1">
        <v>40682.400000000001</v>
      </c>
    </row>
    <row r="173" spans="1:15" x14ac:dyDescent="0.3">
      <c r="A173" s="1" t="s">
        <v>559</v>
      </c>
      <c r="B173" s="1" t="s">
        <v>143</v>
      </c>
      <c r="C173" s="1" t="s">
        <v>63</v>
      </c>
      <c r="D173" s="1" t="s">
        <v>24</v>
      </c>
      <c r="E173" s="1">
        <v>44</v>
      </c>
      <c r="F173" s="1" t="s">
        <v>25</v>
      </c>
      <c r="G173" s="1" t="s">
        <v>108</v>
      </c>
      <c r="H173" s="1" t="s">
        <v>560</v>
      </c>
      <c r="I173" s="1">
        <v>37908</v>
      </c>
      <c r="J173" s="1" t="s">
        <v>65</v>
      </c>
      <c r="K173" s="1" t="s">
        <v>561</v>
      </c>
      <c r="L173" s="1" t="s">
        <v>21</v>
      </c>
      <c r="M173" s="1" t="s">
        <v>1513</v>
      </c>
      <c r="N173" s="1">
        <v>5</v>
      </c>
      <c r="O173" s="1">
        <v>43594.2</v>
      </c>
    </row>
    <row r="174" spans="1:15" x14ac:dyDescent="0.3">
      <c r="A174" s="1" t="s">
        <v>562</v>
      </c>
      <c r="B174" s="1" t="s">
        <v>58</v>
      </c>
      <c r="C174" s="1" t="s">
        <v>63</v>
      </c>
      <c r="D174" s="1" t="s">
        <v>24</v>
      </c>
      <c r="E174" s="1">
        <v>59</v>
      </c>
      <c r="F174" s="1" t="s">
        <v>16</v>
      </c>
      <c r="G174" s="1" t="s">
        <v>17</v>
      </c>
      <c r="H174" s="1" t="s">
        <v>563</v>
      </c>
      <c r="I174" s="1">
        <v>106205</v>
      </c>
      <c r="J174" s="1" t="s">
        <v>34</v>
      </c>
      <c r="K174" s="1" t="s">
        <v>564</v>
      </c>
      <c r="L174" s="1" t="s">
        <v>21</v>
      </c>
      <c r="M174" s="1" t="s">
        <v>1509</v>
      </c>
      <c r="N174" s="1">
        <v>3</v>
      </c>
      <c r="O174" s="1">
        <v>113639.35</v>
      </c>
    </row>
    <row r="175" spans="1:15" x14ac:dyDescent="0.3">
      <c r="A175" s="1" t="s">
        <v>565</v>
      </c>
      <c r="B175" s="1" t="s">
        <v>94</v>
      </c>
      <c r="C175" s="1" t="s">
        <v>130</v>
      </c>
      <c r="D175" s="1" t="s">
        <v>15</v>
      </c>
      <c r="E175" s="1">
        <v>29</v>
      </c>
      <c r="F175" s="1" t="s">
        <v>39</v>
      </c>
      <c r="G175" s="1" t="s">
        <v>108</v>
      </c>
      <c r="H175" s="1" t="s">
        <v>566</v>
      </c>
      <c r="I175" s="1">
        <v>101504</v>
      </c>
      <c r="J175" s="1" t="s">
        <v>80</v>
      </c>
      <c r="K175" s="1" t="s">
        <v>567</v>
      </c>
      <c r="L175" s="1" t="s">
        <v>21</v>
      </c>
      <c r="M175" s="1" t="s">
        <v>1517</v>
      </c>
      <c r="N175" s="1">
        <v>1</v>
      </c>
      <c r="O175" s="1">
        <v>106579.2</v>
      </c>
    </row>
    <row r="176" spans="1:15" x14ac:dyDescent="0.3">
      <c r="A176" s="1" t="s">
        <v>568</v>
      </c>
      <c r="B176" s="1" t="s">
        <v>54</v>
      </c>
      <c r="C176" s="1" t="s">
        <v>63</v>
      </c>
      <c r="D176" s="1" t="s">
        <v>15</v>
      </c>
      <c r="E176" s="1">
        <v>48</v>
      </c>
      <c r="F176" s="1" t="s">
        <v>16</v>
      </c>
      <c r="G176" s="1" t="s">
        <v>108</v>
      </c>
      <c r="H176" s="1" t="s">
        <v>569</v>
      </c>
      <c r="I176" s="1">
        <v>36710</v>
      </c>
      <c r="J176" s="1" t="s">
        <v>34</v>
      </c>
      <c r="K176" s="1" t="s">
        <v>570</v>
      </c>
      <c r="L176" s="1" t="s">
        <v>21</v>
      </c>
      <c r="M176" s="1" t="s">
        <v>1509</v>
      </c>
      <c r="N176" s="1">
        <v>1</v>
      </c>
      <c r="O176" s="1">
        <v>38545.5</v>
      </c>
    </row>
    <row r="177" spans="1:15" x14ac:dyDescent="0.3">
      <c r="A177" s="1" t="s">
        <v>571</v>
      </c>
      <c r="B177" s="1" t="s">
        <v>143</v>
      </c>
      <c r="C177" s="1" t="s">
        <v>83</v>
      </c>
      <c r="D177" s="1" t="s">
        <v>15</v>
      </c>
      <c r="E177" s="1">
        <v>58</v>
      </c>
      <c r="F177" s="1" t="s">
        <v>16</v>
      </c>
      <c r="G177" s="1" t="s">
        <v>32</v>
      </c>
      <c r="H177" s="1" t="s">
        <v>572</v>
      </c>
      <c r="I177" s="1">
        <v>78149</v>
      </c>
      <c r="J177" s="1" t="s">
        <v>19</v>
      </c>
      <c r="K177" s="1" t="s">
        <v>573</v>
      </c>
      <c r="L177" s="1" t="s">
        <v>36</v>
      </c>
      <c r="M177" s="1" t="s">
        <v>1509</v>
      </c>
      <c r="N177" s="1">
        <v>5</v>
      </c>
      <c r="O177" s="1">
        <v>89871.35</v>
      </c>
    </row>
    <row r="178" spans="1:15" x14ac:dyDescent="0.3">
      <c r="A178" s="1" t="s">
        <v>574</v>
      </c>
      <c r="B178" s="1" t="s">
        <v>54</v>
      </c>
      <c r="C178" s="1" t="s">
        <v>90</v>
      </c>
      <c r="D178" s="1" t="s">
        <v>15</v>
      </c>
      <c r="E178" s="1">
        <v>57</v>
      </c>
      <c r="F178" s="1" t="s">
        <v>31</v>
      </c>
      <c r="G178" s="1" t="s">
        <v>32</v>
      </c>
      <c r="H178" s="1" t="s">
        <v>575</v>
      </c>
      <c r="I178" s="1">
        <v>93998</v>
      </c>
      <c r="J178" s="1" t="s">
        <v>19</v>
      </c>
      <c r="K178" s="1" t="s">
        <v>576</v>
      </c>
      <c r="L178" s="1" t="s">
        <v>36</v>
      </c>
      <c r="M178" s="1" t="s">
        <v>1515</v>
      </c>
      <c r="N178" s="1">
        <v>4</v>
      </c>
      <c r="O178" s="1">
        <v>103397.8</v>
      </c>
    </row>
    <row r="179" spans="1:15" x14ac:dyDescent="0.3">
      <c r="A179" s="1" t="s">
        <v>577</v>
      </c>
      <c r="B179" s="1" t="s">
        <v>58</v>
      </c>
      <c r="C179" s="1" t="s">
        <v>78</v>
      </c>
      <c r="D179" s="1" t="s">
        <v>24</v>
      </c>
      <c r="E179" s="1">
        <v>50</v>
      </c>
      <c r="F179" s="1" t="s">
        <v>16</v>
      </c>
      <c r="G179" s="1" t="s">
        <v>40</v>
      </c>
      <c r="H179" s="1" t="s">
        <v>578</v>
      </c>
      <c r="I179" s="1">
        <v>47599</v>
      </c>
      <c r="J179" s="1" t="s">
        <v>80</v>
      </c>
      <c r="K179" s="1" t="s">
        <v>579</v>
      </c>
      <c r="L179" s="1" t="s">
        <v>21</v>
      </c>
      <c r="M179" s="1" t="s">
        <v>1509</v>
      </c>
      <c r="N179" s="1">
        <v>3</v>
      </c>
      <c r="O179" s="1">
        <v>50930.93</v>
      </c>
    </row>
    <row r="180" spans="1:15" x14ac:dyDescent="0.3">
      <c r="A180" s="1" t="s">
        <v>580</v>
      </c>
      <c r="B180" s="1" t="s">
        <v>54</v>
      </c>
      <c r="C180" s="1" t="s">
        <v>45</v>
      </c>
      <c r="D180" s="1" t="s">
        <v>15</v>
      </c>
      <c r="E180" s="1">
        <v>32</v>
      </c>
      <c r="F180" s="1" t="s">
        <v>50</v>
      </c>
      <c r="G180" s="1" t="s">
        <v>26</v>
      </c>
      <c r="H180" s="1" t="s">
        <v>581</v>
      </c>
      <c r="I180" s="1">
        <v>82412</v>
      </c>
      <c r="J180" s="1" t="s">
        <v>65</v>
      </c>
      <c r="K180" s="1" t="s">
        <v>582</v>
      </c>
      <c r="L180" s="1" t="s">
        <v>36</v>
      </c>
      <c r="M180" s="1" t="s">
        <v>1511</v>
      </c>
      <c r="N180" s="1">
        <v>4</v>
      </c>
      <c r="O180" s="1">
        <v>90653.2</v>
      </c>
    </row>
    <row r="181" spans="1:15" x14ac:dyDescent="0.3">
      <c r="A181" s="1" t="s">
        <v>583</v>
      </c>
      <c r="B181" s="1" t="s">
        <v>30</v>
      </c>
      <c r="C181" s="1" t="s">
        <v>78</v>
      </c>
      <c r="D181" s="1" t="s">
        <v>24</v>
      </c>
      <c r="E181" s="1">
        <v>52</v>
      </c>
      <c r="F181" s="1" t="s">
        <v>31</v>
      </c>
      <c r="G181" s="1" t="s">
        <v>17</v>
      </c>
      <c r="H181" s="1" t="s">
        <v>584</v>
      </c>
      <c r="I181" s="1">
        <v>82496</v>
      </c>
      <c r="J181" s="1" t="s">
        <v>65</v>
      </c>
      <c r="K181" s="1" t="s">
        <v>585</v>
      </c>
      <c r="L181" s="1" t="s">
        <v>21</v>
      </c>
      <c r="M181" s="1" t="s">
        <v>1515</v>
      </c>
      <c r="N181" s="1">
        <v>2</v>
      </c>
      <c r="O181" s="1">
        <v>86620.800000000003</v>
      </c>
    </row>
    <row r="182" spans="1:15" x14ac:dyDescent="0.3">
      <c r="A182" s="1" t="s">
        <v>586</v>
      </c>
      <c r="B182" s="1" t="s">
        <v>49</v>
      </c>
      <c r="C182" s="1" t="s">
        <v>130</v>
      </c>
      <c r="D182" s="1" t="s">
        <v>15</v>
      </c>
      <c r="E182" s="1">
        <v>60</v>
      </c>
      <c r="F182" s="1" t="s">
        <v>31</v>
      </c>
      <c r="G182" s="1" t="s">
        <v>26</v>
      </c>
      <c r="H182" s="1" t="s">
        <v>587</v>
      </c>
      <c r="I182" s="1">
        <v>51231</v>
      </c>
      <c r="J182" s="1" t="s">
        <v>65</v>
      </c>
      <c r="K182" s="1" t="s">
        <v>588</v>
      </c>
      <c r="L182" s="1" t="s">
        <v>36</v>
      </c>
      <c r="M182" s="1" t="s">
        <v>1515</v>
      </c>
      <c r="N182" s="1">
        <v>2</v>
      </c>
      <c r="O182" s="1">
        <v>53792.55</v>
      </c>
    </row>
    <row r="183" spans="1:15" x14ac:dyDescent="0.3">
      <c r="A183" s="1" t="s">
        <v>589</v>
      </c>
      <c r="B183" s="1" t="s">
        <v>143</v>
      </c>
      <c r="C183" s="1" t="s">
        <v>14</v>
      </c>
      <c r="D183" s="1" t="s">
        <v>15</v>
      </c>
      <c r="E183" s="1">
        <v>48</v>
      </c>
      <c r="F183" s="1" t="s">
        <v>50</v>
      </c>
      <c r="G183" s="1" t="s">
        <v>26</v>
      </c>
      <c r="H183" s="1" t="s">
        <v>590</v>
      </c>
      <c r="I183" s="1">
        <v>119053</v>
      </c>
      <c r="J183" s="1" t="s">
        <v>19</v>
      </c>
      <c r="K183" s="1" t="s">
        <v>591</v>
      </c>
      <c r="L183" s="1" t="s">
        <v>21</v>
      </c>
      <c r="M183" s="1" t="s">
        <v>1511</v>
      </c>
      <c r="N183" s="1">
        <v>4</v>
      </c>
      <c r="O183" s="1">
        <v>130958.3</v>
      </c>
    </row>
    <row r="184" spans="1:15" x14ac:dyDescent="0.3">
      <c r="A184" s="1" t="s">
        <v>592</v>
      </c>
      <c r="B184" s="1" t="s">
        <v>71</v>
      </c>
      <c r="C184" s="1" t="s">
        <v>83</v>
      </c>
      <c r="D184" s="1" t="s">
        <v>24</v>
      </c>
      <c r="E184" s="1">
        <v>60</v>
      </c>
      <c r="F184" s="1" t="s">
        <v>31</v>
      </c>
      <c r="G184" s="1" t="s">
        <v>17</v>
      </c>
      <c r="H184" s="1" t="s">
        <v>593</v>
      </c>
      <c r="I184" s="1">
        <v>111243</v>
      </c>
      <c r="J184" s="1" t="s">
        <v>19</v>
      </c>
      <c r="K184" s="1" t="s">
        <v>594</v>
      </c>
      <c r="L184" s="1" t="s">
        <v>21</v>
      </c>
      <c r="M184" s="1" t="s">
        <v>1515</v>
      </c>
      <c r="N184" s="1">
        <v>4</v>
      </c>
      <c r="O184" s="1">
        <v>122367.3</v>
      </c>
    </row>
    <row r="185" spans="1:15" x14ac:dyDescent="0.3">
      <c r="A185" s="1" t="s">
        <v>595</v>
      </c>
      <c r="B185" s="1" t="s">
        <v>143</v>
      </c>
      <c r="C185" s="1" t="s">
        <v>63</v>
      </c>
      <c r="D185" s="1" t="s">
        <v>15</v>
      </c>
      <c r="E185" s="1">
        <v>55</v>
      </c>
      <c r="F185" s="1" t="s">
        <v>25</v>
      </c>
      <c r="G185" s="1" t="s">
        <v>17</v>
      </c>
      <c r="H185" s="1" t="s">
        <v>596</v>
      </c>
      <c r="I185" s="1">
        <v>73063</v>
      </c>
      <c r="J185" s="1" t="s">
        <v>80</v>
      </c>
      <c r="K185" s="1" t="s">
        <v>597</v>
      </c>
      <c r="L185" s="1" t="s">
        <v>21</v>
      </c>
      <c r="M185" s="1" t="s">
        <v>1513</v>
      </c>
      <c r="N185" s="1">
        <v>1</v>
      </c>
      <c r="O185" s="1">
        <v>76716.149999999994</v>
      </c>
    </row>
    <row r="186" spans="1:15" x14ac:dyDescent="0.3">
      <c r="A186" s="1" t="s">
        <v>598</v>
      </c>
      <c r="B186" s="1" t="s">
        <v>143</v>
      </c>
      <c r="C186" s="1" t="s">
        <v>45</v>
      </c>
      <c r="D186" s="1" t="s">
        <v>24</v>
      </c>
      <c r="E186" s="1">
        <v>35</v>
      </c>
      <c r="F186" s="1" t="s">
        <v>39</v>
      </c>
      <c r="G186" s="1" t="s">
        <v>17</v>
      </c>
      <c r="H186" s="1" t="s">
        <v>427</v>
      </c>
      <c r="I186" s="1">
        <v>71247</v>
      </c>
      <c r="J186" s="1" t="s">
        <v>19</v>
      </c>
      <c r="K186" s="1" t="s">
        <v>599</v>
      </c>
      <c r="L186" s="1" t="s">
        <v>36</v>
      </c>
      <c r="M186" s="1" t="s">
        <v>1517</v>
      </c>
      <c r="N186" s="1">
        <v>4</v>
      </c>
      <c r="O186" s="1">
        <v>78371.7</v>
      </c>
    </row>
    <row r="187" spans="1:15" x14ac:dyDescent="0.3">
      <c r="A187" s="1" t="s">
        <v>600</v>
      </c>
      <c r="B187" s="1" t="s">
        <v>38</v>
      </c>
      <c r="C187" s="1" t="s">
        <v>130</v>
      </c>
      <c r="D187" s="1" t="s">
        <v>24</v>
      </c>
      <c r="E187" s="1">
        <v>41</v>
      </c>
      <c r="F187" s="1" t="s">
        <v>31</v>
      </c>
      <c r="G187" s="1" t="s">
        <v>26</v>
      </c>
      <c r="H187" s="1" t="s">
        <v>601</v>
      </c>
      <c r="I187" s="1">
        <v>67422</v>
      </c>
      <c r="J187" s="1" t="s">
        <v>65</v>
      </c>
      <c r="K187" s="1" t="s">
        <v>602</v>
      </c>
      <c r="L187" s="1" t="s">
        <v>36</v>
      </c>
      <c r="M187" s="1" t="s">
        <v>1515</v>
      </c>
      <c r="N187" s="1">
        <v>2</v>
      </c>
      <c r="O187" s="1">
        <v>70793.100000000006</v>
      </c>
    </row>
    <row r="188" spans="1:15" x14ac:dyDescent="0.3">
      <c r="A188" s="1" t="s">
        <v>603</v>
      </c>
      <c r="B188" s="1" t="s">
        <v>30</v>
      </c>
      <c r="C188" s="1" t="s">
        <v>63</v>
      </c>
      <c r="D188" s="1" t="s">
        <v>15</v>
      </c>
      <c r="E188" s="1">
        <v>26</v>
      </c>
      <c r="F188" s="1" t="s">
        <v>25</v>
      </c>
      <c r="G188" s="1" t="s">
        <v>32</v>
      </c>
      <c r="H188" s="1" t="s">
        <v>201</v>
      </c>
      <c r="I188" s="1">
        <v>110628</v>
      </c>
      <c r="J188" s="1" t="s">
        <v>65</v>
      </c>
      <c r="K188" s="1" t="s">
        <v>604</v>
      </c>
      <c r="L188" s="1" t="s">
        <v>36</v>
      </c>
      <c r="M188" s="1" t="s">
        <v>1513</v>
      </c>
      <c r="N188" s="1">
        <v>3</v>
      </c>
      <c r="O188" s="1">
        <v>118371.96</v>
      </c>
    </row>
    <row r="189" spans="1:15" x14ac:dyDescent="0.3">
      <c r="A189" s="1" t="s">
        <v>605</v>
      </c>
      <c r="B189" s="1" t="s">
        <v>49</v>
      </c>
      <c r="C189" s="1" t="s">
        <v>165</v>
      </c>
      <c r="D189" s="1" t="s">
        <v>15</v>
      </c>
      <c r="E189" s="1">
        <v>48</v>
      </c>
      <c r="F189" s="1" t="s">
        <v>39</v>
      </c>
      <c r="G189" s="1" t="s">
        <v>17</v>
      </c>
      <c r="H189" s="1" t="s">
        <v>606</v>
      </c>
      <c r="I189" s="1">
        <v>96540</v>
      </c>
      <c r="J189" s="1" t="s">
        <v>34</v>
      </c>
      <c r="K189" s="1" t="s">
        <v>607</v>
      </c>
      <c r="L189" s="1" t="s">
        <v>36</v>
      </c>
      <c r="M189" s="1" t="s">
        <v>1517</v>
      </c>
      <c r="N189" s="1">
        <v>3</v>
      </c>
      <c r="O189" s="1">
        <v>103297.8</v>
      </c>
    </row>
    <row r="190" spans="1:15" x14ac:dyDescent="0.3">
      <c r="A190" s="1" t="s">
        <v>608</v>
      </c>
      <c r="B190" s="1" t="s">
        <v>54</v>
      </c>
      <c r="C190" s="1" t="s">
        <v>78</v>
      </c>
      <c r="D190" s="1" t="s">
        <v>15</v>
      </c>
      <c r="E190" s="1">
        <v>49</v>
      </c>
      <c r="F190" s="1" t="s">
        <v>39</v>
      </c>
      <c r="G190" s="1" t="s">
        <v>17</v>
      </c>
      <c r="H190" s="1" t="s">
        <v>609</v>
      </c>
      <c r="I190" s="1">
        <v>76991</v>
      </c>
      <c r="J190" s="1" t="s">
        <v>60</v>
      </c>
      <c r="K190" s="1" t="s">
        <v>610</v>
      </c>
      <c r="L190" s="1" t="s">
        <v>21</v>
      </c>
      <c r="M190" s="1" t="s">
        <v>1517</v>
      </c>
      <c r="N190" s="1">
        <v>5</v>
      </c>
      <c r="O190" s="1">
        <v>88539.65</v>
      </c>
    </row>
    <row r="191" spans="1:15" x14ac:dyDescent="0.3">
      <c r="A191" s="1" t="s">
        <v>611</v>
      </c>
      <c r="B191" s="1" t="s">
        <v>58</v>
      </c>
      <c r="C191" s="1" t="s">
        <v>130</v>
      </c>
      <c r="D191" s="1" t="s">
        <v>24</v>
      </c>
      <c r="E191" s="1">
        <v>26</v>
      </c>
      <c r="F191" s="1" t="s">
        <v>31</v>
      </c>
      <c r="G191" s="1" t="s">
        <v>17</v>
      </c>
      <c r="H191" s="1" t="s">
        <v>612</v>
      </c>
      <c r="I191" s="1">
        <v>92562</v>
      </c>
      <c r="J191" s="1" t="s">
        <v>34</v>
      </c>
      <c r="K191" s="1" t="s">
        <v>613</v>
      </c>
      <c r="L191" s="1" t="s">
        <v>36</v>
      </c>
      <c r="M191" s="1" t="s">
        <v>1515</v>
      </c>
      <c r="N191" s="1">
        <v>5</v>
      </c>
      <c r="O191" s="1">
        <v>106446.3</v>
      </c>
    </row>
    <row r="192" spans="1:15" x14ac:dyDescent="0.3">
      <c r="A192" s="1" t="s">
        <v>614</v>
      </c>
      <c r="B192" s="1" t="s">
        <v>143</v>
      </c>
      <c r="C192" s="1" t="s">
        <v>165</v>
      </c>
      <c r="D192" s="1" t="s">
        <v>15</v>
      </c>
      <c r="E192" s="1">
        <v>51</v>
      </c>
      <c r="F192" s="1" t="s">
        <v>31</v>
      </c>
      <c r="G192" s="1" t="s">
        <v>40</v>
      </c>
      <c r="H192" s="1" t="s">
        <v>615</v>
      </c>
      <c r="I192" s="1">
        <v>102983</v>
      </c>
      <c r="J192" s="1" t="s">
        <v>34</v>
      </c>
      <c r="K192" s="1" t="s">
        <v>616</v>
      </c>
      <c r="L192" s="1" t="s">
        <v>36</v>
      </c>
      <c r="M192" s="1" t="s">
        <v>1515</v>
      </c>
      <c r="N192" s="1">
        <v>2</v>
      </c>
      <c r="O192" s="1">
        <v>108132.15</v>
      </c>
    </row>
    <row r="193" spans="1:15" x14ac:dyDescent="0.3">
      <c r="A193" s="1" t="s">
        <v>617</v>
      </c>
      <c r="B193" s="1" t="s">
        <v>143</v>
      </c>
      <c r="C193" s="1" t="s">
        <v>95</v>
      </c>
      <c r="D193" s="1" t="s">
        <v>24</v>
      </c>
      <c r="E193" s="1">
        <v>23</v>
      </c>
      <c r="F193" s="1" t="s">
        <v>16</v>
      </c>
      <c r="G193" s="1" t="s">
        <v>32</v>
      </c>
      <c r="H193" s="1" t="s">
        <v>618</v>
      </c>
      <c r="I193" s="1">
        <v>114420</v>
      </c>
      <c r="J193" s="1" t="s">
        <v>19</v>
      </c>
      <c r="K193" s="1" t="s">
        <v>619</v>
      </c>
      <c r="L193" s="1" t="s">
        <v>21</v>
      </c>
      <c r="M193" s="1" t="s">
        <v>1509</v>
      </c>
      <c r="N193" s="1">
        <v>3</v>
      </c>
      <c r="O193" s="1">
        <v>122429.4</v>
      </c>
    </row>
    <row r="194" spans="1:15" x14ac:dyDescent="0.3">
      <c r="A194" s="1" t="s">
        <v>620</v>
      </c>
      <c r="B194" s="1" t="s">
        <v>30</v>
      </c>
      <c r="C194" s="1" t="s">
        <v>165</v>
      </c>
      <c r="D194" s="1" t="s">
        <v>15</v>
      </c>
      <c r="E194" s="1">
        <v>58</v>
      </c>
      <c r="F194" s="1" t="s">
        <v>50</v>
      </c>
      <c r="G194" s="1" t="s">
        <v>32</v>
      </c>
      <c r="H194" s="1" t="s">
        <v>621</v>
      </c>
      <c r="I194" s="1">
        <v>108419</v>
      </c>
      <c r="J194" s="1" t="s">
        <v>60</v>
      </c>
      <c r="K194" s="1" t="s">
        <v>622</v>
      </c>
      <c r="L194" s="1" t="s">
        <v>21</v>
      </c>
      <c r="M194" s="1" t="s">
        <v>1511</v>
      </c>
      <c r="N194" s="1">
        <v>3</v>
      </c>
      <c r="O194" s="1">
        <v>116008.33</v>
      </c>
    </row>
    <row r="195" spans="1:15" x14ac:dyDescent="0.3">
      <c r="A195" s="1" t="s">
        <v>623</v>
      </c>
      <c r="B195" s="1" t="s">
        <v>94</v>
      </c>
      <c r="C195" s="1" t="s">
        <v>45</v>
      </c>
      <c r="D195" s="1" t="s">
        <v>24</v>
      </c>
      <c r="E195" s="1">
        <v>54</v>
      </c>
      <c r="F195" s="1" t="s">
        <v>31</v>
      </c>
      <c r="G195" s="1" t="s">
        <v>108</v>
      </c>
      <c r="H195" s="1" t="s">
        <v>624</v>
      </c>
      <c r="I195" s="1">
        <v>100498</v>
      </c>
      <c r="J195" s="1" t="s">
        <v>65</v>
      </c>
      <c r="K195" s="1" t="s">
        <v>625</v>
      </c>
      <c r="L195" s="1" t="s">
        <v>36</v>
      </c>
      <c r="M195" s="1" t="s">
        <v>1515</v>
      </c>
      <c r="N195" s="1">
        <v>3</v>
      </c>
      <c r="O195" s="1">
        <v>107532.86</v>
      </c>
    </row>
    <row r="196" spans="1:15" x14ac:dyDescent="0.3">
      <c r="A196" s="1" t="s">
        <v>626</v>
      </c>
      <c r="B196" s="1" t="s">
        <v>13</v>
      </c>
      <c r="C196" s="1" t="s">
        <v>165</v>
      </c>
      <c r="D196" s="1" t="s">
        <v>24</v>
      </c>
      <c r="E196" s="1">
        <v>48</v>
      </c>
      <c r="F196" s="1" t="s">
        <v>25</v>
      </c>
      <c r="G196" s="1" t="s">
        <v>17</v>
      </c>
      <c r="H196" s="1" t="s">
        <v>627</v>
      </c>
      <c r="I196" s="1">
        <v>62004</v>
      </c>
      <c r="J196" s="1" t="s">
        <v>65</v>
      </c>
      <c r="K196" s="1" t="s">
        <v>628</v>
      </c>
      <c r="L196" s="1" t="s">
        <v>21</v>
      </c>
      <c r="M196" s="1" t="s">
        <v>1513</v>
      </c>
      <c r="N196" s="1">
        <v>2</v>
      </c>
      <c r="O196" s="1">
        <v>65104.2</v>
      </c>
    </row>
    <row r="197" spans="1:15" x14ac:dyDescent="0.3">
      <c r="A197" s="1" t="s">
        <v>629</v>
      </c>
      <c r="B197" s="1" t="s">
        <v>58</v>
      </c>
      <c r="C197" s="1" t="s">
        <v>83</v>
      </c>
      <c r="D197" s="1" t="s">
        <v>24</v>
      </c>
      <c r="E197" s="1">
        <v>46</v>
      </c>
      <c r="F197" s="1" t="s">
        <v>39</v>
      </c>
      <c r="G197" s="1" t="s">
        <v>26</v>
      </c>
      <c r="H197" s="1" t="s">
        <v>630</v>
      </c>
      <c r="I197" s="1">
        <v>37033</v>
      </c>
      <c r="J197" s="1" t="s">
        <v>60</v>
      </c>
      <c r="K197" s="1" t="s">
        <v>631</v>
      </c>
      <c r="L197" s="1" t="s">
        <v>36</v>
      </c>
      <c r="M197" s="1" t="s">
        <v>1517</v>
      </c>
      <c r="N197" s="1">
        <v>3</v>
      </c>
      <c r="O197" s="1">
        <v>39625.31</v>
      </c>
    </row>
    <row r="198" spans="1:15" x14ac:dyDescent="0.3">
      <c r="A198" s="1" t="s">
        <v>632</v>
      </c>
      <c r="B198" s="1" t="s">
        <v>13</v>
      </c>
      <c r="C198" s="1" t="s">
        <v>63</v>
      </c>
      <c r="D198" s="1" t="s">
        <v>24</v>
      </c>
      <c r="E198" s="1">
        <v>25</v>
      </c>
      <c r="F198" s="1" t="s">
        <v>39</v>
      </c>
      <c r="G198" s="1" t="s">
        <v>108</v>
      </c>
      <c r="H198" s="1" t="s">
        <v>633</v>
      </c>
      <c r="I198" s="1">
        <v>58062</v>
      </c>
      <c r="J198" s="1" t="s">
        <v>34</v>
      </c>
      <c r="K198" s="1" t="s">
        <v>634</v>
      </c>
      <c r="L198" s="1" t="s">
        <v>21</v>
      </c>
      <c r="M198" s="1" t="s">
        <v>1517</v>
      </c>
      <c r="N198" s="1">
        <v>2</v>
      </c>
      <c r="O198" s="1">
        <v>60965.1</v>
      </c>
    </row>
    <row r="199" spans="1:15" x14ac:dyDescent="0.3">
      <c r="A199" s="1" t="s">
        <v>635</v>
      </c>
      <c r="B199" s="1" t="s">
        <v>44</v>
      </c>
      <c r="C199" s="1" t="s">
        <v>130</v>
      </c>
      <c r="D199" s="1" t="s">
        <v>15</v>
      </c>
      <c r="E199" s="1">
        <v>29</v>
      </c>
      <c r="F199" s="1" t="s">
        <v>16</v>
      </c>
      <c r="G199" s="1" t="s">
        <v>40</v>
      </c>
      <c r="H199" s="1" t="s">
        <v>261</v>
      </c>
      <c r="I199" s="1">
        <v>49357</v>
      </c>
      <c r="J199" s="1" t="s">
        <v>60</v>
      </c>
      <c r="K199" s="1" t="s">
        <v>636</v>
      </c>
      <c r="L199" s="1" t="s">
        <v>21</v>
      </c>
      <c r="M199" s="1" t="s">
        <v>1509</v>
      </c>
      <c r="N199" s="1">
        <v>2</v>
      </c>
      <c r="O199" s="1">
        <v>51824.85</v>
      </c>
    </row>
    <row r="200" spans="1:15" x14ac:dyDescent="0.3">
      <c r="A200" s="1" t="s">
        <v>637</v>
      </c>
      <c r="B200" s="1" t="s">
        <v>71</v>
      </c>
      <c r="C200" s="1" t="s">
        <v>90</v>
      </c>
      <c r="D200" s="1" t="s">
        <v>15</v>
      </c>
      <c r="E200" s="1">
        <v>54</v>
      </c>
      <c r="F200" s="1" t="s">
        <v>31</v>
      </c>
      <c r="G200" s="1" t="s">
        <v>26</v>
      </c>
      <c r="H200" s="1" t="s">
        <v>638</v>
      </c>
      <c r="I200" s="1">
        <v>59758</v>
      </c>
      <c r="J200" s="1" t="s">
        <v>34</v>
      </c>
      <c r="K200" s="1" t="s">
        <v>639</v>
      </c>
      <c r="L200" s="1" t="s">
        <v>36</v>
      </c>
      <c r="M200" s="1" t="s">
        <v>1515</v>
      </c>
      <c r="N200" s="1">
        <v>5</v>
      </c>
      <c r="O200" s="1">
        <v>68721.7</v>
      </c>
    </row>
    <row r="201" spans="1:15" x14ac:dyDescent="0.3">
      <c r="A201" s="1" t="s">
        <v>640</v>
      </c>
      <c r="B201" s="1" t="s">
        <v>94</v>
      </c>
      <c r="C201" s="1" t="s">
        <v>165</v>
      </c>
      <c r="D201" s="1" t="s">
        <v>24</v>
      </c>
      <c r="E201" s="1">
        <v>37</v>
      </c>
      <c r="F201" s="1" t="s">
        <v>50</v>
      </c>
      <c r="G201" s="1" t="s">
        <v>17</v>
      </c>
      <c r="H201" s="1" t="s">
        <v>641</v>
      </c>
      <c r="I201" s="1">
        <v>45788</v>
      </c>
      <c r="J201" s="1" t="s">
        <v>80</v>
      </c>
      <c r="K201" s="1" t="s">
        <v>642</v>
      </c>
      <c r="L201" s="1" t="s">
        <v>36</v>
      </c>
      <c r="M201" s="1" t="s">
        <v>1511</v>
      </c>
      <c r="N201" s="1">
        <v>1</v>
      </c>
      <c r="O201" s="1">
        <v>48077.4</v>
      </c>
    </row>
    <row r="202" spans="1:15" x14ac:dyDescent="0.3">
      <c r="A202" s="1" t="s">
        <v>643</v>
      </c>
      <c r="B202" s="1" t="s">
        <v>30</v>
      </c>
      <c r="C202" s="1" t="s">
        <v>23</v>
      </c>
      <c r="D202" s="1" t="s">
        <v>24</v>
      </c>
      <c r="E202" s="1">
        <v>28</v>
      </c>
      <c r="F202" s="1" t="s">
        <v>16</v>
      </c>
      <c r="G202" s="1" t="s">
        <v>32</v>
      </c>
      <c r="H202" s="1" t="s">
        <v>644</v>
      </c>
      <c r="I202" s="1">
        <v>38862</v>
      </c>
      <c r="J202" s="1" t="s">
        <v>65</v>
      </c>
      <c r="K202" s="1" t="s">
        <v>645</v>
      </c>
      <c r="L202" s="1" t="s">
        <v>36</v>
      </c>
      <c r="M202" s="1" t="s">
        <v>1509</v>
      </c>
      <c r="N202" s="1">
        <v>3</v>
      </c>
      <c r="O202" s="1">
        <v>41582.339999999997</v>
      </c>
    </row>
    <row r="203" spans="1:15" x14ac:dyDescent="0.3">
      <c r="A203" s="1" t="s">
        <v>646</v>
      </c>
      <c r="B203" s="1" t="s">
        <v>44</v>
      </c>
      <c r="C203" s="1" t="s">
        <v>165</v>
      </c>
      <c r="D203" s="1" t="s">
        <v>24</v>
      </c>
      <c r="E203" s="1">
        <v>48</v>
      </c>
      <c r="F203" s="1" t="s">
        <v>25</v>
      </c>
      <c r="G203" s="1" t="s">
        <v>40</v>
      </c>
      <c r="H203" s="1" t="s">
        <v>647</v>
      </c>
      <c r="I203" s="1">
        <v>76132</v>
      </c>
      <c r="J203" s="1" t="s">
        <v>19</v>
      </c>
      <c r="K203" s="1" t="s">
        <v>648</v>
      </c>
      <c r="L203" s="1" t="s">
        <v>36</v>
      </c>
      <c r="M203" s="1" t="s">
        <v>1513</v>
      </c>
      <c r="N203" s="1">
        <v>2</v>
      </c>
      <c r="O203" s="1">
        <v>79938.600000000006</v>
      </c>
    </row>
    <row r="204" spans="1:15" x14ac:dyDescent="0.3">
      <c r="A204" s="1" t="s">
        <v>649</v>
      </c>
      <c r="B204" s="1" t="s">
        <v>30</v>
      </c>
      <c r="C204" s="1" t="s">
        <v>78</v>
      </c>
      <c r="D204" s="1" t="s">
        <v>24</v>
      </c>
      <c r="E204" s="1">
        <v>49</v>
      </c>
      <c r="F204" s="1" t="s">
        <v>25</v>
      </c>
      <c r="G204" s="1" t="s">
        <v>17</v>
      </c>
      <c r="H204" s="1" t="s">
        <v>650</v>
      </c>
      <c r="I204" s="1">
        <v>56773</v>
      </c>
      <c r="J204" s="1" t="s">
        <v>80</v>
      </c>
      <c r="K204" s="1" t="s">
        <v>651</v>
      </c>
      <c r="L204" s="1" t="s">
        <v>21</v>
      </c>
      <c r="M204" s="1" t="s">
        <v>1513</v>
      </c>
      <c r="N204" s="1">
        <v>2</v>
      </c>
      <c r="O204" s="1">
        <v>59611.65</v>
      </c>
    </row>
    <row r="205" spans="1:15" x14ac:dyDescent="0.3">
      <c r="A205" s="1" t="s">
        <v>652</v>
      </c>
      <c r="B205" s="1" t="s">
        <v>30</v>
      </c>
      <c r="C205" s="1" t="s">
        <v>23</v>
      </c>
      <c r="D205" s="1" t="s">
        <v>15</v>
      </c>
      <c r="E205" s="1">
        <v>25</v>
      </c>
      <c r="F205" s="1" t="s">
        <v>16</v>
      </c>
      <c r="G205" s="1" t="s">
        <v>40</v>
      </c>
      <c r="H205" s="1" t="s">
        <v>653</v>
      </c>
      <c r="I205" s="1">
        <v>84117</v>
      </c>
      <c r="J205" s="1" t="s">
        <v>80</v>
      </c>
      <c r="K205" s="1" t="s">
        <v>654</v>
      </c>
      <c r="L205" s="1" t="s">
        <v>36</v>
      </c>
      <c r="M205" s="1" t="s">
        <v>1509</v>
      </c>
      <c r="N205" s="1">
        <v>4</v>
      </c>
      <c r="O205" s="1">
        <v>92528.7</v>
      </c>
    </row>
    <row r="206" spans="1:15" x14ac:dyDescent="0.3">
      <c r="A206" s="1" t="s">
        <v>655</v>
      </c>
      <c r="B206" s="1" t="s">
        <v>58</v>
      </c>
      <c r="C206" s="1" t="s">
        <v>45</v>
      </c>
      <c r="D206" s="1" t="s">
        <v>24</v>
      </c>
      <c r="E206" s="1">
        <v>41</v>
      </c>
      <c r="F206" s="1" t="s">
        <v>16</v>
      </c>
      <c r="G206" s="1" t="s">
        <v>26</v>
      </c>
      <c r="H206" s="1" t="s">
        <v>656</v>
      </c>
      <c r="I206" s="1">
        <v>111999</v>
      </c>
      <c r="J206" s="1" t="s">
        <v>80</v>
      </c>
      <c r="K206" s="1" t="s">
        <v>657</v>
      </c>
      <c r="L206" s="1" t="s">
        <v>36</v>
      </c>
      <c r="M206" s="1" t="s">
        <v>1509</v>
      </c>
      <c r="N206" s="1">
        <v>4</v>
      </c>
      <c r="O206" s="1">
        <v>123198.9</v>
      </c>
    </row>
    <row r="207" spans="1:15" x14ac:dyDescent="0.3">
      <c r="A207" s="1" t="s">
        <v>658</v>
      </c>
      <c r="B207" s="1" t="s">
        <v>13</v>
      </c>
      <c r="C207" s="1" t="s">
        <v>45</v>
      </c>
      <c r="D207" s="1" t="s">
        <v>15</v>
      </c>
      <c r="E207" s="1">
        <v>23</v>
      </c>
      <c r="F207" s="1" t="s">
        <v>16</v>
      </c>
      <c r="G207" s="1" t="s">
        <v>40</v>
      </c>
      <c r="H207" s="1" t="s">
        <v>472</v>
      </c>
      <c r="I207" s="1">
        <v>93395</v>
      </c>
      <c r="J207" s="1" t="s">
        <v>65</v>
      </c>
      <c r="K207" s="1" t="s">
        <v>659</v>
      </c>
      <c r="L207" s="1" t="s">
        <v>21</v>
      </c>
      <c r="M207" s="1" t="s">
        <v>1509</v>
      </c>
      <c r="N207" s="1">
        <v>1</v>
      </c>
      <c r="O207" s="1">
        <v>98064.75</v>
      </c>
    </row>
    <row r="208" spans="1:15" x14ac:dyDescent="0.3">
      <c r="A208" s="1" t="s">
        <v>660</v>
      </c>
      <c r="B208" s="1" t="s">
        <v>13</v>
      </c>
      <c r="C208" s="1" t="s">
        <v>14</v>
      </c>
      <c r="D208" s="1" t="s">
        <v>15</v>
      </c>
      <c r="E208" s="1">
        <v>42</v>
      </c>
      <c r="F208" s="1" t="s">
        <v>31</v>
      </c>
      <c r="G208" s="1" t="s">
        <v>108</v>
      </c>
      <c r="H208" s="1" t="s">
        <v>661</v>
      </c>
      <c r="I208" s="1">
        <v>91944</v>
      </c>
      <c r="J208" s="1" t="s">
        <v>60</v>
      </c>
      <c r="K208" s="1" t="s">
        <v>662</v>
      </c>
      <c r="L208" s="1" t="s">
        <v>21</v>
      </c>
      <c r="M208" s="1" t="s">
        <v>1515</v>
      </c>
      <c r="N208" s="1">
        <v>3</v>
      </c>
      <c r="O208" s="1">
        <v>98380.08</v>
      </c>
    </row>
    <row r="209" spans="1:15" x14ac:dyDescent="0.3">
      <c r="A209" s="1" t="s">
        <v>663</v>
      </c>
      <c r="B209" s="1" t="s">
        <v>71</v>
      </c>
      <c r="C209" s="1" t="s">
        <v>63</v>
      </c>
      <c r="D209" s="1" t="s">
        <v>24</v>
      </c>
      <c r="E209" s="1">
        <v>33</v>
      </c>
      <c r="F209" s="1" t="s">
        <v>39</v>
      </c>
      <c r="G209" s="1" t="s">
        <v>40</v>
      </c>
      <c r="H209" s="1" t="s">
        <v>664</v>
      </c>
      <c r="I209" s="1">
        <v>115357</v>
      </c>
      <c r="J209" s="1" t="s">
        <v>19</v>
      </c>
      <c r="K209" s="1" t="s">
        <v>665</v>
      </c>
      <c r="L209" s="1" t="s">
        <v>36</v>
      </c>
      <c r="M209" s="1" t="s">
        <v>1517</v>
      </c>
      <c r="N209" s="1">
        <v>3</v>
      </c>
      <c r="O209" s="1">
        <v>123431.99</v>
      </c>
    </row>
    <row r="210" spans="1:15" x14ac:dyDescent="0.3">
      <c r="A210" s="1" t="s">
        <v>666</v>
      </c>
      <c r="B210" s="1" t="s">
        <v>30</v>
      </c>
      <c r="C210" s="1" t="s">
        <v>14</v>
      </c>
      <c r="D210" s="1" t="s">
        <v>15</v>
      </c>
      <c r="E210" s="1">
        <v>40</v>
      </c>
      <c r="F210" s="1" t="s">
        <v>16</v>
      </c>
      <c r="G210" s="1" t="s">
        <v>108</v>
      </c>
      <c r="H210" s="1" t="s">
        <v>633</v>
      </c>
      <c r="I210" s="1">
        <v>103876</v>
      </c>
      <c r="J210" s="1" t="s">
        <v>80</v>
      </c>
      <c r="K210" s="1" t="s">
        <v>667</v>
      </c>
      <c r="L210" s="1" t="s">
        <v>36</v>
      </c>
      <c r="M210" s="1" t="s">
        <v>1509</v>
      </c>
      <c r="N210" s="1">
        <v>2</v>
      </c>
      <c r="O210" s="1">
        <v>109069.8</v>
      </c>
    </row>
    <row r="211" spans="1:15" x14ac:dyDescent="0.3">
      <c r="A211" s="1" t="s">
        <v>668</v>
      </c>
      <c r="B211" s="1" t="s">
        <v>38</v>
      </c>
      <c r="C211" s="1" t="s">
        <v>165</v>
      </c>
      <c r="D211" s="1" t="s">
        <v>15</v>
      </c>
      <c r="E211" s="1">
        <v>42</v>
      </c>
      <c r="F211" s="1" t="s">
        <v>16</v>
      </c>
      <c r="G211" s="1" t="s">
        <v>108</v>
      </c>
      <c r="H211" s="1" t="s">
        <v>669</v>
      </c>
      <c r="I211" s="1">
        <v>106174</v>
      </c>
      <c r="J211" s="1" t="s">
        <v>65</v>
      </c>
      <c r="K211" s="1" t="s">
        <v>670</v>
      </c>
      <c r="L211" s="1" t="s">
        <v>21</v>
      </c>
      <c r="M211" s="1" t="s">
        <v>1509</v>
      </c>
      <c r="N211" s="1">
        <v>5</v>
      </c>
      <c r="O211" s="1">
        <v>122100.1</v>
      </c>
    </row>
    <row r="212" spans="1:15" x14ac:dyDescent="0.3">
      <c r="A212" s="1" t="s">
        <v>671</v>
      </c>
      <c r="B212" s="1" t="s">
        <v>94</v>
      </c>
      <c r="C212" s="1" t="s">
        <v>45</v>
      </c>
      <c r="D212" s="1" t="s">
        <v>15</v>
      </c>
      <c r="E212" s="1">
        <v>29</v>
      </c>
      <c r="F212" s="1" t="s">
        <v>31</v>
      </c>
      <c r="G212" s="1" t="s">
        <v>40</v>
      </c>
      <c r="H212" s="1" t="s">
        <v>672</v>
      </c>
      <c r="I212" s="1">
        <v>80612</v>
      </c>
      <c r="J212" s="1" t="s">
        <v>65</v>
      </c>
      <c r="K212" s="1" t="s">
        <v>673</v>
      </c>
      <c r="L212" s="1" t="s">
        <v>21</v>
      </c>
      <c r="M212" s="1" t="s">
        <v>1515</v>
      </c>
      <c r="N212" s="1">
        <v>1</v>
      </c>
      <c r="O212" s="1">
        <v>84642.6</v>
      </c>
    </row>
    <row r="213" spans="1:15" x14ac:dyDescent="0.3">
      <c r="A213" s="1" t="s">
        <v>674</v>
      </c>
      <c r="B213" s="1" t="s">
        <v>143</v>
      </c>
      <c r="C213" s="1" t="s">
        <v>23</v>
      </c>
      <c r="D213" s="1" t="s">
        <v>15</v>
      </c>
      <c r="E213" s="1">
        <v>55</v>
      </c>
      <c r="F213" s="1" t="s">
        <v>31</v>
      </c>
      <c r="G213" s="1" t="s">
        <v>40</v>
      </c>
      <c r="H213" s="1" t="s">
        <v>675</v>
      </c>
      <c r="I213" s="1">
        <v>103478</v>
      </c>
      <c r="J213" s="1" t="s">
        <v>65</v>
      </c>
      <c r="K213" s="1" t="s">
        <v>676</v>
      </c>
      <c r="L213" s="1" t="s">
        <v>21</v>
      </c>
      <c r="M213" s="1" t="s">
        <v>1515</v>
      </c>
      <c r="N213" s="1">
        <v>4</v>
      </c>
      <c r="O213" s="1">
        <v>113825.8</v>
      </c>
    </row>
    <row r="214" spans="1:15" x14ac:dyDescent="0.3">
      <c r="A214" s="1" t="s">
        <v>677</v>
      </c>
      <c r="B214" s="1" t="s">
        <v>30</v>
      </c>
      <c r="C214" s="1" t="s">
        <v>78</v>
      </c>
      <c r="D214" s="1" t="s">
        <v>15</v>
      </c>
      <c r="E214" s="1">
        <v>59</v>
      </c>
      <c r="F214" s="1" t="s">
        <v>16</v>
      </c>
      <c r="G214" s="1" t="s">
        <v>32</v>
      </c>
      <c r="H214" s="1" t="s">
        <v>678</v>
      </c>
      <c r="I214" s="1">
        <v>38205</v>
      </c>
      <c r="J214" s="1" t="s">
        <v>80</v>
      </c>
      <c r="K214" s="1" t="s">
        <v>679</v>
      </c>
      <c r="L214" s="1" t="s">
        <v>36</v>
      </c>
      <c r="M214" s="1" t="s">
        <v>1509</v>
      </c>
      <c r="N214" s="1">
        <v>3</v>
      </c>
      <c r="O214" s="1">
        <v>40879.35</v>
      </c>
    </row>
    <row r="215" spans="1:15" x14ac:dyDescent="0.3">
      <c r="A215" s="1" t="s">
        <v>680</v>
      </c>
      <c r="B215" s="1" t="s">
        <v>49</v>
      </c>
      <c r="C215" s="1" t="s">
        <v>130</v>
      </c>
      <c r="D215" s="1" t="s">
        <v>15</v>
      </c>
      <c r="E215" s="1">
        <v>46</v>
      </c>
      <c r="F215" s="1" t="s">
        <v>25</v>
      </c>
      <c r="G215" s="1" t="s">
        <v>108</v>
      </c>
      <c r="H215" s="1" t="s">
        <v>681</v>
      </c>
      <c r="I215" s="1">
        <v>53141</v>
      </c>
      <c r="J215" s="1" t="s">
        <v>34</v>
      </c>
      <c r="K215" s="1" t="s">
        <v>682</v>
      </c>
      <c r="L215" s="1" t="s">
        <v>36</v>
      </c>
      <c r="M215" s="1" t="s">
        <v>1513</v>
      </c>
      <c r="N215" s="1">
        <v>3</v>
      </c>
      <c r="O215" s="1">
        <v>56860.87</v>
      </c>
    </row>
    <row r="216" spans="1:15" x14ac:dyDescent="0.3">
      <c r="A216" s="1" t="s">
        <v>683</v>
      </c>
      <c r="B216" s="1" t="s">
        <v>38</v>
      </c>
      <c r="C216" s="1" t="s">
        <v>63</v>
      </c>
      <c r="D216" s="1" t="s">
        <v>24</v>
      </c>
      <c r="E216" s="1">
        <v>27</v>
      </c>
      <c r="F216" s="1" t="s">
        <v>25</v>
      </c>
      <c r="G216" s="1" t="s">
        <v>108</v>
      </c>
      <c r="H216" s="1" t="s">
        <v>684</v>
      </c>
      <c r="I216" s="1">
        <v>70180</v>
      </c>
      <c r="J216" s="1" t="s">
        <v>34</v>
      </c>
      <c r="K216" s="1" t="s">
        <v>685</v>
      </c>
      <c r="L216" s="1" t="s">
        <v>21</v>
      </c>
      <c r="M216" s="1" t="s">
        <v>1513</v>
      </c>
      <c r="N216" s="1">
        <v>5</v>
      </c>
      <c r="O216" s="1">
        <v>80707</v>
      </c>
    </row>
    <row r="217" spans="1:15" x14ac:dyDescent="0.3">
      <c r="A217" s="1" t="s">
        <v>686</v>
      </c>
      <c r="B217" s="1" t="s">
        <v>38</v>
      </c>
      <c r="C217" s="1" t="s">
        <v>45</v>
      </c>
      <c r="D217" s="1" t="s">
        <v>15</v>
      </c>
      <c r="E217" s="1">
        <v>29</v>
      </c>
      <c r="F217" s="1" t="s">
        <v>50</v>
      </c>
      <c r="G217" s="1" t="s">
        <v>26</v>
      </c>
      <c r="H217" s="1" t="s">
        <v>687</v>
      </c>
      <c r="I217" s="1">
        <v>48946</v>
      </c>
      <c r="J217" s="1" t="s">
        <v>60</v>
      </c>
      <c r="K217" s="1" t="s">
        <v>688</v>
      </c>
      <c r="L217" s="1" t="s">
        <v>36</v>
      </c>
      <c r="M217" s="1" t="s">
        <v>1511</v>
      </c>
      <c r="N217" s="1">
        <v>3</v>
      </c>
      <c r="O217" s="1">
        <v>52372.22</v>
      </c>
    </row>
    <row r="218" spans="1:15" x14ac:dyDescent="0.3">
      <c r="A218" s="1" t="s">
        <v>689</v>
      </c>
      <c r="B218" s="1" t="s">
        <v>94</v>
      </c>
      <c r="C218" s="1" t="s">
        <v>78</v>
      </c>
      <c r="D218" s="1" t="s">
        <v>24</v>
      </c>
      <c r="E218" s="1">
        <v>38</v>
      </c>
      <c r="F218" s="1" t="s">
        <v>31</v>
      </c>
      <c r="G218" s="1" t="s">
        <v>32</v>
      </c>
      <c r="H218" s="1" t="s">
        <v>178</v>
      </c>
      <c r="I218" s="1">
        <v>107342</v>
      </c>
      <c r="J218" s="1" t="s">
        <v>80</v>
      </c>
      <c r="K218" s="1" t="s">
        <v>690</v>
      </c>
      <c r="L218" s="1" t="s">
        <v>21</v>
      </c>
      <c r="M218" s="1" t="s">
        <v>1515</v>
      </c>
      <c r="N218" s="1">
        <v>1</v>
      </c>
      <c r="O218" s="1">
        <v>112709.1</v>
      </c>
    </row>
    <row r="219" spans="1:15" x14ac:dyDescent="0.3">
      <c r="A219" s="1" t="s">
        <v>691</v>
      </c>
      <c r="B219" s="1" t="s">
        <v>30</v>
      </c>
      <c r="C219" s="1" t="s">
        <v>130</v>
      </c>
      <c r="D219" s="1" t="s">
        <v>24</v>
      </c>
      <c r="E219" s="1">
        <v>58</v>
      </c>
      <c r="F219" s="1" t="s">
        <v>31</v>
      </c>
      <c r="G219" s="1" t="s">
        <v>108</v>
      </c>
      <c r="H219" s="1" t="s">
        <v>692</v>
      </c>
      <c r="I219" s="1">
        <v>45973</v>
      </c>
      <c r="J219" s="1" t="s">
        <v>65</v>
      </c>
      <c r="K219" s="1" t="s">
        <v>693</v>
      </c>
      <c r="L219" s="1" t="s">
        <v>36</v>
      </c>
      <c r="M219" s="1" t="s">
        <v>1515</v>
      </c>
      <c r="N219" s="1">
        <v>3</v>
      </c>
      <c r="O219" s="1">
        <v>49191.11</v>
      </c>
    </row>
    <row r="220" spans="1:15" x14ac:dyDescent="0.3">
      <c r="A220" s="1" t="s">
        <v>694</v>
      </c>
      <c r="B220" s="1" t="s">
        <v>38</v>
      </c>
      <c r="C220" s="1" t="s">
        <v>83</v>
      </c>
      <c r="D220" s="1" t="s">
        <v>15</v>
      </c>
      <c r="E220" s="1">
        <v>26</v>
      </c>
      <c r="F220" s="1" t="s">
        <v>39</v>
      </c>
      <c r="G220" s="1" t="s">
        <v>26</v>
      </c>
      <c r="H220" s="1" t="s">
        <v>695</v>
      </c>
      <c r="I220" s="1">
        <v>49800</v>
      </c>
      <c r="J220" s="1" t="s">
        <v>60</v>
      </c>
      <c r="K220" s="1" t="s">
        <v>696</v>
      </c>
      <c r="L220" s="1" t="s">
        <v>36</v>
      </c>
      <c r="M220" s="1" t="s">
        <v>1517</v>
      </c>
      <c r="N220" s="1">
        <v>5</v>
      </c>
      <c r="O220" s="1">
        <v>57270</v>
      </c>
    </row>
    <row r="221" spans="1:15" x14ac:dyDescent="0.3">
      <c r="A221" s="1" t="s">
        <v>697</v>
      </c>
      <c r="B221" s="1" t="s">
        <v>143</v>
      </c>
      <c r="C221" s="1" t="s">
        <v>23</v>
      </c>
      <c r="D221" s="1" t="s">
        <v>24</v>
      </c>
      <c r="E221" s="1">
        <v>25</v>
      </c>
      <c r="F221" s="1" t="s">
        <v>50</v>
      </c>
      <c r="G221" s="1" t="s">
        <v>32</v>
      </c>
      <c r="H221" s="1" t="s">
        <v>424</v>
      </c>
      <c r="I221" s="1">
        <v>39237</v>
      </c>
      <c r="J221" s="1" t="s">
        <v>34</v>
      </c>
      <c r="K221" s="1" t="s">
        <v>698</v>
      </c>
      <c r="L221" s="1" t="s">
        <v>36</v>
      </c>
      <c r="M221" s="1" t="s">
        <v>1511</v>
      </c>
      <c r="N221" s="1">
        <v>2</v>
      </c>
      <c r="O221" s="1">
        <v>41198.85</v>
      </c>
    </row>
    <row r="222" spans="1:15" x14ac:dyDescent="0.3">
      <c r="A222" s="1" t="s">
        <v>699</v>
      </c>
      <c r="B222" s="1" t="s">
        <v>13</v>
      </c>
      <c r="C222" s="1" t="s">
        <v>90</v>
      </c>
      <c r="D222" s="1" t="s">
        <v>15</v>
      </c>
      <c r="E222" s="1">
        <v>54</v>
      </c>
      <c r="F222" s="1" t="s">
        <v>39</v>
      </c>
      <c r="G222" s="1" t="s">
        <v>32</v>
      </c>
      <c r="H222" s="1" t="s">
        <v>618</v>
      </c>
      <c r="I222" s="1">
        <v>69777</v>
      </c>
      <c r="J222" s="1" t="s">
        <v>19</v>
      </c>
      <c r="K222" s="1" t="s">
        <v>700</v>
      </c>
      <c r="L222" s="1" t="s">
        <v>21</v>
      </c>
      <c r="M222" s="1" t="s">
        <v>1517</v>
      </c>
      <c r="N222" s="1">
        <v>5</v>
      </c>
      <c r="O222" s="1">
        <v>80243.55</v>
      </c>
    </row>
    <row r="223" spans="1:15" x14ac:dyDescent="0.3">
      <c r="A223" s="1" t="s">
        <v>701</v>
      </c>
      <c r="B223" s="1" t="s">
        <v>13</v>
      </c>
      <c r="C223" s="1" t="s">
        <v>83</v>
      </c>
      <c r="D223" s="1" t="s">
        <v>24</v>
      </c>
      <c r="E223" s="1">
        <v>24</v>
      </c>
      <c r="F223" s="1" t="s">
        <v>50</v>
      </c>
      <c r="G223" s="1" t="s">
        <v>26</v>
      </c>
      <c r="H223" s="1" t="s">
        <v>702</v>
      </c>
      <c r="I223" s="1">
        <v>45012</v>
      </c>
      <c r="J223" s="1" t="s">
        <v>34</v>
      </c>
      <c r="K223" s="1" t="s">
        <v>703</v>
      </c>
      <c r="L223" s="1" t="s">
        <v>36</v>
      </c>
      <c r="M223" s="1" t="s">
        <v>1511</v>
      </c>
      <c r="N223" s="1">
        <v>5</v>
      </c>
      <c r="O223" s="1">
        <v>51763.8</v>
      </c>
    </row>
    <row r="224" spans="1:15" x14ac:dyDescent="0.3">
      <c r="A224" s="1" t="s">
        <v>704</v>
      </c>
      <c r="B224" s="1" t="s">
        <v>58</v>
      </c>
      <c r="C224" s="1" t="s">
        <v>45</v>
      </c>
      <c r="D224" s="1" t="s">
        <v>24</v>
      </c>
      <c r="E224" s="1">
        <v>56</v>
      </c>
      <c r="F224" s="1" t="s">
        <v>50</v>
      </c>
      <c r="G224" s="1" t="s">
        <v>26</v>
      </c>
      <c r="H224" s="1" t="s">
        <v>705</v>
      </c>
      <c r="I224" s="1">
        <v>99157</v>
      </c>
      <c r="J224" s="1" t="s">
        <v>60</v>
      </c>
      <c r="K224" s="1" t="s">
        <v>706</v>
      </c>
      <c r="L224" s="1" t="s">
        <v>36</v>
      </c>
      <c r="M224" s="1" t="s">
        <v>1511</v>
      </c>
      <c r="N224" s="1">
        <v>5</v>
      </c>
      <c r="O224" s="1">
        <v>114030.55</v>
      </c>
    </row>
    <row r="225" spans="1:15" x14ac:dyDescent="0.3">
      <c r="A225" s="1" t="s">
        <v>707</v>
      </c>
      <c r="B225" s="1" t="s">
        <v>58</v>
      </c>
      <c r="C225" s="1" t="s">
        <v>165</v>
      </c>
      <c r="D225" s="1" t="s">
        <v>24</v>
      </c>
      <c r="E225" s="1">
        <v>42</v>
      </c>
      <c r="F225" s="1" t="s">
        <v>39</v>
      </c>
      <c r="G225" s="1" t="s">
        <v>40</v>
      </c>
      <c r="H225" s="1" t="s">
        <v>708</v>
      </c>
      <c r="I225" s="1">
        <v>81470</v>
      </c>
      <c r="J225" s="1" t="s">
        <v>34</v>
      </c>
      <c r="K225" s="1" t="s">
        <v>709</v>
      </c>
      <c r="L225" s="1" t="s">
        <v>21</v>
      </c>
      <c r="M225" s="1" t="s">
        <v>1517</v>
      </c>
      <c r="N225" s="1">
        <v>1</v>
      </c>
      <c r="O225" s="1">
        <v>85543.5</v>
      </c>
    </row>
    <row r="226" spans="1:15" x14ac:dyDescent="0.3">
      <c r="A226" s="1" t="s">
        <v>710</v>
      </c>
      <c r="B226" s="1" t="s">
        <v>38</v>
      </c>
      <c r="C226" s="1" t="s">
        <v>83</v>
      </c>
      <c r="D226" s="1" t="s">
        <v>24</v>
      </c>
      <c r="E226" s="1">
        <v>23</v>
      </c>
      <c r="F226" s="1" t="s">
        <v>31</v>
      </c>
      <c r="G226" s="1" t="s">
        <v>40</v>
      </c>
      <c r="H226" s="1" t="s">
        <v>711</v>
      </c>
      <c r="I226" s="1">
        <v>98738</v>
      </c>
      <c r="J226" s="1" t="s">
        <v>65</v>
      </c>
      <c r="K226" s="1" t="s">
        <v>712</v>
      </c>
      <c r="L226" s="1" t="s">
        <v>36</v>
      </c>
      <c r="M226" s="1" t="s">
        <v>1515</v>
      </c>
      <c r="N226" s="1">
        <v>5</v>
      </c>
      <c r="O226" s="1">
        <v>113548.7</v>
      </c>
    </row>
    <row r="227" spans="1:15" x14ac:dyDescent="0.3">
      <c r="A227" s="1" t="s">
        <v>713</v>
      </c>
      <c r="B227" s="1" t="s">
        <v>30</v>
      </c>
      <c r="C227" s="1" t="s">
        <v>45</v>
      </c>
      <c r="D227" s="1" t="s">
        <v>15</v>
      </c>
      <c r="E227" s="1">
        <v>45</v>
      </c>
      <c r="F227" s="1" t="s">
        <v>25</v>
      </c>
      <c r="G227" s="1" t="s">
        <v>32</v>
      </c>
      <c r="H227" s="1" t="s">
        <v>714</v>
      </c>
      <c r="I227" s="1">
        <v>69768</v>
      </c>
      <c r="J227" s="1" t="s">
        <v>19</v>
      </c>
      <c r="K227" s="1" t="s">
        <v>715</v>
      </c>
      <c r="L227" s="1" t="s">
        <v>36</v>
      </c>
      <c r="M227" s="1" t="s">
        <v>1513</v>
      </c>
      <c r="N227" s="1">
        <v>2</v>
      </c>
      <c r="O227" s="1">
        <v>73256.399999999994</v>
      </c>
    </row>
    <row r="228" spans="1:15" x14ac:dyDescent="0.3">
      <c r="A228" s="1" t="s">
        <v>716</v>
      </c>
      <c r="B228" s="1" t="s">
        <v>94</v>
      </c>
      <c r="C228" s="1" t="s">
        <v>78</v>
      </c>
      <c r="D228" s="1" t="s">
        <v>24</v>
      </c>
      <c r="E228" s="1">
        <v>47</v>
      </c>
      <c r="F228" s="1" t="s">
        <v>39</v>
      </c>
      <c r="G228" s="1" t="s">
        <v>32</v>
      </c>
      <c r="H228" s="1" t="s">
        <v>717</v>
      </c>
      <c r="I228" s="1">
        <v>78816</v>
      </c>
      <c r="J228" s="1" t="s">
        <v>34</v>
      </c>
      <c r="K228" s="1" t="s">
        <v>718</v>
      </c>
      <c r="L228" s="1" t="s">
        <v>36</v>
      </c>
      <c r="M228" s="1" t="s">
        <v>1517</v>
      </c>
      <c r="N228" s="1">
        <v>4</v>
      </c>
      <c r="O228" s="1">
        <v>86697.600000000006</v>
      </c>
    </row>
    <row r="229" spans="1:15" x14ac:dyDescent="0.3">
      <c r="A229" s="1" t="s">
        <v>719</v>
      </c>
      <c r="B229" s="1" t="s">
        <v>143</v>
      </c>
      <c r="C229" s="1" t="s">
        <v>165</v>
      </c>
      <c r="D229" s="1" t="s">
        <v>24</v>
      </c>
      <c r="E229" s="1">
        <v>30</v>
      </c>
      <c r="F229" s="1" t="s">
        <v>31</v>
      </c>
      <c r="G229" s="1" t="s">
        <v>108</v>
      </c>
      <c r="H229" s="1" t="s">
        <v>720</v>
      </c>
      <c r="I229" s="1">
        <v>39186</v>
      </c>
      <c r="J229" s="1" t="s">
        <v>19</v>
      </c>
      <c r="K229" s="1" t="s">
        <v>721</v>
      </c>
      <c r="L229" s="1" t="s">
        <v>21</v>
      </c>
      <c r="M229" s="1" t="s">
        <v>1515</v>
      </c>
      <c r="N229" s="1">
        <v>5</v>
      </c>
      <c r="O229" s="1">
        <v>45063.9</v>
      </c>
    </row>
    <row r="230" spans="1:15" x14ac:dyDescent="0.3">
      <c r="A230" s="1" t="s">
        <v>722</v>
      </c>
      <c r="B230" s="1" t="s">
        <v>44</v>
      </c>
      <c r="C230" s="1" t="s">
        <v>165</v>
      </c>
      <c r="D230" s="1" t="s">
        <v>15</v>
      </c>
      <c r="E230" s="1">
        <v>57</v>
      </c>
      <c r="F230" s="1" t="s">
        <v>16</v>
      </c>
      <c r="G230" s="1" t="s">
        <v>40</v>
      </c>
      <c r="H230" s="1" t="s">
        <v>723</v>
      </c>
      <c r="I230" s="1">
        <v>90363</v>
      </c>
      <c r="J230" s="1" t="s">
        <v>60</v>
      </c>
      <c r="K230" s="1" t="s">
        <v>724</v>
      </c>
      <c r="L230" s="1" t="s">
        <v>36</v>
      </c>
      <c r="M230" s="1" t="s">
        <v>1509</v>
      </c>
      <c r="N230" s="1">
        <v>4</v>
      </c>
      <c r="O230" s="1">
        <v>99399.3</v>
      </c>
    </row>
    <row r="231" spans="1:15" x14ac:dyDescent="0.3">
      <c r="A231" s="1" t="s">
        <v>725</v>
      </c>
      <c r="B231" s="1" t="s">
        <v>38</v>
      </c>
      <c r="C231" s="1" t="s">
        <v>78</v>
      </c>
      <c r="D231" s="1" t="s">
        <v>15</v>
      </c>
      <c r="E231" s="1">
        <v>56</v>
      </c>
      <c r="F231" s="1" t="s">
        <v>16</v>
      </c>
      <c r="G231" s="1" t="s">
        <v>26</v>
      </c>
      <c r="H231" s="1" t="s">
        <v>726</v>
      </c>
      <c r="I231" s="1">
        <v>86374</v>
      </c>
      <c r="J231" s="1" t="s">
        <v>19</v>
      </c>
      <c r="K231" s="1" t="s">
        <v>727</v>
      </c>
      <c r="L231" s="1" t="s">
        <v>36</v>
      </c>
      <c r="M231" s="1" t="s">
        <v>1509</v>
      </c>
      <c r="N231" s="1">
        <v>5</v>
      </c>
      <c r="O231" s="1">
        <v>99330.1</v>
      </c>
    </row>
    <row r="232" spans="1:15" x14ac:dyDescent="0.3">
      <c r="A232" s="1" t="s">
        <v>728</v>
      </c>
      <c r="B232" s="1" t="s">
        <v>94</v>
      </c>
      <c r="C232" s="1" t="s">
        <v>23</v>
      </c>
      <c r="D232" s="1" t="s">
        <v>15</v>
      </c>
      <c r="E232" s="1">
        <v>28</v>
      </c>
      <c r="F232" s="1" t="s">
        <v>25</v>
      </c>
      <c r="G232" s="1" t="s">
        <v>108</v>
      </c>
      <c r="H232" s="1" t="s">
        <v>729</v>
      </c>
      <c r="I232" s="1">
        <v>51057</v>
      </c>
      <c r="J232" s="1" t="s">
        <v>34</v>
      </c>
      <c r="K232" s="1" t="s">
        <v>730</v>
      </c>
      <c r="L232" s="1" t="s">
        <v>21</v>
      </c>
      <c r="M232" s="1" t="s">
        <v>1513</v>
      </c>
      <c r="N232" s="1">
        <v>2</v>
      </c>
      <c r="O232" s="1">
        <v>53609.85</v>
      </c>
    </row>
    <row r="233" spans="1:15" x14ac:dyDescent="0.3">
      <c r="A233" s="1" t="s">
        <v>731</v>
      </c>
      <c r="B233" s="1" t="s">
        <v>13</v>
      </c>
      <c r="C233" s="1" t="s">
        <v>83</v>
      </c>
      <c r="D233" s="1" t="s">
        <v>15</v>
      </c>
      <c r="E233" s="1">
        <v>55</v>
      </c>
      <c r="F233" s="1" t="s">
        <v>50</v>
      </c>
      <c r="G233" s="1" t="s">
        <v>17</v>
      </c>
      <c r="H233" s="1" t="s">
        <v>732</v>
      </c>
      <c r="I233" s="1">
        <v>94146</v>
      </c>
      <c r="J233" s="1" t="s">
        <v>60</v>
      </c>
      <c r="K233" s="1" t="s">
        <v>733</v>
      </c>
      <c r="L233" s="1" t="s">
        <v>36</v>
      </c>
      <c r="M233" s="1" t="s">
        <v>1511</v>
      </c>
      <c r="N233" s="1">
        <v>2</v>
      </c>
      <c r="O233" s="1">
        <v>98853.3</v>
      </c>
    </row>
    <row r="234" spans="1:15" x14ac:dyDescent="0.3">
      <c r="A234" s="1" t="s">
        <v>734</v>
      </c>
      <c r="B234" s="1" t="s">
        <v>38</v>
      </c>
      <c r="C234" s="1" t="s">
        <v>14</v>
      </c>
      <c r="D234" s="1" t="s">
        <v>24</v>
      </c>
      <c r="E234" s="1">
        <v>33</v>
      </c>
      <c r="F234" s="1" t="s">
        <v>50</v>
      </c>
      <c r="G234" s="1" t="s">
        <v>108</v>
      </c>
      <c r="H234" s="1" t="s">
        <v>735</v>
      </c>
      <c r="I234" s="1">
        <v>102836</v>
      </c>
      <c r="J234" s="1" t="s">
        <v>60</v>
      </c>
      <c r="K234" s="1" t="s">
        <v>736</v>
      </c>
      <c r="L234" s="1" t="s">
        <v>21</v>
      </c>
      <c r="M234" s="1" t="s">
        <v>1511</v>
      </c>
      <c r="N234" s="1">
        <v>2</v>
      </c>
      <c r="O234" s="1">
        <v>107977.8</v>
      </c>
    </row>
    <row r="235" spans="1:15" x14ac:dyDescent="0.3">
      <c r="A235" s="1" t="s">
        <v>737</v>
      </c>
      <c r="B235" s="1" t="s">
        <v>94</v>
      </c>
      <c r="C235" s="1" t="s">
        <v>23</v>
      </c>
      <c r="D235" s="1" t="s">
        <v>24</v>
      </c>
      <c r="E235" s="1">
        <v>28</v>
      </c>
      <c r="F235" s="1" t="s">
        <v>50</v>
      </c>
      <c r="G235" s="1" t="s">
        <v>26</v>
      </c>
      <c r="H235" s="1" t="s">
        <v>738</v>
      </c>
      <c r="I235" s="1">
        <v>56052</v>
      </c>
      <c r="J235" s="1" t="s">
        <v>65</v>
      </c>
      <c r="K235" s="1" t="s">
        <v>739</v>
      </c>
      <c r="L235" s="1" t="s">
        <v>36</v>
      </c>
      <c r="M235" s="1" t="s">
        <v>1511</v>
      </c>
      <c r="N235" s="1">
        <v>4</v>
      </c>
      <c r="O235" s="1">
        <v>61657.2</v>
      </c>
    </row>
    <row r="236" spans="1:15" x14ac:dyDescent="0.3">
      <c r="A236" s="1" t="s">
        <v>740</v>
      </c>
      <c r="B236" s="1" t="s">
        <v>44</v>
      </c>
      <c r="C236" s="1" t="s">
        <v>45</v>
      </c>
      <c r="D236" s="1" t="s">
        <v>15</v>
      </c>
      <c r="E236" s="1">
        <v>56</v>
      </c>
      <c r="F236" s="1" t="s">
        <v>25</v>
      </c>
      <c r="G236" s="1" t="s">
        <v>108</v>
      </c>
      <c r="H236" s="1" t="s">
        <v>741</v>
      </c>
      <c r="I236" s="1">
        <v>106491</v>
      </c>
      <c r="J236" s="1" t="s">
        <v>19</v>
      </c>
      <c r="K236" s="1" t="s">
        <v>742</v>
      </c>
      <c r="L236" s="1" t="s">
        <v>36</v>
      </c>
      <c r="M236" s="1" t="s">
        <v>1513</v>
      </c>
      <c r="N236" s="1">
        <v>5</v>
      </c>
      <c r="O236" s="1">
        <v>122464.65</v>
      </c>
    </row>
    <row r="237" spans="1:15" x14ac:dyDescent="0.3">
      <c r="A237" s="1" t="s">
        <v>743</v>
      </c>
      <c r="B237" s="1" t="s">
        <v>58</v>
      </c>
      <c r="C237" s="1" t="s">
        <v>165</v>
      </c>
      <c r="D237" s="1" t="s">
        <v>24</v>
      </c>
      <c r="E237" s="1">
        <v>48</v>
      </c>
      <c r="F237" s="1" t="s">
        <v>31</v>
      </c>
      <c r="G237" s="1" t="s">
        <v>108</v>
      </c>
      <c r="H237" s="1" t="s">
        <v>744</v>
      </c>
      <c r="I237" s="1">
        <v>36633</v>
      </c>
      <c r="J237" s="1" t="s">
        <v>60</v>
      </c>
      <c r="K237" s="1" t="s">
        <v>745</v>
      </c>
      <c r="L237" s="1" t="s">
        <v>36</v>
      </c>
      <c r="M237" s="1" t="s">
        <v>1515</v>
      </c>
      <c r="N237" s="1">
        <v>4</v>
      </c>
      <c r="O237" s="1">
        <v>40296.300000000003</v>
      </c>
    </row>
    <row r="238" spans="1:15" x14ac:dyDescent="0.3">
      <c r="A238" s="1" t="s">
        <v>746</v>
      </c>
      <c r="B238" s="1" t="s">
        <v>30</v>
      </c>
      <c r="C238" s="1" t="s">
        <v>45</v>
      </c>
      <c r="D238" s="1" t="s">
        <v>15</v>
      </c>
      <c r="E238" s="1">
        <v>50</v>
      </c>
      <c r="F238" s="1" t="s">
        <v>25</v>
      </c>
      <c r="G238" s="1" t="s">
        <v>26</v>
      </c>
      <c r="H238" s="1" t="s">
        <v>747</v>
      </c>
      <c r="I238" s="1">
        <v>109744</v>
      </c>
      <c r="J238" s="1" t="s">
        <v>19</v>
      </c>
      <c r="K238" s="1" t="s">
        <v>748</v>
      </c>
      <c r="L238" s="1" t="s">
        <v>36</v>
      </c>
      <c r="M238" s="1" t="s">
        <v>1513</v>
      </c>
      <c r="N238" s="1">
        <v>4</v>
      </c>
      <c r="O238" s="1">
        <v>120718.39999999999</v>
      </c>
    </row>
    <row r="239" spans="1:15" x14ac:dyDescent="0.3">
      <c r="A239" s="1" t="s">
        <v>749</v>
      </c>
      <c r="B239" s="1" t="s">
        <v>13</v>
      </c>
      <c r="C239" s="1" t="s">
        <v>165</v>
      </c>
      <c r="D239" s="1" t="s">
        <v>15</v>
      </c>
      <c r="E239" s="1">
        <v>57</v>
      </c>
      <c r="F239" s="1" t="s">
        <v>31</v>
      </c>
      <c r="G239" s="1" t="s">
        <v>40</v>
      </c>
      <c r="H239" s="1" t="s">
        <v>750</v>
      </c>
      <c r="I239" s="1">
        <v>44217</v>
      </c>
      <c r="J239" s="1" t="s">
        <v>19</v>
      </c>
      <c r="K239" s="1" t="s">
        <v>751</v>
      </c>
      <c r="L239" s="1" t="s">
        <v>36</v>
      </c>
      <c r="M239" s="1" t="s">
        <v>1515</v>
      </c>
      <c r="N239" s="1">
        <v>4</v>
      </c>
      <c r="O239" s="1">
        <v>48638.7</v>
      </c>
    </row>
    <row r="240" spans="1:15" x14ac:dyDescent="0.3">
      <c r="A240" s="1" t="s">
        <v>752</v>
      </c>
      <c r="B240" s="1" t="s">
        <v>143</v>
      </c>
      <c r="C240" s="1" t="s">
        <v>90</v>
      </c>
      <c r="D240" s="1" t="s">
        <v>24</v>
      </c>
      <c r="E240" s="1">
        <v>28</v>
      </c>
      <c r="F240" s="1" t="s">
        <v>50</v>
      </c>
      <c r="G240" s="1" t="s">
        <v>17</v>
      </c>
      <c r="H240" s="1" t="s">
        <v>753</v>
      </c>
      <c r="I240" s="1">
        <v>40758</v>
      </c>
      <c r="J240" s="1" t="s">
        <v>80</v>
      </c>
      <c r="K240" s="1" t="s">
        <v>754</v>
      </c>
      <c r="L240" s="1" t="s">
        <v>21</v>
      </c>
      <c r="M240" s="1" t="s">
        <v>1511</v>
      </c>
      <c r="N240" s="1">
        <v>2</v>
      </c>
      <c r="O240" s="1">
        <v>42795.9</v>
      </c>
    </row>
    <row r="241" spans="1:15" x14ac:dyDescent="0.3">
      <c r="A241" s="1" t="s">
        <v>755</v>
      </c>
      <c r="B241" s="1" t="s">
        <v>30</v>
      </c>
      <c r="C241" s="1" t="s">
        <v>95</v>
      </c>
      <c r="D241" s="1" t="s">
        <v>15</v>
      </c>
      <c r="E241" s="1">
        <v>59</v>
      </c>
      <c r="F241" s="1" t="s">
        <v>50</v>
      </c>
      <c r="G241" s="1" t="s">
        <v>40</v>
      </c>
      <c r="H241" s="1" t="s">
        <v>756</v>
      </c>
      <c r="I241" s="1">
        <v>49878</v>
      </c>
      <c r="J241" s="1" t="s">
        <v>65</v>
      </c>
      <c r="K241" s="1" t="s">
        <v>757</v>
      </c>
      <c r="L241" s="1" t="s">
        <v>21</v>
      </c>
      <c r="M241" s="1" t="s">
        <v>1511</v>
      </c>
      <c r="N241" s="1">
        <v>2</v>
      </c>
      <c r="O241" s="1">
        <v>52371.9</v>
      </c>
    </row>
    <row r="242" spans="1:15" x14ac:dyDescent="0.3">
      <c r="A242" s="1" t="s">
        <v>758</v>
      </c>
      <c r="B242" s="1" t="s">
        <v>54</v>
      </c>
      <c r="C242" s="1" t="s">
        <v>130</v>
      </c>
      <c r="D242" s="1" t="s">
        <v>15</v>
      </c>
      <c r="E242" s="1">
        <v>48</v>
      </c>
      <c r="F242" s="1" t="s">
        <v>31</v>
      </c>
      <c r="G242" s="1" t="s">
        <v>108</v>
      </c>
      <c r="H242" s="1" t="s">
        <v>759</v>
      </c>
      <c r="I242" s="1">
        <v>95831</v>
      </c>
      <c r="J242" s="1" t="s">
        <v>60</v>
      </c>
      <c r="K242" s="1" t="s">
        <v>760</v>
      </c>
      <c r="L242" s="1" t="s">
        <v>36</v>
      </c>
      <c r="M242" s="1" t="s">
        <v>1515</v>
      </c>
      <c r="N242" s="1">
        <v>2</v>
      </c>
      <c r="O242" s="1">
        <v>100622.55</v>
      </c>
    </row>
    <row r="243" spans="1:15" x14ac:dyDescent="0.3">
      <c r="A243" s="1" t="s">
        <v>761</v>
      </c>
      <c r="B243" s="1" t="s">
        <v>94</v>
      </c>
      <c r="C243" s="1" t="s">
        <v>14</v>
      </c>
      <c r="D243" s="1" t="s">
        <v>15</v>
      </c>
      <c r="E243" s="1">
        <v>22</v>
      </c>
      <c r="F243" s="1" t="s">
        <v>25</v>
      </c>
      <c r="G243" s="1" t="s">
        <v>26</v>
      </c>
      <c r="H243" s="1" t="s">
        <v>762</v>
      </c>
      <c r="I243" s="1">
        <v>106015</v>
      </c>
      <c r="J243" s="1" t="s">
        <v>19</v>
      </c>
      <c r="K243" s="1" t="s">
        <v>763</v>
      </c>
      <c r="L243" s="1" t="s">
        <v>21</v>
      </c>
      <c r="M243" s="1" t="s">
        <v>1513</v>
      </c>
      <c r="N243" s="1">
        <v>2</v>
      </c>
      <c r="O243" s="1">
        <v>111315.75</v>
      </c>
    </row>
    <row r="244" spans="1:15" x14ac:dyDescent="0.3">
      <c r="A244" s="1" t="s">
        <v>764</v>
      </c>
      <c r="B244" s="1" t="s">
        <v>38</v>
      </c>
      <c r="C244" s="1" t="s">
        <v>45</v>
      </c>
      <c r="D244" s="1" t="s">
        <v>15</v>
      </c>
      <c r="E244" s="1">
        <v>28</v>
      </c>
      <c r="F244" s="1" t="s">
        <v>16</v>
      </c>
      <c r="G244" s="1" t="s">
        <v>17</v>
      </c>
      <c r="H244" s="1" t="s">
        <v>765</v>
      </c>
      <c r="I244" s="1">
        <v>100388</v>
      </c>
      <c r="J244" s="1" t="s">
        <v>80</v>
      </c>
      <c r="K244" s="1" t="s">
        <v>766</v>
      </c>
      <c r="L244" s="1" t="s">
        <v>21</v>
      </c>
      <c r="M244" s="1" t="s">
        <v>1509</v>
      </c>
      <c r="N244" s="1">
        <v>1</v>
      </c>
      <c r="O244" s="1">
        <v>105407.4</v>
      </c>
    </row>
    <row r="245" spans="1:15" x14ac:dyDescent="0.3">
      <c r="A245" s="1" t="s">
        <v>767</v>
      </c>
      <c r="B245" s="1" t="s">
        <v>30</v>
      </c>
      <c r="C245" s="1" t="s">
        <v>90</v>
      </c>
      <c r="D245" s="1" t="s">
        <v>24</v>
      </c>
      <c r="E245" s="1">
        <v>47</v>
      </c>
      <c r="F245" s="1" t="s">
        <v>39</v>
      </c>
      <c r="G245" s="1" t="s">
        <v>26</v>
      </c>
      <c r="H245" s="1" t="s">
        <v>166</v>
      </c>
      <c r="I245" s="1">
        <v>60932</v>
      </c>
      <c r="J245" s="1" t="s">
        <v>80</v>
      </c>
      <c r="K245" s="1" t="s">
        <v>768</v>
      </c>
      <c r="L245" s="1" t="s">
        <v>36</v>
      </c>
      <c r="M245" s="1" t="s">
        <v>1517</v>
      </c>
      <c r="N245" s="1">
        <v>4</v>
      </c>
      <c r="O245" s="1">
        <v>67025.2</v>
      </c>
    </row>
    <row r="246" spans="1:15" x14ac:dyDescent="0.3">
      <c r="A246" s="1" t="s">
        <v>769</v>
      </c>
      <c r="B246" s="1" t="s">
        <v>49</v>
      </c>
      <c r="C246" s="1" t="s">
        <v>83</v>
      </c>
      <c r="D246" s="1" t="s">
        <v>15</v>
      </c>
      <c r="E246" s="1">
        <v>36</v>
      </c>
      <c r="F246" s="1" t="s">
        <v>39</v>
      </c>
      <c r="G246" s="1" t="s">
        <v>32</v>
      </c>
      <c r="H246" s="1" t="s">
        <v>436</v>
      </c>
      <c r="I246" s="1">
        <v>107818</v>
      </c>
      <c r="J246" s="1" t="s">
        <v>34</v>
      </c>
      <c r="K246" s="1" t="s">
        <v>770</v>
      </c>
      <c r="L246" s="1" t="s">
        <v>21</v>
      </c>
      <c r="M246" s="1" t="s">
        <v>1517</v>
      </c>
      <c r="N246" s="1">
        <v>1</v>
      </c>
      <c r="O246" s="1">
        <v>113208.9</v>
      </c>
    </row>
    <row r="247" spans="1:15" x14ac:dyDescent="0.3">
      <c r="A247" s="1" t="s">
        <v>771</v>
      </c>
      <c r="B247" s="1" t="s">
        <v>13</v>
      </c>
      <c r="C247" s="1" t="s">
        <v>45</v>
      </c>
      <c r="D247" s="1" t="s">
        <v>24</v>
      </c>
      <c r="E247" s="1">
        <v>49</v>
      </c>
      <c r="F247" s="1" t="s">
        <v>50</v>
      </c>
      <c r="G247" s="1" t="s">
        <v>32</v>
      </c>
      <c r="H247" s="1" t="s">
        <v>772</v>
      </c>
      <c r="I247" s="1">
        <v>95198</v>
      </c>
      <c r="J247" s="1" t="s">
        <v>34</v>
      </c>
      <c r="K247" s="1" t="s">
        <v>773</v>
      </c>
      <c r="L247" s="1" t="s">
        <v>21</v>
      </c>
      <c r="M247" s="1" t="s">
        <v>1511</v>
      </c>
      <c r="N247" s="1">
        <v>4</v>
      </c>
      <c r="O247" s="1">
        <v>104717.8</v>
      </c>
    </row>
    <row r="248" spans="1:15" x14ac:dyDescent="0.3">
      <c r="A248" s="1" t="s">
        <v>774</v>
      </c>
      <c r="B248" s="1" t="s">
        <v>143</v>
      </c>
      <c r="C248" s="1" t="s">
        <v>130</v>
      </c>
      <c r="D248" s="1" t="s">
        <v>15</v>
      </c>
      <c r="E248" s="1">
        <v>43</v>
      </c>
      <c r="F248" s="1" t="s">
        <v>25</v>
      </c>
      <c r="G248" s="1" t="s">
        <v>40</v>
      </c>
      <c r="H248" s="1" t="s">
        <v>775</v>
      </c>
      <c r="I248" s="1">
        <v>42635</v>
      </c>
      <c r="J248" s="1" t="s">
        <v>19</v>
      </c>
      <c r="K248" s="1" t="s">
        <v>776</v>
      </c>
      <c r="L248" s="1" t="s">
        <v>21</v>
      </c>
      <c r="M248" s="1" t="s">
        <v>1513</v>
      </c>
      <c r="N248" s="1">
        <v>3</v>
      </c>
      <c r="O248" s="1">
        <v>45619.45</v>
      </c>
    </row>
    <row r="249" spans="1:15" x14ac:dyDescent="0.3">
      <c r="A249" s="1" t="s">
        <v>777</v>
      </c>
      <c r="B249" s="1" t="s">
        <v>44</v>
      </c>
      <c r="C249" s="1" t="s">
        <v>14</v>
      </c>
      <c r="D249" s="1" t="s">
        <v>15</v>
      </c>
      <c r="E249" s="1">
        <v>48</v>
      </c>
      <c r="F249" s="1" t="s">
        <v>16</v>
      </c>
      <c r="G249" s="1" t="s">
        <v>32</v>
      </c>
      <c r="H249" s="1" t="s">
        <v>778</v>
      </c>
      <c r="I249" s="1">
        <v>48738</v>
      </c>
      <c r="J249" s="1" t="s">
        <v>60</v>
      </c>
      <c r="K249" s="1" t="s">
        <v>779</v>
      </c>
      <c r="L249" s="1" t="s">
        <v>21</v>
      </c>
      <c r="M249" s="1" t="s">
        <v>1509</v>
      </c>
      <c r="N249" s="1">
        <v>5</v>
      </c>
      <c r="O249" s="1">
        <v>56048.7</v>
      </c>
    </row>
    <row r="250" spans="1:15" x14ac:dyDescent="0.3">
      <c r="A250" s="1" t="s">
        <v>780</v>
      </c>
      <c r="B250" s="1" t="s">
        <v>44</v>
      </c>
      <c r="C250" s="1" t="s">
        <v>63</v>
      </c>
      <c r="D250" s="1" t="s">
        <v>15</v>
      </c>
      <c r="E250" s="1">
        <v>23</v>
      </c>
      <c r="F250" s="1" t="s">
        <v>16</v>
      </c>
      <c r="G250" s="1" t="s">
        <v>17</v>
      </c>
      <c r="H250" s="1" t="s">
        <v>365</v>
      </c>
      <c r="I250" s="1">
        <v>64435</v>
      </c>
      <c r="J250" s="1" t="s">
        <v>80</v>
      </c>
      <c r="K250" s="1" t="s">
        <v>781</v>
      </c>
      <c r="L250" s="1" t="s">
        <v>21</v>
      </c>
      <c r="M250" s="1" t="s">
        <v>1509</v>
      </c>
      <c r="N250" s="1">
        <v>5</v>
      </c>
      <c r="O250" s="1">
        <v>74100.25</v>
      </c>
    </row>
    <row r="251" spans="1:15" x14ac:dyDescent="0.3">
      <c r="A251" s="1" t="s">
        <v>782</v>
      </c>
      <c r="B251" s="1" t="s">
        <v>71</v>
      </c>
      <c r="C251" s="1" t="s">
        <v>23</v>
      </c>
      <c r="D251" s="1" t="s">
        <v>24</v>
      </c>
      <c r="E251" s="1">
        <v>55</v>
      </c>
      <c r="F251" s="1" t="s">
        <v>16</v>
      </c>
      <c r="G251" s="1" t="s">
        <v>17</v>
      </c>
      <c r="H251" s="1" t="s">
        <v>783</v>
      </c>
      <c r="I251" s="1">
        <v>116007</v>
      </c>
      <c r="J251" s="1" t="s">
        <v>65</v>
      </c>
      <c r="K251" s="1" t="s">
        <v>784</v>
      </c>
      <c r="L251" s="1" t="s">
        <v>21</v>
      </c>
      <c r="M251" s="1" t="s">
        <v>1509</v>
      </c>
      <c r="N251" s="1">
        <v>5</v>
      </c>
      <c r="O251" s="1">
        <v>133408.04999999999</v>
      </c>
    </row>
    <row r="252" spans="1:15" x14ac:dyDescent="0.3">
      <c r="A252" s="1" t="s">
        <v>785</v>
      </c>
      <c r="B252" s="1" t="s">
        <v>49</v>
      </c>
      <c r="C252" s="1" t="s">
        <v>90</v>
      </c>
      <c r="D252" s="1" t="s">
        <v>24</v>
      </c>
      <c r="E252" s="1">
        <v>38</v>
      </c>
      <c r="F252" s="1" t="s">
        <v>25</v>
      </c>
      <c r="G252" s="1" t="s">
        <v>26</v>
      </c>
      <c r="H252" s="1" t="s">
        <v>786</v>
      </c>
      <c r="I252" s="1">
        <v>60256</v>
      </c>
      <c r="J252" s="1" t="s">
        <v>60</v>
      </c>
      <c r="K252" s="1" t="s">
        <v>787</v>
      </c>
      <c r="L252" s="1" t="s">
        <v>21</v>
      </c>
      <c r="M252" s="1" t="s">
        <v>1513</v>
      </c>
      <c r="N252" s="1">
        <v>4</v>
      </c>
      <c r="O252" s="1">
        <v>66281.600000000006</v>
      </c>
    </row>
    <row r="253" spans="1:15" x14ac:dyDescent="0.3">
      <c r="A253" s="1" t="s">
        <v>788</v>
      </c>
      <c r="B253" s="1" t="s">
        <v>54</v>
      </c>
      <c r="C253" s="1" t="s">
        <v>165</v>
      </c>
      <c r="D253" s="1" t="s">
        <v>15</v>
      </c>
      <c r="E253" s="1">
        <v>52</v>
      </c>
      <c r="F253" s="1" t="s">
        <v>31</v>
      </c>
      <c r="G253" s="1" t="s">
        <v>40</v>
      </c>
      <c r="H253" s="1" t="s">
        <v>124</v>
      </c>
      <c r="I253" s="1">
        <v>79852</v>
      </c>
      <c r="J253" s="1" t="s">
        <v>34</v>
      </c>
      <c r="K253" s="1" t="s">
        <v>789</v>
      </c>
      <c r="L253" s="1" t="s">
        <v>36</v>
      </c>
      <c r="M253" s="1" t="s">
        <v>1515</v>
      </c>
      <c r="N253" s="1">
        <v>3</v>
      </c>
      <c r="O253" s="1">
        <v>85441.64</v>
      </c>
    </row>
    <row r="254" spans="1:15" x14ac:dyDescent="0.3">
      <c r="A254" s="1" t="s">
        <v>790</v>
      </c>
      <c r="B254" s="1" t="s">
        <v>38</v>
      </c>
      <c r="C254" s="1" t="s">
        <v>95</v>
      </c>
      <c r="D254" s="1" t="s">
        <v>24</v>
      </c>
      <c r="E254" s="1">
        <v>25</v>
      </c>
      <c r="F254" s="1" t="s">
        <v>39</v>
      </c>
      <c r="G254" s="1" t="s">
        <v>26</v>
      </c>
      <c r="H254" s="1" t="s">
        <v>791</v>
      </c>
      <c r="I254" s="1">
        <v>94875</v>
      </c>
      <c r="J254" s="1" t="s">
        <v>60</v>
      </c>
      <c r="K254" s="1" t="s">
        <v>792</v>
      </c>
      <c r="L254" s="1" t="s">
        <v>21</v>
      </c>
      <c r="M254" s="1" t="s">
        <v>1517</v>
      </c>
      <c r="N254" s="1">
        <v>1</v>
      </c>
      <c r="O254" s="1">
        <v>99618.75</v>
      </c>
    </row>
    <row r="255" spans="1:15" x14ac:dyDescent="0.3">
      <c r="A255" s="1" t="s">
        <v>793</v>
      </c>
      <c r="B255" s="1" t="s">
        <v>38</v>
      </c>
      <c r="C255" s="1" t="s">
        <v>45</v>
      </c>
      <c r="D255" s="1" t="s">
        <v>15</v>
      </c>
      <c r="E255" s="1">
        <v>42</v>
      </c>
      <c r="F255" s="1" t="s">
        <v>25</v>
      </c>
      <c r="G255" s="1" t="s">
        <v>32</v>
      </c>
      <c r="H255" s="1" t="s">
        <v>794</v>
      </c>
      <c r="I255" s="1">
        <v>43197</v>
      </c>
      <c r="J255" s="1" t="s">
        <v>19</v>
      </c>
      <c r="K255" s="1" t="s">
        <v>795</v>
      </c>
      <c r="L255" s="1" t="s">
        <v>36</v>
      </c>
      <c r="M255" s="1" t="s">
        <v>1513</v>
      </c>
      <c r="N255" s="1">
        <v>5</v>
      </c>
      <c r="O255" s="1">
        <v>49676.55</v>
      </c>
    </row>
    <row r="256" spans="1:15" x14ac:dyDescent="0.3">
      <c r="A256" s="1" t="s">
        <v>796</v>
      </c>
      <c r="B256" s="1" t="s">
        <v>49</v>
      </c>
      <c r="C256" s="1" t="s">
        <v>90</v>
      </c>
      <c r="D256" s="1" t="s">
        <v>24</v>
      </c>
      <c r="E256" s="1">
        <v>32</v>
      </c>
      <c r="F256" s="1" t="s">
        <v>50</v>
      </c>
      <c r="G256" s="1" t="s">
        <v>40</v>
      </c>
      <c r="H256" s="1" t="s">
        <v>797</v>
      </c>
      <c r="I256" s="1">
        <v>117451</v>
      </c>
      <c r="J256" s="1" t="s">
        <v>65</v>
      </c>
      <c r="K256" s="1" t="s">
        <v>798</v>
      </c>
      <c r="L256" s="1" t="s">
        <v>21</v>
      </c>
      <c r="M256" s="1" t="s">
        <v>1511</v>
      </c>
      <c r="N256" s="1">
        <v>1</v>
      </c>
      <c r="O256" s="1">
        <v>123323.55</v>
      </c>
    </row>
    <row r="257" spans="1:15" x14ac:dyDescent="0.3">
      <c r="A257" s="1" t="s">
        <v>799</v>
      </c>
      <c r="B257" s="1" t="s">
        <v>143</v>
      </c>
      <c r="C257" s="1" t="s">
        <v>130</v>
      </c>
      <c r="D257" s="1" t="s">
        <v>24</v>
      </c>
      <c r="E257" s="1">
        <v>28</v>
      </c>
      <c r="F257" s="1" t="s">
        <v>39</v>
      </c>
      <c r="G257" s="1" t="s">
        <v>40</v>
      </c>
      <c r="H257" s="1" t="s">
        <v>800</v>
      </c>
      <c r="I257" s="1">
        <v>54493</v>
      </c>
      <c r="J257" s="1" t="s">
        <v>65</v>
      </c>
      <c r="K257" s="1" t="s">
        <v>801</v>
      </c>
      <c r="L257" s="1" t="s">
        <v>21</v>
      </c>
      <c r="M257" s="1" t="s">
        <v>1517</v>
      </c>
      <c r="N257" s="1">
        <v>4</v>
      </c>
      <c r="O257" s="1">
        <v>59942.3</v>
      </c>
    </row>
    <row r="258" spans="1:15" x14ac:dyDescent="0.3">
      <c r="A258" s="1" t="s">
        <v>802</v>
      </c>
      <c r="B258" s="1" t="s">
        <v>143</v>
      </c>
      <c r="C258" s="1" t="s">
        <v>78</v>
      </c>
      <c r="D258" s="1" t="s">
        <v>15</v>
      </c>
      <c r="E258" s="1">
        <v>55</v>
      </c>
      <c r="F258" s="1" t="s">
        <v>39</v>
      </c>
      <c r="G258" s="1" t="s">
        <v>32</v>
      </c>
      <c r="H258" s="1" t="s">
        <v>803</v>
      </c>
      <c r="I258" s="1">
        <v>68822</v>
      </c>
      <c r="J258" s="1" t="s">
        <v>34</v>
      </c>
      <c r="K258" s="1" t="s">
        <v>804</v>
      </c>
      <c r="L258" s="1" t="s">
        <v>36</v>
      </c>
      <c r="M258" s="1" t="s">
        <v>1517</v>
      </c>
      <c r="N258" s="1">
        <v>3</v>
      </c>
      <c r="O258" s="1">
        <v>73639.540000000008</v>
      </c>
    </row>
    <row r="259" spans="1:15" x14ac:dyDescent="0.3">
      <c r="A259" s="1" t="s">
        <v>805</v>
      </c>
      <c r="B259" s="1" t="s">
        <v>44</v>
      </c>
      <c r="C259" s="1" t="s">
        <v>95</v>
      </c>
      <c r="D259" s="1" t="s">
        <v>24</v>
      </c>
      <c r="E259" s="1">
        <v>27</v>
      </c>
      <c r="F259" s="1" t="s">
        <v>50</v>
      </c>
      <c r="G259" s="1" t="s">
        <v>26</v>
      </c>
      <c r="H259" s="1" t="s">
        <v>806</v>
      </c>
      <c r="I259" s="1">
        <v>96058</v>
      </c>
      <c r="J259" s="1" t="s">
        <v>19</v>
      </c>
      <c r="K259" s="1" t="s">
        <v>807</v>
      </c>
      <c r="L259" s="1" t="s">
        <v>36</v>
      </c>
      <c r="M259" s="1" t="s">
        <v>1511</v>
      </c>
      <c r="N259" s="1">
        <v>2</v>
      </c>
      <c r="O259" s="1">
        <v>100860.9</v>
      </c>
    </row>
    <row r="260" spans="1:15" x14ac:dyDescent="0.3">
      <c r="A260" s="1" t="s">
        <v>808</v>
      </c>
      <c r="B260" s="1" t="s">
        <v>143</v>
      </c>
      <c r="C260" s="1" t="s">
        <v>165</v>
      </c>
      <c r="D260" s="1" t="s">
        <v>24</v>
      </c>
      <c r="E260" s="1">
        <v>26</v>
      </c>
      <c r="F260" s="1" t="s">
        <v>16</v>
      </c>
      <c r="G260" s="1" t="s">
        <v>17</v>
      </c>
      <c r="H260" s="1" t="s">
        <v>809</v>
      </c>
      <c r="I260" s="1">
        <v>109724</v>
      </c>
      <c r="J260" s="1" t="s">
        <v>60</v>
      </c>
      <c r="K260" s="1" t="s">
        <v>810</v>
      </c>
      <c r="L260" s="1" t="s">
        <v>21</v>
      </c>
      <c r="M260" s="1" t="s">
        <v>1509</v>
      </c>
      <c r="N260" s="1">
        <v>1</v>
      </c>
      <c r="O260" s="1">
        <v>115210.2</v>
      </c>
    </row>
    <row r="261" spans="1:15" x14ac:dyDescent="0.3">
      <c r="A261" s="1" t="s">
        <v>811</v>
      </c>
      <c r="B261" s="1" t="s">
        <v>44</v>
      </c>
      <c r="C261" s="1" t="s">
        <v>45</v>
      </c>
      <c r="D261" s="1" t="s">
        <v>24</v>
      </c>
      <c r="E261" s="1">
        <v>35</v>
      </c>
      <c r="F261" s="1" t="s">
        <v>16</v>
      </c>
      <c r="G261" s="1" t="s">
        <v>26</v>
      </c>
      <c r="H261" s="1" t="s">
        <v>213</v>
      </c>
      <c r="I261" s="1">
        <v>69243</v>
      </c>
      <c r="J261" s="1" t="s">
        <v>65</v>
      </c>
      <c r="K261" s="1" t="s">
        <v>812</v>
      </c>
      <c r="L261" s="1" t="s">
        <v>36</v>
      </c>
      <c r="M261" s="1" t="s">
        <v>1509</v>
      </c>
      <c r="N261" s="1">
        <v>3</v>
      </c>
      <c r="O261" s="1">
        <v>74090.009999999995</v>
      </c>
    </row>
    <row r="262" spans="1:15" x14ac:dyDescent="0.3">
      <c r="A262" s="1" t="s">
        <v>813</v>
      </c>
      <c r="B262" s="1" t="s">
        <v>54</v>
      </c>
      <c r="C262" s="1" t="s">
        <v>45</v>
      </c>
      <c r="D262" s="1" t="s">
        <v>15</v>
      </c>
      <c r="E262" s="1">
        <v>22</v>
      </c>
      <c r="F262" s="1" t="s">
        <v>25</v>
      </c>
      <c r="G262" s="1" t="s">
        <v>26</v>
      </c>
      <c r="H262" s="1" t="s">
        <v>814</v>
      </c>
      <c r="I262" s="1">
        <v>46775</v>
      </c>
      <c r="J262" s="1" t="s">
        <v>19</v>
      </c>
      <c r="K262" s="1" t="s">
        <v>815</v>
      </c>
      <c r="L262" s="1" t="s">
        <v>36</v>
      </c>
      <c r="M262" s="1" t="s">
        <v>1513</v>
      </c>
      <c r="N262" s="1">
        <v>4</v>
      </c>
      <c r="O262" s="1">
        <v>51452.5</v>
      </c>
    </row>
    <row r="263" spans="1:15" x14ac:dyDescent="0.3">
      <c r="A263" s="1" t="s">
        <v>816</v>
      </c>
      <c r="B263" s="1" t="s">
        <v>54</v>
      </c>
      <c r="C263" s="1" t="s">
        <v>130</v>
      </c>
      <c r="D263" s="1" t="s">
        <v>15</v>
      </c>
      <c r="E263" s="1">
        <v>37</v>
      </c>
      <c r="F263" s="1" t="s">
        <v>16</v>
      </c>
      <c r="G263" s="1" t="s">
        <v>40</v>
      </c>
      <c r="H263" s="1" t="s">
        <v>744</v>
      </c>
      <c r="I263" s="1">
        <v>86841</v>
      </c>
      <c r="J263" s="1" t="s">
        <v>60</v>
      </c>
      <c r="K263" s="1" t="s">
        <v>817</v>
      </c>
      <c r="L263" s="1" t="s">
        <v>36</v>
      </c>
      <c r="M263" s="1" t="s">
        <v>1509</v>
      </c>
      <c r="N263" s="1">
        <v>2</v>
      </c>
      <c r="O263" s="1">
        <v>91183.05</v>
      </c>
    </row>
    <row r="264" spans="1:15" x14ac:dyDescent="0.3">
      <c r="A264" s="1" t="s">
        <v>818</v>
      </c>
      <c r="B264" s="1" t="s">
        <v>30</v>
      </c>
      <c r="C264" s="1" t="s">
        <v>90</v>
      </c>
      <c r="D264" s="1" t="s">
        <v>24</v>
      </c>
      <c r="E264" s="1">
        <v>59</v>
      </c>
      <c r="F264" s="1" t="s">
        <v>16</v>
      </c>
      <c r="G264" s="1" t="s">
        <v>108</v>
      </c>
      <c r="H264" s="1" t="s">
        <v>819</v>
      </c>
      <c r="I264" s="1">
        <v>91520</v>
      </c>
      <c r="J264" s="1" t="s">
        <v>80</v>
      </c>
      <c r="K264" s="1" t="s">
        <v>820</v>
      </c>
      <c r="L264" s="1" t="s">
        <v>36</v>
      </c>
      <c r="M264" s="1" t="s">
        <v>1509</v>
      </c>
      <c r="N264" s="1">
        <v>5</v>
      </c>
      <c r="O264" s="1">
        <v>105248</v>
      </c>
    </row>
    <row r="265" spans="1:15" x14ac:dyDescent="0.3">
      <c r="A265" s="1" t="s">
        <v>821</v>
      </c>
      <c r="B265" s="1" t="s">
        <v>94</v>
      </c>
      <c r="C265" s="1" t="s">
        <v>130</v>
      </c>
      <c r="D265" s="1" t="s">
        <v>15</v>
      </c>
      <c r="E265" s="1">
        <v>44</v>
      </c>
      <c r="F265" s="1" t="s">
        <v>25</v>
      </c>
      <c r="G265" s="1" t="s">
        <v>17</v>
      </c>
      <c r="H265" s="1" t="s">
        <v>822</v>
      </c>
      <c r="I265" s="1">
        <v>97265</v>
      </c>
      <c r="J265" s="1" t="s">
        <v>19</v>
      </c>
      <c r="K265" s="1" t="s">
        <v>823</v>
      </c>
      <c r="L265" s="1" t="s">
        <v>21</v>
      </c>
      <c r="M265" s="1" t="s">
        <v>1513</v>
      </c>
      <c r="N265" s="1">
        <v>2</v>
      </c>
      <c r="O265" s="1">
        <v>102128.25</v>
      </c>
    </row>
    <row r="266" spans="1:15" x14ac:dyDescent="0.3">
      <c r="A266" s="1" t="s">
        <v>824</v>
      </c>
      <c r="B266" s="1" t="s">
        <v>30</v>
      </c>
      <c r="C266" s="1" t="s">
        <v>78</v>
      </c>
      <c r="D266" s="1" t="s">
        <v>24</v>
      </c>
      <c r="E266" s="1">
        <v>60</v>
      </c>
      <c r="F266" s="1" t="s">
        <v>16</v>
      </c>
      <c r="G266" s="1" t="s">
        <v>32</v>
      </c>
      <c r="H266" s="1" t="s">
        <v>825</v>
      </c>
      <c r="I266" s="1">
        <v>76450</v>
      </c>
      <c r="J266" s="1" t="s">
        <v>60</v>
      </c>
      <c r="K266" s="1" t="s">
        <v>826</v>
      </c>
      <c r="L266" s="1" t="s">
        <v>21</v>
      </c>
      <c r="M266" s="1" t="s">
        <v>1509</v>
      </c>
      <c r="N266" s="1">
        <v>2</v>
      </c>
      <c r="O266" s="1">
        <v>80272.5</v>
      </c>
    </row>
    <row r="267" spans="1:15" x14ac:dyDescent="0.3">
      <c r="A267" s="1" t="s">
        <v>827</v>
      </c>
      <c r="B267" s="1" t="s">
        <v>58</v>
      </c>
      <c r="C267" s="1" t="s">
        <v>14</v>
      </c>
      <c r="D267" s="1" t="s">
        <v>24</v>
      </c>
      <c r="E267" s="1">
        <v>45</v>
      </c>
      <c r="F267" s="1" t="s">
        <v>25</v>
      </c>
      <c r="G267" s="1" t="s">
        <v>17</v>
      </c>
      <c r="H267" s="1" t="s">
        <v>828</v>
      </c>
      <c r="I267" s="1">
        <v>85702</v>
      </c>
      <c r="J267" s="1" t="s">
        <v>34</v>
      </c>
      <c r="K267" s="1" t="s">
        <v>829</v>
      </c>
      <c r="L267" s="1" t="s">
        <v>36</v>
      </c>
      <c r="M267" s="1" t="s">
        <v>1513</v>
      </c>
      <c r="N267" s="1">
        <v>4</v>
      </c>
      <c r="O267" s="1">
        <v>94272.2</v>
      </c>
    </row>
    <row r="268" spans="1:15" x14ac:dyDescent="0.3">
      <c r="A268" s="1" t="s">
        <v>830</v>
      </c>
      <c r="B268" s="1" t="s">
        <v>71</v>
      </c>
      <c r="C268" s="1" t="s">
        <v>165</v>
      </c>
      <c r="D268" s="1" t="s">
        <v>15</v>
      </c>
      <c r="E268" s="1">
        <v>52</v>
      </c>
      <c r="F268" s="1" t="s">
        <v>31</v>
      </c>
      <c r="G268" s="1" t="s">
        <v>40</v>
      </c>
      <c r="H268" s="1" t="s">
        <v>831</v>
      </c>
      <c r="I268" s="1">
        <v>94043</v>
      </c>
      <c r="J268" s="1" t="s">
        <v>65</v>
      </c>
      <c r="K268" s="1" t="s">
        <v>832</v>
      </c>
      <c r="L268" s="1" t="s">
        <v>36</v>
      </c>
      <c r="M268" s="1" t="s">
        <v>1515</v>
      </c>
      <c r="N268" s="1">
        <v>4</v>
      </c>
      <c r="O268" s="1">
        <v>103447.3</v>
      </c>
    </row>
    <row r="269" spans="1:15" x14ac:dyDescent="0.3">
      <c r="A269" s="1" t="s">
        <v>833</v>
      </c>
      <c r="B269" s="1" t="s">
        <v>44</v>
      </c>
      <c r="C269" s="1" t="s">
        <v>78</v>
      </c>
      <c r="D269" s="1" t="s">
        <v>15</v>
      </c>
      <c r="E269" s="1">
        <v>26</v>
      </c>
      <c r="F269" s="1" t="s">
        <v>31</v>
      </c>
      <c r="G269" s="1" t="s">
        <v>108</v>
      </c>
      <c r="H269" s="1" t="s">
        <v>834</v>
      </c>
      <c r="I269" s="1">
        <v>59385</v>
      </c>
      <c r="J269" s="1" t="s">
        <v>34</v>
      </c>
      <c r="K269" s="1" t="s">
        <v>835</v>
      </c>
      <c r="L269" s="1" t="s">
        <v>21</v>
      </c>
      <c r="M269" s="1" t="s">
        <v>1515</v>
      </c>
      <c r="N269" s="1">
        <v>2</v>
      </c>
      <c r="O269" s="1">
        <v>62354.25</v>
      </c>
    </row>
    <row r="270" spans="1:15" x14ac:dyDescent="0.3">
      <c r="A270" s="1" t="s">
        <v>836</v>
      </c>
      <c r="B270" s="1" t="s">
        <v>54</v>
      </c>
      <c r="C270" s="1" t="s">
        <v>63</v>
      </c>
      <c r="D270" s="1" t="s">
        <v>15</v>
      </c>
      <c r="E270" s="1">
        <v>43</v>
      </c>
      <c r="F270" s="1" t="s">
        <v>50</v>
      </c>
      <c r="G270" s="1" t="s">
        <v>40</v>
      </c>
      <c r="H270" s="1" t="s">
        <v>837</v>
      </c>
      <c r="I270" s="1">
        <v>114243</v>
      </c>
      <c r="J270" s="1" t="s">
        <v>65</v>
      </c>
      <c r="K270" s="1" t="s">
        <v>838</v>
      </c>
      <c r="L270" s="1" t="s">
        <v>21</v>
      </c>
      <c r="M270" s="1" t="s">
        <v>1511</v>
      </c>
      <c r="N270" s="1">
        <v>1</v>
      </c>
      <c r="O270" s="1">
        <v>119955.15</v>
      </c>
    </row>
    <row r="271" spans="1:15" x14ac:dyDescent="0.3">
      <c r="A271" s="1" t="s">
        <v>839</v>
      </c>
      <c r="B271" s="1" t="s">
        <v>13</v>
      </c>
      <c r="C271" s="1" t="s">
        <v>83</v>
      </c>
      <c r="D271" s="1" t="s">
        <v>15</v>
      </c>
      <c r="E271" s="1">
        <v>38</v>
      </c>
      <c r="F271" s="1" t="s">
        <v>16</v>
      </c>
      <c r="G271" s="1" t="s">
        <v>17</v>
      </c>
      <c r="H271" s="1" t="s">
        <v>840</v>
      </c>
      <c r="I271" s="1">
        <v>108702</v>
      </c>
      <c r="J271" s="1" t="s">
        <v>60</v>
      </c>
      <c r="K271" s="1" t="s">
        <v>841</v>
      </c>
      <c r="L271" s="1" t="s">
        <v>21</v>
      </c>
      <c r="M271" s="1" t="s">
        <v>1509</v>
      </c>
      <c r="N271" s="1">
        <v>4</v>
      </c>
      <c r="O271" s="1">
        <v>119572.2</v>
      </c>
    </row>
    <row r="272" spans="1:15" x14ac:dyDescent="0.3">
      <c r="A272" s="1" t="s">
        <v>842</v>
      </c>
      <c r="B272" s="1" t="s">
        <v>13</v>
      </c>
      <c r="C272" s="1" t="s">
        <v>78</v>
      </c>
      <c r="D272" s="1" t="s">
        <v>24</v>
      </c>
      <c r="E272" s="1">
        <v>54</v>
      </c>
      <c r="F272" s="1" t="s">
        <v>16</v>
      </c>
      <c r="G272" s="1" t="s">
        <v>40</v>
      </c>
      <c r="H272" s="1" t="s">
        <v>843</v>
      </c>
      <c r="I272" s="1">
        <v>103130</v>
      </c>
      <c r="J272" s="1" t="s">
        <v>19</v>
      </c>
      <c r="K272" s="1" t="s">
        <v>844</v>
      </c>
      <c r="L272" s="1" t="s">
        <v>21</v>
      </c>
      <c r="M272" s="1" t="s">
        <v>1509</v>
      </c>
      <c r="N272" s="1">
        <v>5</v>
      </c>
      <c r="O272" s="1">
        <v>118599.5</v>
      </c>
    </row>
    <row r="273" spans="1:15" x14ac:dyDescent="0.3">
      <c r="A273" s="1" t="s">
        <v>845</v>
      </c>
      <c r="B273" s="1" t="s">
        <v>30</v>
      </c>
      <c r="C273" s="1" t="s">
        <v>45</v>
      </c>
      <c r="D273" s="1" t="s">
        <v>24</v>
      </c>
      <c r="E273" s="1">
        <v>44</v>
      </c>
      <c r="F273" s="1" t="s">
        <v>31</v>
      </c>
      <c r="G273" s="1" t="s">
        <v>17</v>
      </c>
      <c r="H273" s="1" t="s">
        <v>846</v>
      </c>
      <c r="I273" s="1">
        <v>71195</v>
      </c>
      <c r="J273" s="1" t="s">
        <v>80</v>
      </c>
      <c r="K273" s="1" t="s">
        <v>847</v>
      </c>
      <c r="L273" s="1" t="s">
        <v>21</v>
      </c>
      <c r="M273" s="1" t="s">
        <v>1515</v>
      </c>
      <c r="N273" s="1">
        <v>4</v>
      </c>
      <c r="O273" s="1">
        <v>78314.5</v>
      </c>
    </row>
    <row r="274" spans="1:15" x14ac:dyDescent="0.3">
      <c r="A274" s="1" t="s">
        <v>848</v>
      </c>
      <c r="B274" s="1" t="s">
        <v>143</v>
      </c>
      <c r="C274" s="1" t="s">
        <v>83</v>
      </c>
      <c r="D274" s="1" t="s">
        <v>15</v>
      </c>
      <c r="E274" s="1">
        <v>55</v>
      </c>
      <c r="F274" s="1" t="s">
        <v>16</v>
      </c>
      <c r="G274" s="1" t="s">
        <v>26</v>
      </c>
      <c r="H274" s="1" t="s">
        <v>849</v>
      </c>
      <c r="I274" s="1">
        <v>40336</v>
      </c>
      <c r="J274" s="1" t="s">
        <v>80</v>
      </c>
      <c r="K274" s="1" t="s">
        <v>850</v>
      </c>
      <c r="L274" s="1" t="s">
        <v>36</v>
      </c>
      <c r="M274" s="1" t="s">
        <v>1509</v>
      </c>
      <c r="N274" s="1">
        <v>2</v>
      </c>
      <c r="O274" s="1">
        <v>42352.800000000003</v>
      </c>
    </row>
    <row r="275" spans="1:15" x14ac:dyDescent="0.3">
      <c r="A275" s="1" t="s">
        <v>851</v>
      </c>
      <c r="B275" s="1" t="s">
        <v>94</v>
      </c>
      <c r="C275" s="1" t="s">
        <v>23</v>
      </c>
      <c r="D275" s="1" t="s">
        <v>24</v>
      </c>
      <c r="E275" s="1">
        <v>52</v>
      </c>
      <c r="F275" s="1" t="s">
        <v>50</v>
      </c>
      <c r="G275" s="1" t="s">
        <v>40</v>
      </c>
      <c r="H275" s="1" t="s">
        <v>852</v>
      </c>
      <c r="I275" s="1">
        <v>107267</v>
      </c>
      <c r="J275" s="1" t="s">
        <v>65</v>
      </c>
      <c r="K275" s="1" t="s">
        <v>853</v>
      </c>
      <c r="L275" s="1" t="s">
        <v>36</v>
      </c>
      <c r="M275" s="1" t="s">
        <v>1511</v>
      </c>
      <c r="N275" s="1">
        <v>4</v>
      </c>
      <c r="O275" s="1">
        <v>117993.7</v>
      </c>
    </row>
    <row r="276" spans="1:15" x14ac:dyDescent="0.3">
      <c r="A276" s="1" t="s">
        <v>854</v>
      </c>
      <c r="B276" s="1" t="s">
        <v>13</v>
      </c>
      <c r="C276" s="1" t="s">
        <v>90</v>
      </c>
      <c r="D276" s="1" t="s">
        <v>15</v>
      </c>
      <c r="E276" s="1">
        <v>43</v>
      </c>
      <c r="F276" s="1" t="s">
        <v>31</v>
      </c>
      <c r="G276" s="1" t="s">
        <v>32</v>
      </c>
      <c r="H276" s="1" t="s">
        <v>855</v>
      </c>
      <c r="I276" s="1">
        <v>89633</v>
      </c>
      <c r="J276" s="1" t="s">
        <v>65</v>
      </c>
      <c r="K276" s="1" t="s">
        <v>856</v>
      </c>
      <c r="L276" s="1" t="s">
        <v>36</v>
      </c>
      <c r="M276" s="1" t="s">
        <v>1515</v>
      </c>
      <c r="N276" s="1">
        <v>4</v>
      </c>
      <c r="O276" s="1">
        <v>98596.3</v>
      </c>
    </row>
    <row r="277" spans="1:15" x14ac:dyDescent="0.3">
      <c r="A277" s="1" t="s">
        <v>857</v>
      </c>
      <c r="B277" s="1" t="s">
        <v>54</v>
      </c>
      <c r="C277" s="1" t="s">
        <v>23</v>
      </c>
      <c r="D277" s="1" t="s">
        <v>24</v>
      </c>
      <c r="E277" s="1">
        <v>51</v>
      </c>
      <c r="F277" s="1" t="s">
        <v>31</v>
      </c>
      <c r="G277" s="1" t="s">
        <v>40</v>
      </c>
      <c r="H277" s="1" t="s">
        <v>858</v>
      </c>
      <c r="I277" s="1">
        <v>76409</v>
      </c>
      <c r="J277" s="1" t="s">
        <v>34</v>
      </c>
      <c r="K277" s="1" t="s">
        <v>859</v>
      </c>
      <c r="L277" s="1" t="s">
        <v>36</v>
      </c>
      <c r="M277" s="1" t="s">
        <v>1515</v>
      </c>
      <c r="N277" s="1">
        <v>2</v>
      </c>
      <c r="O277" s="1">
        <v>80229.45</v>
      </c>
    </row>
    <row r="278" spans="1:15" x14ac:dyDescent="0.3">
      <c r="A278" s="1" t="s">
        <v>860</v>
      </c>
      <c r="B278" s="1" t="s">
        <v>94</v>
      </c>
      <c r="C278" s="1" t="s">
        <v>45</v>
      </c>
      <c r="D278" s="1" t="s">
        <v>15</v>
      </c>
      <c r="E278" s="1">
        <v>22</v>
      </c>
      <c r="F278" s="1" t="s">
        <v>31</v>
      </c>
      <c r="G278" s="1" t="s">
        <v>26</v>
      </c>
      <c r="H278" s="1" t="s">
        <v>861</v>
      </c>
      <c r="I278" s="1">
        <v>79899</v>
      </c>
      <c r="J278" s="1" t="s">
        <v>65</v>
      </c>
      <c r="K278" s="1" t="s">
        <v>862</v>
      </c>
      <c r="L278" s="1" t="s">
        <v>36</v>
      </c>
      <c r="M278" s="1" t="s">
        <v>1515</v>
      </c>
      <c r="N278" s="1">
        <v>2</v>
      </c>
      <c r="O278" s="1">
        <v>83893.95</v>
      </c>
    </row>
    <row r="279" spans="1:15" x14ac:dyDescent="0.3">
      <c r="A279" s="1" t="s">
        <v>863</v>
      </c>
      <c r="B279" s="1" t="s">
        <v>49</v>
      </c>
      <c r="C279" s="1" t="s">
        <v>95</v>
      </c>
      <c r="D279" s="1" t="s">
        <v>15</v>
      </c>
      <c r="E279" s="1">
        <v>28</v>
      </c>
      <c r="F279" s="1" t="s">
        <v>16</v>
      </c>
      <c r="G279" s="1" t="s">
        <v>32</v>
      </c>
      <c r="H279" s="1" t="s">
        <v>864</v>
      </c>
      <c r="I279" s="1">
        <v>92548</v>
      </c>
      <c r="J279" s="1" t="s">
        <v>19</v>
      </c>
      <c r="K279" s="1" t="s">
        <v>865</v>
      </c>
      <c r="L279" s="1" t="s">
        <v>36</v>
      </c>
      <c r="M279" s="1" t="s">
        <v>1509</v>
      </c>
      <c r="N279" s="1">
        <v>2</v>
      </c>
      <c r="O279" s="1">
        <v>97175.4</v>
      </c>
    </row>
    <row r="280" spans="1:15" x14ac:dyDescent="0.3">
      <c r="A280" s="1" t="s">
        <v>866</v>
      </c>
      <c r="B280" s="1" t="s">
        <v>38</v>
      </c>
      <c r="C280" s="1" t="s">
        <v>165</v>
      </c>
      <c r="D280" s="1" t="s">
        <v>15</v>
      </c>
      <c r="E280" s="1">
        <v>32</v>
      </c>
      <c r="F280" s="1" t="s">
        <v>16</v>
      </c>
      <c r="G280" s="1" t="s">
        <v>40</v>
      </c>
      <c r="H280" s="1" t="s">
        <v>867</v>
      </c>
      <c r="I280" s="1">
        <v>60558</v>
      </c>
      <c r="J280" s="1" t="s">
        <v>60</v>
      </c>
      <c r="K280" s="1" t="s">
        <v>868</v>
      </c>
      <c r="L280" s="1" t="s">
        <v>21</v>
      </c>
      <c r="M280" s="1" t="s">
        <v>1509</v>
      </c>
      <c r="N280" s="1">
        <v>2</v>
      </c>
      <c r="O280" s="1">
        <v>63585.9</v>
      </c>
    </row>
    <row r="281" spans="1:15" x14ac:dyDescent="0.3">
      <c r="A281" s="1" t="s">
        <v>869</v>
      </c>
      <c r="B281" s="1" t="s">
        <v>49</v>
      </c>
      <c r="C281" s="1" t="s">
        <v>130</v>
      </c>
      <c r="D281" s="1" t="s">
        <v>15</v>
      </c>
      <c r="E281" s="1">
        <v>60</v>
      </c>
      <c r="F281" s="1" t="s">
        <v>25</v>
      </c>
      <c r="G281" s="1" t="s">
        <v>17</v>
      </c>
      <c r="H281" s="1" t="s">
        <v>870</v>
      </c>
      <c r="I281" s="1">
        <v>40802</v>
      </c>
      <c r="J281" s="1" t="s">
        <v>80</v>
      </c>
      <c r="K281" s="1" t="s">
        <v>871</v>
      </c>
      <c r="L281" s="1" t="s">
        <v>21</v>
      </c>
      <c r="M281" s="1" t="s">
        <v>1513</v>
      </c>
      <c r="N281" s="1">
        <v>1</v>
      </c>
      <c r="O281" s="1">
        <v>42842.1</v>
      </c>
    </row>
    <row r="282" spans="1:15" x14ac:dyDescent="0.3">
      <c r="A282" s="1" t="s">
        <v>872</v>
      </c>
      <c r="B282" s="1" t="s">
        <v>143</v>
      </c>
      <c r="C282" s="1" t="s">
        <v>165</v>
      </c>
      <c r="D282" s="1" t="s">
        <v>24</v>
      </c>
      <c r="E282" s="1">
        <v>24</v>
      </c>
      <c r="F282" s="1" t="s">
        <v>39</v>
      </c>
      <c r="G282" s="1" t="s">
        <v>108</v>
      </c>
      <c r="H282" s="1" t="s">
        <v>873</v>
      </c>
      <c r="I282" s="1">
        <v>117454</v>
      </c>
      <c r="J282" s="1" t="s">
        <v>65</v>
      </c>
      <c r="K282" s="1" t="s">
        <v>874</v>
      </c>
      <c r="L282" s="1" t="s">
        <v>36</v>
      </c>
      <c r="M282" s="1" t="s">
        <v>1517</v>
      </c>
      <c r="N282" s="1">
        <v>1</v>
      </c>
      <c r="O282" s="1">
        <v>123326.7</v>
      </c>
    </row>
    <row r="283" spans="1:15" x14ac:dyDescent="0.3">
      <c r="A283" s="1" t="s">
        <v>875</v>
      </c>
      <c r="B283" s="1" t="s">
        <v>143</v>
      </c>
      <c r="C283" s="1" t="s">
        <v>95</v>
      </c>
      <c r="D283" s="1" t="s">
        <v>24</v>
      </c>
      <c r="E283" s="1">
        <v>26</v>
      </c>
      <c r="F283" s="1" t="s">
        <v>31</v>
      </c>
      <c r="G283" s="1" t="s">
        <v>32</v>
      </c>
      <c r="H283" s="1" t="s">
        <v>876</v>
      </c>
      <c r="I283" s="1">
        <v>48830</v>
      </c>
      <c r="J283" s="1" t="s">
        <v>65</v>
      </c>
      <c r="K283" s="1" t="s">
        <v>877</v>
      </c>
      <c r="L283" s="1" t="s">
        <v>21</v>
      </c>
      <c r="M283" s="1" t="s">
        <v>1515</v>
      </c>
      <c r="N283" s="1">
        <v>1</v>
      </c>
      <c r="O283" s="1">
        <v>51271.5</v>
      </c>
    </row>
    <row r="284" spans="1:15" x14ac:dyDescent="0.3">
      <c r="A284" s="1" t="s">
        <v>878</v>
      </c>
      <c r="B284" s="1" t="s">
        <v>58</v>
      </c>
      <c r="C284" s="1" t="s">
        <v>23</v>
      </c>
      <c r="D284" s="1" t="s">
        <v>24</v>
      </c>
      <c r="E284" s="1">
        <v>36</v>
      </c>
      <c r="F284" s="1" t="s">
        <v>50</v>
      </c>
      <c r="G284" s="1" t="s">
        <v>17</v>
      </c>
      <c r="H284" s="1" t="s">
        <v>879</v>
      </c>
      <c r="I284" s="1">
        <v>45532</v>
      </c>
      <c r="J284" s="1" t="s">
        <v>80</v>
      </c>
      <c r="K284" s="1" t="s">
        <v>880</v>
      </c>
      <c r="L284" s="1" t="s">
        <v>36</v>
      </c>
      <c r="M284" s="1" t="s">
        <v>1511</v>
      </c>
      <c r="N284" s="1">
        <v>5</v>
      </c>
      <c r="O284" s="1">
        <v>52361.8</v>
      </c>
    </row>
    <row r="285" spans="1:15" x14ac:dyDescent="0.3">
      <c r="A285" s="1" t="s">
        <v>881</v>
      </c>
      <c r="B285" s="1" t="s">
        <v>44</v>
      </c>
      <c r="C285" s="1" t="s">
        <v>95</v>
      </c>
      <c r="D285" s="1" t="s">
        <v>24</v>
      </c>
      <c r="E285" s="1">
        <v>43</v>
      </c>
      <c r="F285" s="1" t="s">
        <v>39</v>
      </c>
      <c r="G285" s="1" t="s">
        <v>40</v>
      </c>
      <c r="H285" s="1" t="s">
        <v>216</v>
      </c>
      <c r="I285" s="1">
        <v>44771</v>
      </c>
      <c r="J285" s="1" t="s">
        <v>65</v>
      </c>
      <c r="K285" s="1" t="s">
        <v>882</v>
      </c>
      <c r="L285" s="1" t="s">
        <v>21</v>
      </c>
      <c r="M285" s="1" t="s">
        <v>1517</v>
      </c>
      <c r="N285" s="1">
        <v>2</v>
      </c>
      <c r="O285" s="1">
        <v>47009.55</v>
      </c>
    </row>
    <row r="286" spans="1:15" x14ac:dyDescent="0.3">
      <c r="A286" s="1" t="s">
        <v>883</v>
      </c>
      <c r="B286" s="1" t="s">
        <v>54</v>
      </c>
      <c r="C286" s="1" t="s">
        <v>45</v>
      </c>
      <c r="D286" s="1" t="s">
        <v>15</v>
      </c>
      <c r="E286" s="1">
        <v>27</v>
      </c>
      <c r="F286" s="1" t="s">
        <v>39</v>
      </c>
      <c r="G286" s="1" t="s">
        <v>17</v>
      </c>
      <c r="H286" s="1" t="s">
        <v>884</v>
      </c>
      <c r="I286" s="1">
        <v>46998</v>
      </c>
      <c r="J286" s="1" t="s">
        <v>60</v>
      </c>
      <c r="K286" s="1" t="s">
        <v>885</v>
      </c>
      <c r="L286" s="1" t="s">
        <v>36</v>
      </c>
      <c r="M286" s="1" t="s">
        <v>1517</v>
      </c>
      <c r="N286" s="1">
        <v>3</v>
      </c>
      <c r="O286" s="1">
        <v>50287.86</v>
      </c>
    </row>
    <row r="287" spans="1:15" x14ac:dyDescent="0.3">
      <c r="A287" s="1" t="s">
        <v>886</v>
      </c>
      <c r="B287" s="1" t="s">
        <v>71</v>
      </c>
      <c r="C287" s="1" t="s">
        <v>45</v>
      </c>
      <c r="D287" s="1" t="s">
        <v>15</v>
      </c>
      <c r="E287" s="1">
        <v>47</v>
      </c>
      <c r="F287" s="1" t="s">
        <v>31</v>
      </c>
      <c r="G287" s="1" t="s">
        <v>26</v>
      </c>
      <c r="H287" s="1" t="s">
        <v>887</v>
      </c>
      <c r="I287" s="1">
        <v>106837</v>
      </c>
      <c r="J287" s="1" t="s">
        <v>80</v>
      </c>
      <c r="K287" s="1" t="s">
        <v>888</v>
      </c>
      <c r="L287" s="1" t="s">
        <v>36</v>
      </c>
      <c r="M287" s="1" t="s">
        <v>1515</v>
      </c>
      <c r="N287" s="1">
        <v>3</v>
      </c>
      <c r="O287" s="1">
        <v>114315.59</v>
      </c>
    </row>
    <row r="288" spans="1:15" x14ac:dyDescent="0.3">
      <c r="A288" s="1" t="s">
        <v>889</v>
      </c>
      <c r="B288" s="1" t="s">
        <v>58</v>
      </c>
      <c r="C288" s="1" t="s">
        <v>130</v>
      </c>
      <c r="D288" s="1" t="s">
        <v>15</v>
      </c>
      <c r="E288" s="1">
        <v>52</v>
      </c>
      <c r="F288" s="1" t="s">
        <v>31</v>
      </c>
      <c r="G288" s="1" t="s">
        <v>108</v>
      </c>
      <c r="H288" s="1" t="s">
        <v>890</v>
      </c>
      <c r="I288" s="1">
        <v>97878</v>
      </c>
      <c r="J288" s="1" t="s">
        <v>65</v>
      </c>
      <c r="K288" s="1" t="s">
        <v>891</v>
      </c>
      <c r="L288" s="1" t="s">
        <v>36</v>
      </c>
      <c r="M288" s="1" t="s">
        <v>1515</v>
      </c>
      <c r="N288" s="1">
        <v>1</v>
      </c>
      <c r="O288" s="1">
        <v>102771.9</v>
      </c>
    </row>
    <row r="289" spans="1:15" x14ac:dyDescent="0.3">
      <c r="A289" s="1" t="s">
        <v>892</v>
      </c>
      <c r="B289" s="1" t="s">
        <v>54</v>
      </c>
      <c r="C289" s="1" t="s">
        <v>95</v>
      </c>
      <c r="D289" s="1" t="s">
        <v>15</v>
      </c>
      <c r="E289" s="1">
        <v>52</v>
      </c>
      <c r="F289" s="1" t="s">
        <v>31</v>
      </c>
      <c r="G289" s="1" t="s">
        <v>108</v>
      </c>
      <c r="H289" s="1" t="s">
        <v>893</v>
      </c>
      <c r="I289" s="1">
        <v>42401</v>
      </c>
      <c r="J289" s="1" t="s">
        <v>65</v>
      </c>
      <c r="K289" s="1" t="s">
        <v>894</v>
      </c>
      <c r="L289" s="1" t="s">
        <v>36</v>
      </c>
      <c r="M289" s="1" t="s">
        <v>1515</v>
      </c>
      <c r="N289" s="1">
        <v>4</v>
      </c>
      <c r="O289" s="1">
        <v>46641.1</v>
      </c>
    </row>
    <row r="290" spans="1:15" x14ac:dyDescent="0.3">
      <c r="A290" s="1" t="s">
        <v>895</v>
      </c>
      <c r="B290" s="1" t="s">
        <v>49</v>
      </c>
      <c r="C290" s="1" t="s">
        <v>165</v>
      </c>
      <c r="D290" s="1" t="s">
        <v>15</v>
      </c>
      <c r="E290" s="1">
        <v>59</v>
      </c>
      <c r="F290" s="1" t="s">
        <v>31</v>
      </c>
      <c r="G290" s="1" t="s">
        <v>26</v>
      </c>
      <c r="H290" s="1" t="s">
        <v>896</v>
      </c>
      <c r="I290" s="1">
        <v>88760</v>
      </c>
      <c r="J290" s="1" t="s">
        <v>19</v>
      </c>
      <c r="K290" s="1" t="s">
        <v>897</v>
      </c>
      <c r="L290" s="1" t="s">
        <v>21</v>
      </c>
      <c r="M290" s="1" t="s">
        <v>1515</v>
      </c>
      <c r="N290" s="1">
        <v>1</v>
      </c>
      <c r="O290" s="1">
        <v>93198</v>
      </c>
    </row>
    <row r="291" spans="1:15" x14ac:dyDescent="0.3">
      <c r="A291" s="1" t="s">
        <v>898</v>
      </c>
      <c r="B291" s="1" t="s">
        <v>94</v>
      </c>
      <c r="C291" s="1" t="s">
        <v>63</v>
      </c>
      <c r="D291" s="1" t="s">
        <v>24</v>
      </c>
      <c r="E291" s="1">
        <v>43</v>
      </c>
      <c r="F291" s="1" t="s">
        <v>39</v>
      </c>
      <c r="G291" s="1" t="s">
        <v>17</v>
      </c>
      <c r="H291" s="1" t="s">
        <v>899</v>
      </c>
      <c r="I291" s="1">
        <v>55436</v>
      </c>
      <c r="J291" s="1" t="s">
        <v>80</v>
      </c>
      <c r="K291" s="1" t="s">
        <v>900</v>
      </c>
      <c r="L291" s="1" t="s">
        <v>21</v>
      </c>
      <c r="M291" s="1" t="s">
        <v>1517</v>
      </c>
      <c r="N291" s="1">
        <v>5</v>
      </c>
      <c r="O291" s="1">
        <v>63751.4</v>
      </c>
    </row>
    <row r="292" spans="1:15" x14ac:dyDescent="0.3">
      <c r="A292" s="1" t="s">
        <v>901</v>
      </c>
      <c r="B292" s="1" t="s">
        <v>58</v>
      </c>
      <c r="C292" s="1" t="s">
        <v>45</v>
      </c>
      <c r="D292" s="1" t="s">
        <v>15</v>
      </c>
      <c r="E292" s="1">
        <v>55</v>
      </c>
      <c r="F292" s="1" t="s">
        <v>31</v>
      </c>
      <c r="G292" s="1" t="s">
        <v>108</v>
      </c>
      <c r="H292" s="1" t="s">
        <v>902</v>
      </c>
      <c r="I292" s="1">
        <v>84404</v>
      </c>
      <c r="J292" s="1" t="s">
        <v>19</v>
      </c>
      <c r="K292" s="1" t="s">
        <v>903</v>
      </c>
      <c r="L292" s="1" t="s">
        <v>36</v>
      </c>
      <c r="M292" s="1" t="s">
        <v>1515</v>
      </c>
      <c r="N292" s="1">
        <v>3</v>
      </c>
      <c r="O292" s="1">
        <v>90312.28</v>
      </c>
    </row>
    <row r="293" spans="1:15" x14ac:dyDescent="0.3">
      <c r="A293" s="1" t="s">
        <v>904</v>
      </c>
      <c r="B293" s="1" t="s">
        <v>143</v>
      </c>
      <c r="C293" s="1" t="s">
        <v>130</v>
      </c>
      <c r="D293" s="1" t="s">
        <v>24</v>
      </c>
      <c r="E293" s="1">
        <v>24</v>
      </c>
      <c r="F293" s="1" t="s">
        <v>39</v>
      </c>
      <c r="G293" s="1" t="s">
        <v>26</v>
      </c>
      <c r="H293" s="1" t="s">
        <v>905</v>
      </c>
      <c r="I293" s="1">
        <v>83157</v>
      </c>
      <c r="J293" s="1" t="s">
        <v>19</v>
      </c>
      <c r="K293" s="1" t="s">
        <v>906</v>
      </c>
      <c r="L293" s="1" t="s">
        <v>36</v>
      </c>
      <c r="M293" s="1" t="s">
        <v>1517</v>
      </c>
      <c r="N293" s="1">
        <v>3</v>
      </c>
      <c r="O293" s="1">
        <v>88977.99</v>
      </c>
    </row>
    <row r="294" spans="1:15" x14ac:dyDescent="0.3">
      <c r="A294" s="1" t="s">
        <v>907</v>
      </c>
      <c r="B294" s="1" t="s">
        <v>38</v>
      </c>
      <c r="C294" s="1" t="s">
        <v>45</v>
      </c>
      <c r="D294" s="1" t="s">
        <v>24</v>
      </c>
      <c r="E294" s="1">
        <v>50</v>
      </c>
      <c r="F294" s="1" t="s">
        <v>31</v>
      </c>
      <c r="G294" s="1" t="s">
        <v>26</v>
      </c>
      <c r="H294" s="1" t="s">
        <v>908</v>
      </c>
      <c r="I294" s="1">
        <v>49330</v>
      </c>
      <c r="J294" s="1" t="s">
        <v>65</v>
      </c>
      <c r="K294" s="1" t="s">
        <v>909</v>
      </c>
      <c r="L294" s="1" t="s">
        <v>21</v>
      </c>
      <c r="M294" s="1" t="s">
        <v>1515</v>
      </c>
      <c r="N294" s="1">
        <v>5</v>
      </c>
      <c r="O294" s="1">
        <v>56729.5</v>
      </c>
    </row>
    <row r="295" spans="1:15" x14ac:dyDescent="0.3">
      <c r="A295" s="1" t="s">
        <v>910</v>
      </c>
      <c r="B295" s="1" t="s">
        <v>13</v>
      </c>
      <c r="C295" s="1" t="s">
        <v>45</v>
      </c>
      <c r="D295" s="1" t="s">
        <v>24</v>
      </c>
      <c r="E295" s="1">
        <v>40</v>
      </c>
      <c r="F295" s="1" t="s">
        <v>25</v>
      </c>
      <c r="G295" s="1" t="s">
        <v>40</v>
      </c>
      <c r="H295" s="1" t="s">
        <v>911</v>
      </c>
      <c r="I295" s="1">
        <v>89213</v>
      </c>
      <c r="J295" s="1" t="s">
        <v>34</v>
      </c>
      <c r="K295" s="1" t="s">
        <v>912</v>
      </c>
      <c r="L295" s="1" t="s">
        <v>21</v>
      </c>
      <c r="M295" s="1" t="s">
        <v>1513</v>
      </c>
      <c r="N295" s="1">
        <v>3</v>
      </c>
      <c r="O295" s="1">
        <v>95457.91</v>
      </c>
    </row>
    <row r="296" spans="1:15" x14ac:dyDescent="0.3">
      <c r="A296" s="1" t="s">
        <v>913</v>
      </c>
      <c r="B296" s="1" t="s">
        <v>143</v>
      </c>
      <c r="C296" s="1" t="s">
        <v>63</v>
      </c>
      <c r="D296" s="1" t="s">
        <v>24</v>
      </c>
      <c r="E296" s="1">
        <v>29</v>
      </c>
      <c r="F296" s="1" t="s">
        <v>16</v>
      </c>
      <c r="G296" s="1" t="s">
        <v>32</v>
      </c>
      <c r="H296" s="1" t="s">
        <v>914</v>
      </c>
      <c r="I296" s="1">
        <v>75306</v>
      </c>
      <c r="J296" s="1" t="s">
        <v>65</v>
      </c>
      <c r="K296" s="1" t="s">
        <v>915</v>
      </c>
      <c r="L296" s="1" t="s">
        <v>36</v>
      </c>
      <c r="M296" s="1" t="s">
        <v>1509</v>
      </c>
      <c r="N296" s="1">
        <v>3</v>
      </c>
      <c r="O296" s="1">
        <v>80577.42</v>
      </c>
    </row>
    <row r="297" spans="1:15" x14ac:dyDescent="0.3">
      <c r="A297" s="1" t="s">
        <v>916</v>
      </c>
      <c r="B297" s="1" t="s">
        <v>30</v>
      </c>
      <c r="C297" s="1" t="s">
        <v>95</v>
      </c>
      <c r="D297" s="1" t="s">
        <v>15</v>
      </c>
      <c r="E297" s="1">
        <v>33</v>
      </c>
      <c r="F297" s="1" t="s">
        <v>25</v>
      </c>
      <c r="G297" s="1" t="s">
        <v>26</v>
      </c>
      <c r="H297" s="1" t="s">
        <v>917</v>
      </c>
      <c r="I297" s="1">
        <v>88151</v>
      </c>
      <c r="J297" s="1" t="s">
        <v>80</v>
      </c>
      <c r="K297" s="1" t="s">
        <v>918</v>
      </c>
      <c r="L297" s="1" t="s">
        <v>36</v>
      </c>
      <c r="M297" s="1" t="s">
        <v>1513</v>
      </c>
      <c r="N297" s="1">
        <v>3</v>
      </c>
      <c r="O297" s="1">
        <v>94321.57</v>
      </c>
    </row>
    <row r="298" spans="1:15" x14ac:dyDescent="0.3">
      <c r="A298" s="1" t="s">
        <v>919</v>
      </c>
      <c r="B298" s="1" t="s">
        <v>13</v>
      </c>
      <c r="C298" s="1" t="s">
        <v>78</v>
      </c>
      <c r="D298" s="1" t="s">
        <v>24</v>
      </c>
      <c r="E298" s="1">
        <v>36</v>
      </c>
      <c r="F298" s="1" t="s">
        <v>31</v>
      </c>
      <c r="G298" s="1" t="s">
        <v>32</v>
      </c>
      <c r="H298" s="1" t="s">
        <v>920</v>
      </c>
      <c r="I298" s="1">
        <v>112274</v>
      </c>
      <c r="J298" s="1" t="s">
        <v>60</v>
      </c>
      <c r="K298" s="1" t="s">
        <v>921</v>
      </c>
      <c r="L298" s="1" t="s">
        <v>36</v>
      </c>
      <c r="M298" s="1" t="s">
        <v>1515</v>
      </c>
      <c r="N298" s="1">
        <v>3</v>
      </c>
      <c r="O298" s="1">
        <v>120133.18000000001</v>
      </c>
    </row>
    <row r="299" spans="1:15" x14ac:dyDescent="0.3">
      <c r="A299" s="1" t="s">
        <v>922</v>
      </c>
      <c r="B299" s="1" t="s">
        <v>71</v>
      </c>
      <c r="C299" s="1" t="s">
        <v>14</v>
      </c>
      <c r="D299" s="1" t="s">
        <v>15</v>
      </c>
      <c r="E299" s="1">
        <v>39</v>
      </c>
      <c r="F299" s="1" t="s">
        <v>16</v>
      </c>
      <c r="G299" s="1" t="s">
        <v>40</v>
      </c>
      <c r="H299" s="1" t="s">
        <v>923</v>
      </c>
      <c r="I299" s="1">
        <v>55507</v>
      </c>
      <c r="J299" s="1" t="s">
        <v>80</v>
      </c>
      <c r="K299" s="1" t="s">
        <v>924</v>
      </c>
      <c r="L299" s="1" t="s">
        <v>21</v>
      </c>
      <c r="M299" s="1" t="s">
        <v>1509</v>
      </c>
      <c r="N299" s="1">
        <v>3</v>
      </c>
      <c r="O299" s="1">
        <v>59392.49</v>
      </c>
    </row>
    <row r="300" spans="1:15" x14ac:dyDescent="0.3">
      <c r="A300" s="1" t="s">
        <v>925</v>
      </c>
      <c r="B300" s="1" t="s">
        <v>30</v>
      </c>
      <c r="C300" s="1" t="s">
        <v>95</v>
      </c>
      <c r="D300" s="1" t="s">
        <v>15</v>
      </c>
      <c r="E300" s="1">
        <v>24</v>
      </c>
      <c r="F300" s="1" t="s">
        <v>50</v>
      </c>
      <c r="G300" s="1" t="s">
        <v>17</v>
      </c>
      <c r="H300" s="1" t="s">
        <v>926</v>
      </c>
      <c r="I300" s="1">
        <v>66638</v>
      </c>
      <c r="J300" s="1" t="s">
        <v>65</v>
      </c>
      <c r="K300" s="1" t="s">
        <v>927</v>
      </c>
      <c r="L300" s="1" t="s">
        <v>21</v>
      </c>
      <c r="M300" s="1" t="s">
        <v>1511</v>
      </c>
      <c r="N300" s="1">
        <v>5</v>
      </c>
      <c r="O300" s="1">
        <v>76633.7</v>
      </c>
    </row>
    <row r="301" spans="1:15" x14ac:dyDescent="0.3">
      <c r="A301" s="1" t="s">
        <v>928</v>
      </c>
      <c r="B301" s="1" t="s">
        <v>44</v>
      </c>
      <c r="C301" s="1" t="s">
        <v>78</v>
      </c>
      <c r="D301" s="1" t="s">
        <v>15</v>
      </c>
      <c r="E301" s="1">
        <v>51</v>
      </c>
      <c r="F301" s="1" t="s">
        <v>16</v>
      </c>
      <c r="G301" s="1" t="s">
        <v>108</v>
      </c>
      <c r="H301" s="1" t="s">
        <v>929</v>
      </c>
      <c r="I301" s="1">
        <v>43356</v>
      </c>
      <c r="J301" s="1" t="s">
        <v>65</v>
      </c>
      <c r="K301" s="1" t="s">
        <v>930</v>
      </c>
      <c r="L301" s="1" t="s">
        <v>21</v>
      </c>
      <c r="M301" s="1" t="s">
        <v>1509</v>
      </c>
      <c r="N301" s="1">
        <v>1</v>
      </c>
      <c r="O301" s="1">
        <v>45523.8</v>
      </c>
    </row>
    <row r="302" spans="1:15" x14ac:dyDescent="0.3">
      <c r="A302" s="1" t="s">
        <v>931</v>
      </c>
      <c r="B302" s="1" t="s">
        <v>38</v>
      </c>
      <c r="C302" s="1" t="s">
        <v>130</v>
      </c>
      <c r="D302" s="1" t="s">
        <v>15</v>
      </c>
      <c r="E302" s="1">
        <v>44</v>
      </c>
      <c r="F302" s="1" t="s">
        <v>31</v>
      </c>
      <c r="G302" s="1" t="s">
        <v>40</v>
      </c>
      <c r="H302" s="1" t="s">
        <v>932</v>
      </c>
      <c r="I302" s="1">
        <v>82425</v>
      </c>
      <c r="J302" s="1" t="s">
        <v>80</v>
      </c>
      <c r="K302" s="1" t="s">
        <v>933</v>
      </c>
      <c r="L302" s="1" t="s">
        <v>21</v>
      </c>
      <c r="M302" s="1" t="s">
        <v>1515</v>
      </c>
      <c r="N302" s="1">
        <v>4</v>
      </c>
      <c r="O302" s="1">
        <v>90667.5</v>
      </c>
    </row>
    <row r="303" spans="1:15" x14ac:dyDescent="0.3">
      <c r="A303" s="1" t="s">
        <v>934</v>
      </c>
      <c r="B303" s="1" t="s">
        <v>44</v>
      </c>
      <c r="C303" s="1" t="s">
        <v>23</v>
      </c>
      <c r="D303" s="1" t="s">
        <v>15</v>
      </c>
      <c r="E303" s="1">
        <v>23</v>
      </c>
      <c r="F303" s="1" t="s">
        <v>39</v>
      </c>
      <c r="G303" s="1" t="s">
        <v>40</v>
      </c>
      <c r="H303" s="1" t="s">
        <v>415</v>
      </c>
      <c r="I303" s="1">
        <v>79670</v>
      </c>
      <c r="J303" s="1" t="s">
        <v>80</v>
      </c>
      <c r="K303" s="1" t="s">
        <v>935</v>
      </c>
      <c r="L303" s="1" t="s">
        <v>36</v>
      </c>
      <c r="M303" s="1" t="s">
        <v>1517</v>
      </c>
      <c r="N303" s="1">
        <v>2</v>
      </c>
      <c r="O303" s="1">
        <v>83653.5</v>
      </c>
    </row>
    <row r="304" spans="1:15" x14ac:dyDescent="0.3">
      <c r="A304" s="1" t="s">
        <v>936</v>
      </c>
      <c r="B304" s="1" t="s">
        <v>13</v>
      </c>
      <c r="C304" s="1" t="s">
        <v>14</v>
      </c>
      <c r="D304" s="1" t="s">
        <v>24</v>
      </c>
      <c r="E304" s="1">
        <v>58</v>
      </c>
      <c r="F304" s="1" t="s">
        <v>50</v>
      </c>
      <c r="G304" s="1" t="s">
        <v>32</v>
      </c>
      <c r="H304" s="1" t="s">
        <v>937</v>
      </c>
      <c r="I304" s="1">
        <v>85427</v>
      </c>
      <c r="J304" s="1" t="s">
        <v>65</v>
      </c>
      <c r="K304" s="1" t="s">
        <v>938</v>
      </c>
      <c r="L304" s="1" t="s">
        <v>36</v>
      </c>
      <c r="M304" s="1" t="s">
        <v>1511</v>
      </c>
      <c r="N304" s="1">
        <v>1</v>
      </c>
      <c r="O304" s="1">
        <v>89698.35</v>
      </c>
    </row>
    <row r="305" spans="1:15" x14ac:dyDescent="0.3">
      <c r="A305" s="1" t="s">
        <v>939</v>
      </c>
      <c r="B305" s="1" t="s">
        <v>143</v>
      </c>
      <c r="C305" s="1" t="s">
        <v>95</v>
      </c>
      <c r="D305" s="1" t="s">
        <v>15</v>
      </c>
      <c r="E305" s="1">
        <v>25</v>
      </c>
      <c r="F305" s="1" t="s">
        <v>25</v>
      </c>
      <c r="G305" s="1" t="s">
        <v>108</v>
      </c>
      <c r="H305" s="1" t="s">
        <v>940</v>
      </c>
      <c r="I305" s="1">
        <v>76975</v>
      </c>
      <c r="J305" s="1" t="s">
        <v>34</v>
      </c>
      <c r="K305" s="1" t="s">
        <v>941</v>
      </c>
      <c r="L305" s="1" t="s">
        <v>21</v>
      </c>
      <c r="M305" s="1" t="s">
        <v>1513</v>
      </c>
      <c r="N305" s="1">
        <v>5</v>
      </c>
      <c r="O305" s="1">
        <v>88521.25</v>
      </c>
    </row>
    <row r="306" spans="1:15" x14ac:dyDescent="0.3">
      <c r="A306" s="1" t="s">
        <v>942</v>
      </c>
      <c r="B306" s="1" t="s">
        <v>38</v>
      </c>
      <c r="C306" s="1" t="s">
        <v>45</v>
      </c>
      <c r="D306" s="1" t="s">
        <v>15</v>
      </c>
      <c r="E306" s="1">
        <v>40</v>
      </c>
      <c r="F306" s="1" t="s">
        <v>16</v>
      </c>
      <c r="G306" s="1" t="s">
        <v>40</v>
      </c>
      <c r="H306" s="1" t="s">
        <v>943</v>
      </c>
      <c r="I306" s="1">
        <v>52019</v>
      </c>
      <c r="J306" s="1" t="s">
        <v>80</v>
      </c>
      <c r="K306" s="1" t="s">
        <v>944</v>
      </c>
      <c r="L306" s="1" t="s">
        <v>21</v>
      </c>
      <c r="M306" s="1" t="s">
        <v>1509</v>
      </c>
      <c r="N306" s="1">
        <v>2</v>
      </c>
      <c r="O306" s="1">
        <v>54619.95</v>
      </c>
    </row>
    <row r="307" spans="1:15" x14ac:dyDescent="0.3">
      <c r="A307" s="1" t="s">
        <v>945</v>
      </c>
      <c r="B307" s="1" t="s">
        <v>58</v>
      </c>
      <c r="C307" s="1" t="s">
        <v>130</v>
      </c>
      <c r="D307" s="1" t="s">
        <v>15</v>
      </c>
      <c r="E307" s="1">
        <v>22</v>
      </c>
      <c r="F307" s="1" t="s">
        <v>16</v>
      </c>
      <c r="G307" s="1" t="s">
        <v>108</v>
      </c>
      <c r="H307" s="1" t="s">
        <v>946</v>
      </c>
      <c r="I307" s="1">
        <v>89336</v>
      </c>
      <c r="J307" s="1" t="s">
        <v>65</v>
      </c>
      <c r="K307" s="1" t="s">
        <v>947</v>
      </c>
      <c r="L307" s="1" t="s">
        <v>21</v>
      </c>
      <c r="M307" s="1" t="s">
        <v>1509</v>
      </c>
      <c r="N307" s="1">
        <v>2</v>
      </c>
      <c r="O307" s="1">
        <v>93802.8</v>
      </c>
    </row>
    <row r="308" spans="1:15" x14ac:dyDescent="0.3">
      <c r="A308" s="1" t="s">
        <v>948</v>
      </c>
      <c r="B308" s="1" t="s">
        <v>38</v>
      </c>
      <c r="C308" s="1" t="s">
        <v>78</v>
      </c>
      <c r="D308" s="1" t="s">
        <v>24</v>
      </c>
      <c r="E308" s="1">
        <v>41</v>
      </c>
      <c r="F308" s="1" t="s">
        <v>50</v>
      </c>
      <c r="G308" s="1" t="s">
        <v>32</v>
      </c>
      <c r="H308" s="1" t="s">
        <v>949</v>
      </c>
      <c r="I308" s="1">
        <v>81363</v>
      </c>
      <c r="J308" s="1" t="s">
        <v>60</v>
      </c>
      <c r="K308" s="1" t="s">
        <v>950</v>
      </c>
      <c r="L308" s="1" t="s">
        <v>36</v>
      </c>
      <c r="M308" s="1" t="s">
        <v>1511</v>
      </c>
      <c r="N308" s="1">
        <v>2</v>
      </c>
      <c r="O308" s="1">
        <v>85431.15</v>
      </c>
    </row>
    <row r="309" spans="1:15" x14ac:dyDescent="0.3">
      <c r="A309" s="1" t="s">
        <v>951</v>
      </c>
      <c r="B309" s="1" t="s">
        <v>49</v>
      </c>
      <c r="C309" s="1" t="s">
        <v>83</v>
      </c>
      <c r="D309" s="1" t="s">
        <v>24</v>
      </c>
      <c r="E309" s="1">
        <v>45</v>
      </c>
      <c r="F309" s="1" t="s">
        <v>50</v>
      </c>
      <c r="G309" s="1" t="s">
        <v>17</v>
      </c>
      <c r="H309" s="1" t="s">
        <v>952</v>
      </c>
      <c r="I309" s="1">
        <v>74751</v>
      </c>
      <c r="J309" s="1" t="s">
        <v>60</v>
      </c>
      <c r="K309" s="1" t="s">
        <v>953</v>
      </c>
      <c r="L309" s="1" t="s">
        <v>21</v>
      </c>
      <c r="M309" s="1" t="s">
        <v>1511</v>
      </c>
      <c r="N309" s="1">
        <v>3</v>
      </c>
      <c r="O309" s="1">
        <v>79983.570000000007</v>
      </c>
    </row>
    <row r="310" spans="1:15" x14ac:dyDescent="0.3">
      <c r="A310" s="1" t="s">
        <v>954</v>
      </c>
      <c r="B310" s="1" t="s">
        <v>143</v>
      </c>
      <c r="C310" s="1" t="s">
        <v>63</v>
      </c>
      <c r="D310" s="1" t="s">
        <v>15</v>
      </c>
      <c r="E310" s="1">
        <v>55</v>
      </c>
      <c r="F310" s="1" t="s">
        <v>50</v>
      </c>
      <c r="G310" s="1" t="s">
        <v>40</v>
      </c>
      <c r="H310" s="1" t="s">
        <v>193</v>
      </c>
      <c r="I310" s="1">
        <v>75014</v>
      </c>
      <c r="J310" s="1" t="s">
        <v>65</v>
      </c>
      <c r="K310" s="1" t="s">
        <v>955</v>
      </c>
      <c r="L310" s="1" t="s">
        <v>21</v>
      </c>
      <c r="M310" s="1" t="s">
        <v>1511</v>
      </c>
      <c r="N310" s="1">
        <v>1</v>
      </c>
      <c r="O310" s="1">
        <v>78764.7</v>
      </c>
    </row>
    <row r="311" spans="1:15" x14ac:dyDescent="0.3">
      <c r="A311" s="1" t="s">
        <v>956</v>
      </c>
      <c r="B311" s="1" t="s">
        <v>54</v>
      </c>
      <c r="C311" s="1" t="s">
        <v>63</v>
      </c>
      <c r="D311" s="1" t="s">
        <v>15</v>
      </c>
      <c r="E311" s="1">
        <v>55</v>
      </c>
      <c r="F311" s="1" t="s">
        <v>39</v>
      </c>
      <c r="G311" s="1" t="s">
        <v>26</v>
      </c>
      <c r="H311" s="1" t="s">
        <v>957</v>
      </c>
      <c r="I311" s="1">
        <v>98004</v>
      </c>
      <c r="J311" s="1" t="s">
        <v>60</v>
      </c>
      <c r="K311" s="1" t="s">
        <v>958</v>
      </c>
      <c r="L311" s="1" t="s">
        <v>36</v>
      </c>
      <c r="M311" s="1" t="s">
        <v>1517</v>
      </c>
      <c r="N311" s="1">
        <v>3</v>
      </c>
      <c r="O311" s="1">
        <v>104864.28</v>
      </c>
    </row>
    <row r="312" spans="1:15" x14ac:dyDescent="0.3">
      <c r="A312" s="1" t="s">
        <v>959</v>
      </c>
      <c r="B312" s="1" t="s">
        <v>54</v>
      </c>
      <c r="C312" s="1" t="s">
        <v>23</v>
      </c>
      <c r="D312" s="1" t="s">
        <v>15</v>
      </c>
      <c r="E312" s="1">
        <v>27</v>
      </c>
      <c r="F312" s="1" t="s">
        <v>50</v>
      </c>
      <c r="G312" s="1" t="s">
        <v>17</v>
      </c>
      <c r="H312" s="1" t="s">
        <v>466</v>
      </c>
      <c r="I312" s="1">
        <v>86048</v>
      </c>
      <c r="J312" s="1" t="s">
        <v>19</v>
      </c>
      <c r="K312" s="1" t="s">
        <v>960</v>
      </c>
      <c r="L312" s="1" t="s">
        <v>21</v>
      </c>
      <c r="M312" s="1" t="s">
        <v>1511</v>
      </c>
      <c r="N312" s="1">
        <v>2</v>
      </c>
      <c r="O312" s="1">
        <v>90350.399999999994</v>
      </c>
    </row>
    <row r="313" spans="1:15" x14ac:dyDescent="0.3">
      <c r="A313" s="1" t="s">
        <v>961</v>
      </c>
      <c r="B313" s="1" t="s">
        <v>143</v>
      </c>
      <c r="C313" s="1" t="s">
        <v>165</v>
      </c>
      <c r="D313" s="1" t="s">
        <v>24</v>
      </c>
      <c r="E313" s="1">
        <v>47</v>
      </c>
      <c r="F313" s="1" t="s">
        <v>31</v>
      </c>
      <c r="G313" s="1" t="s">
        <v>32</v>
      </c>
      <c r="H313" s="1" t="s">
        <v>962</v>
      </c>
      <c r="I313" s="1">
        <v>105072</v>
      </c>
      <c r="J313" s="1" t="s">
        <v>34</v>
      </c>
      <c r="K313" s="1" t="s">
        <v>963</v>
      </c>
      <c r="L313" s="1" t="s">
        <v>36</v>
      </c>
      <c r="M313" s="1" t="s">
        <v>1515</v>
      </c>
      <c r="N313" s="1">
        <v>4</v>
      </c>
      <c r="O313" s="1">
        <v>115579.2</v>
      </c>
    </row>
    <row r="314" spans="1:15" x14ac:dyDescent="0.3">
      <c r="A314" s="1" t="s">
        <v>964</v>
      </c>
      <c r="B314" s="1" t="s">
        <v>44</v>
      </c>
      <c r="C314" s="1" t="s">
        <v>165</v>
      </c>
      <c r="D314" s="1" t="s">
        <v>24</v>
      </c>
      <c r="E314" s="1">
        <v>24</v>
      </c>
      <c r="F314" s="1" t="s">
        <v>39</v>
      </c>
      <c r="G314" s="1" t="s">
        <v>17</v>
      </c>
      <c r="H314" s="1" t="s">
        <v>965</v>
      </c>
      <c r="I314" s="1">
        <v>54389</v>
      </c>
      <c r="J314" s="1" t="s">
        <v>34</v>
      </c>
      <c r="K314" s="1" t="s">
        <v>966</v>
      </c>
      <c r="L314" s="1" t="s">
        <v>36</v>
      </c>
      <c r="M314" s="1" t="s">
        <v>1517</v>
      </c>
      <c r="N314" s="1">
        <v>5</v>
      </c>
      <c r="O314" s="1">
        <v>62547.35</v>
      </c>
    </row>
    <row r="315" spans="1:15" x14ac:dyDescent="0.3">
      <c r="A315" s="1" t="s">
        <v>967</v>
      </c>
      <c r="B315" s="1" t="s">
        <v>30</v>
      </c>
      <c r="C315" s="1" t="s">
        <v>23</v>
      </c>
      <c r="D315" s="1" t="s">
        <v>15</v>
      </c>
      <c r="E315" s="1">
        <v>58</v>
      </c>
      <c r="F315" s="1" t="s">
        <v>50</v>
      </c>
      <c r="G315" s="1" t="s">
        <v>17</v>
      </c>
      <c r="H315" s="1" t="s">
        <v>968</v>
      </c>
      <c r="I315" s="1">
        <v>48029</v>
      </c>
      <c r="J315" s="1" t="s">
        <v>34</v>
      </c>
      <c r="K315" s="1" t="s">
        <v>969</v>
      </c>
      <c r="L315" s="1" t="s">
        <v>21</v>
      </c>
      <c r="M315" s="1" t="s">
        <v>1511</v>
      </c>
      <c r="N315" s="1">
        <v>3</v>
      </c>
      <c r="O315" s="1">
        <v>51391.03</v>
      </c>
    </row>
    <row r="316" spans="1:15" x14ac:dyDescent="0.3">
      <c r="A316" s="1" t="s">
        <v>970</v>
      </c>
      <c r="B316" s="1" t="s">
        <v>13</v>
      </c>
      <c r="C316" s="1" t="s">
        <v>165</v>
      </c>
      <c r="D316" s="1" t="s">
        <v>15</v>
      </c>
      <c r="E316" s="1">
        <v>45</v>
      </c>
      <c r="F316" s="1" t="s">
        <v>50</v>
      </c>
      <c r="G316" s="1" t="s">
        <v>17</v>
      </c>
      <c r="H316" s="1" t="s">
        <v>971</v>
      </c>
      <c r="I316" s="1">
        <v>98879</v>
      </c>
      <c r="J316" s="1" t="s">
        <v>65</v>
      </c>
      <c r="K316" s="1" t="s">
        <v>972</v>
      </c>
      <c r="L316" s="1" t="s">
        <v>21</v>
      </c>
      <c r="M316" s="1" t="s">
        <v>1511</v>
      </c>
      <c r="N316" s="1">
        <v>1</v>
      </c>
      <c r="O316" s="1">
        <v>103822.95</v>
      </c>
    </row>
    <row r="317" spans="1:15" x14ac:dyDescent="0.3">
      <c r="A317" s="1" t="s">
        <v>973</v>
      </c>
      <c r="B317" s="1" t="s">
        <v>54</v>
      </c>
      <c r="C317" s="1" t="s">
        <v>130</v>
      </c>
      <c r="D317" s="1" t="s">
        <v>15</v>
      </c>
      <c r="E317" s="1">
        <v>41</v>
      </c>
      <c r="F317" s="1" t="s">
        <v>39</v>
      </c>
      <c r="G317" s="1" t="s">
        <v>40</v>
      </c>
      <c r="H317" s="1" t="s">
        <v>974</v>
      </c>
      <c r="I317" s="1">
        <v>41158</v>
      </c>
      <c r="J317" s="1" t="s">
        <v>19</v>
      </c>
      <c r="K317" s="1" t="s">
        <v>975</v>
      </c>
      <c r="L317" s="1" t="s">
        <v>36</v>
      </c>
      <c r="M317" s="1" t="s">
        <v>1517</v>
      </c>
      <c r="N317" s="1">
        <v>5</v>
      </c>
      <c r="O317" s="1">
        <v>47331.7</v>
      </c>
    </row>
    <row r="318" spans="1:15" x14ac:dyDescent="0.3">
      <c r="A318" s="1" t="s">
        <v>976</v>
      </c>
      <c r="B318" s="1" t="s">
        <v>54</v>
      </c>
      <c r="C318" s="1" t="s">
        <v>23</v>
      </c>
      <c r="D318" s="1" t="s">
        <v>24</v>
      </c>
      <c r="E318" s="1">
        <v>31</v>
      </c>
      <c r="F318" s="1" t="s">
        <v>31</v>
      </c>
      <c r="G318" s="1" t="s">
        <v>26</v>
      </c>
      <c r="H318" s="1" t="s">
        <v>977</v>
      </c>
      <c r="I318" s="1">
        <v>57027</v>
      </c>
      <c r="J318" s="1" t="s">
        <v>34</v>
      </c>
      <c r="K318" s="1" t="s">
        <v>978</v>
      </c>
      <c r="L318" s="1" t="s">
        <v>36</v>
      </c>
      <c r="M318" s="1" t="s">
        <v>1515</v>
      </c>
      <c r="N318" s="1">
        <v>2</v>
      </c>
      <c r="O318" s="1">
        <v>59878.35</v>
      </c>
    </row>
    <row r="319" spans="1:15" x14ac:dyDescent="0.3">
      <c r="A319" s="1" t="s">
        <v>979</v>
      </c>
      <c r="B319" s="1" t="s">
        <v>143</v>
      </c>
      <c r="C319" s="1" t="s">
        <v>130</v>
      </c>
      <c r="D319" s="1" t="s">
        <v>15</v>
      </c>
      <c r="E319" s="1">
        <v>24</v>
      </c>
      <c r="F319" s="1" t="s">
        <v>31</v>
      </c>
      <c r="G319" s="1" t="s">
        <v>26</v>
      </c>
      <c r="H319" s="1" t="s">
        <v>980</v>
      </c>
      <c r="I319" s="1">
        <v>56782</v>
      </c>
      <c r="J319" s="1" t="s">
        <v>34</v>
      </c>
      <c r="K319" s="1" t="s">
        <v>981</v>
      </c>
      <c r="L319" s="1" t="s">
        <v>21</v>
      </c>
      <c r="M319" s="1" t="s">
        <v>1515</v>
      </c>
      <c r="N319" s="1">
        <v>2</v>
      </c>
      <c r="O319" s="1">
        <v>59621.1</v>
      </c>
    </row>
    <row r="320" spans="1:15" x14ac:dyDescent="0.3">
      <c r="A320" s="1" t="s">
        <v>982</v>
      </c>
      <c r="B320" s="1" t="s">
        <v>38</v>
      </c>
      <c r="C320" s="1" t="s">
        <v>95</v>
      </c>
      <c r="D320" s="1" t="s">
        <v>15</v>
      </c>
      <c r="E320" s="1">
        <v>53</v>
      </c>
      <c r="F320" s="1" t="s">
        <v>31</v>
      </c>
      <c r="G320" s="1" t="s">
        <v>17</v>
      </c>
      <c r="H320" s="1" t="s">
        <v>983</v>
      </c>
      <c r="I320" s="1">
        <v>50653</v>
      </c>
      <c r="J320" s="1" t="s">
        <v>19</v>
      </c>
      <c r="K320" s="1" t="s">
        <v>984</v>
      </c>
      <c r="L320" s="1" t="s">
        <v>36</v>
      </c>
      <c r="M320" s="1" t="s">
        <v>1515</v>
      </c>
      <c r="N320" s="1">
        <v>3</v>
      </c>
      <c r="O320" s="1">
        <v>54198.71</v>
      </c>
    </row>
    <row r="321" spans="1:15" x14ac:dyDescent="0.3">
      <c r="A321" s="1" t="s">
        <v>985</v>
      </c>
      <c r="B321" s="1" t="s">
        <v>38</v>
      </c>
      <c r="C321" s="1" t="s">
        <v>83</v>
      </c>
      <c r="D321" s="1" t="s">
        <v>15</v>
      </c>
      <c r="E321" s="1">
        <v>37</v>
      </c>
      <c r="F321" s="1" t="s">
        <v>16</v>
      </c>
      <c r="G321" s="1" t="s">
        <v>40</v>
      </c>
      <c r="H321" s="1" t="s">
        <v>475</v>
      </c>
      <c r="I321" s="1">
        <v>104915</v>
      </c>
      <c r="J321" s="1" t="s">
        <v>80</v>
      </c>
      <c r="K321" s="1" t="s">
        <v>986</v>
      </c>
      <c r="L321" s="1" t="s">
        <v>36</v>
      </c>
      <c r="M321" s="1" t="s">
        <v>1509</v>
      </c>
      <c r="N321" s="1">
        <v>2</v>
      </c>
      <c r="O321" s="1">
        <v>110160.75</v>
      </c>
    </row>
    <row r="322" spans="1:15" x14ac:dyDescent="0.3">
      <c r="A322" s="1" t="s">
        <v>987</v>
      </c>
      <c r="B322" s="1" t="s">
        <v>44</v>
      </c>
      <c r="C322" s="1" t="s">
        <v>95</v>
      </c>
      <c r="D322" s="1" t="s">
        <v>24</v>
      </c>
      <c r="E322" s="1">
        <v>43</v>
      </c>
      <c r="F322" s="1" t="s">
        <v>31</v>
      </c>
      <c r="G322" s="1" t="s">
        <v>40</v>
      </c>
      <c r="H322" s="1" t="s">
        <v>988</v>
      </c>
      <c r="I322" s="1">
        <v>87776</v>
      </c>
      <c r="J322" s="1" t="s">
        <v>80</v>
      </c>
      <c r="K322" s="1" t="s">
        <v>989</v>
      </c>
      <c r="L322" s="1" t="s">
        <v>36</v>
      </c>
      <c r="M322" s="1" t="s">
        <v>1515</v>
      </c>
      <c r="N322" s="1">
        <v>5</v>
      </c>
      <c r="O322" s="1">
        <v>100942.39999999999</v>
      </c>
    </row>
    <row r="323" spans="1:15" x14ac:dyDescent="0.3">
      <c r="A323" s="1" t="s">
        <v>990</v>
      </c>
      <c r="B323" s="1" t="s">
        <v>58</v>
      </c>
      <c r="C323" s="1" t="s">
        <v>130</v>
      </c>
      <c r="D323" s="1" t="s">
        <v>15</v>
      </c>
      <c r="E323" s="1">
        <v>49</v>
      </c>
      <c r="F323" s="1" t="s">
        <v>39</v>
      </c>
      <c r="G323" s="1" t="s">
        <v>32</v>
      </c>
      <c r="H323" s="1" t="s">
        <v>991</v>
      </c>
      <c r="I323" s="1">
        <v>52338</v>
      </c>
      <c r="J323" s="1" t="s">
        <v>60</v>
      </c>
      <c r="K323" s="1" t="s">
        <v>992</v>
      </c>
      <c r="L323" s="1" t="s">
        <v>36</v>
      </c>
      <c r="M323" s="1" t="s">
        <v>1517</v>
      </c>
      <c r="N323" s="1">
        <v>3</v>
      </c>
      <c r="O323" s="1">
        <v>56001.66</v>
      </c>
    </row>
    <row r="324" spans="1:15" x14ac:dyDescent="0.3">
      <c r="A324" s="1" t="s">
        <v>993</v>
      </c>
      <c r="B324" s="1" t="s">
        <v>30</v>
      </c>
      <c r="C324" s="1" t="s">
        <v>45</v>
      </c>
      <c r="D324" s="1" t="s">
        <v>15</v>
      </c>
      <c r="E324" s="1">
        <v>53</v>
      </c>
      <c r="F324" s="1" t="s">
        <v>39</v>
      </c>
      <c r="G324" s="1" t="s">
        <v>32</v>
      </c>
      <c r="H324" s="1" t="s">
        <v>994</v>
      </c>
      <c r="I324" s="1">
        <v>45630</v>
      </c>
      <c r="J324" s="1" t="s">
        <v>65</v>
      </c>
      <c r="K324" s="1" t="s">
        <v>995</v>
      </c>
      <c r="L324" s="1" t="s">
        <v>36</v>
      </c>
      <c r="M324" s="1" t="s">
        <v>1517</v>
      </c>
      <c r="N324" s="1">
        <v>3</v>
      </c>
      <c r="O324" s="1">
        <v>48824.1</v>
      </c>
    </row>
    <row r="325" spans="1:15" x14ac:dyDescent="0.3">
      <c r="A325" s="1" t="s">
        <v>996</v>
      </c>
      <c r="B325" s="1" t="s">
        <v>38</v>
      </c>
      <c r="C325" s="1" t="s">
        <v>45</v>
      </c>
      <c r="D325" s="1" t="s">
        <v>24</v>
      </c>
      <c r="E325" s="1">
        <v>44</v>
      </c>
      <c r="F325" s="1" t="s">
        <v>39</v>
      </c>
      <c r="G325" s="1" t="s">
        <v>32</v>
      </c>
      <c r="H325" s="1" t="s">
        <v>997</v>
      </c>
      <c r="I325" s="1">
        <v>80403</v>
      </c>
      <c r="J325" s="1" t="s">
        <v>60</v>
      </c>
      <c r="K325" s="1" t="s">
        <v>998</v>
      </c>
      <c r="L325" s="1" t="s">
        <v>21</v>
      </c>
      <c r="M325" s="1" t="s">
        <v>1517</v>
      </c>
      <c r="N325" s="1">
        <v>4</v>
      </c>
      <c r="O325" s="1">
        <v>88443.3</v>
      </c>
    </row>
    <row r="326" spans="1:15" x14ac:dyDescent="0.3">
      <c r="A326" s="1" t="s">
        <v>999</v>
      </c>
      <c r="B326" s="1" t="s">
        <v>44</v>
      </c>
      <c r="C326" s="1" t="s">
        <v>45</v>
      </c>
      <c r="D326" s="1" t="s">
        <v>24</v>
      </c>
      <c r="E326" s="1">
        <v>51</v>
      </c>
      <c r="F326" s="1" t="s">
        <v>39</v>
      </c>
      <c r="G326" s="1" t="s">
        <v>26</v>
      </c>
      <c r="H326" s="1" t="s">
        <v>1000</v>
      </c>
      <c r="I326" s="1">
        <v>82902</v>
      </c>
      <c r="J326" s="1" t="s">
        <v>80</v>
      </c>
      <c r="K326" s="1" t="s">
        <v>1001</v>
      </c>
      <c r="L326" s="1" t="s">
        <v>36</v>
      </c>
      <c r="M326" s="1" t="s">
        <v>1517</v>
      </c>
      <c r="N326" s="1">
        <v>1</v>
      </c>
      <c r="O326" s="1">
        <v>87047.1</v>
      </c>
    </row>
    <row r="327" spans="1:15" x14ac:dyDescent="0.3">
      <c r="A327" s="1" t="s">
        <v>1002</v>
      </c>
      <c r="B327" s="1" t="s">
        <v>13</v>
      </c>
      <c r="C327" s="1" t="s">
        <v>165</v>
      </c>
      <c r="D327" s="1" t="s">
        <v>24</v>
      </c>
      <c r="E327" s="1">
        <v>46</v>
      </c>
      <c r="F327" s="1" t="s">
        <v>39</v>
      </c>
      <c r="G327" s="1" t="s">
        <v>108</v>
      </c>
      <c r="H327" s="1" t="s">
        <v>1003</v>
      </c>
      <c r="I327" s="1">
        <v>89841</v>
      </c>
      <c r="J327" s="1" t="s">
        <v>80</v>
      </c>
      <c r="K327" s="1" t="s">
        <v>1004</v>
      </c>
      <c r="L327" s="1" t="s">
        <v>21</v>
      </c>
      <c r="M327" s="1" t="s">
        <v>1517</v>
      </c>
      <c r="N327" s="1">
        <v>1</v>
      </c>
      <c r="O327" s="1">
        <v>94333.05</v>
      </c>
    </row>
    <row r="328" spans="1:15" x14ac:dyDescent="0.3">
      <c r="A328" s="1" t="s">
        <v>1005</v>
      </c>
      <c r="B328" s="1" t="s">
        <v>54</v>
      </c>
      <c r="C328" s="1" t="s">
        <v>90</v>
      </c>
      <c r="D328" s="1" t="s">
        <v>24</v>
      </c>
      <c r="E328" s="1">
        <v>36</v>
      </c>
      <c r="F328" s="1" t="s">
        <v>25</v>
      </c>
      <c r="G328" s="1" t="s">
        <v>26</v>
      </c>
      <c r="H328" s="1" t="s">
        <v>1006</v>
      </c>
      <c r="I328" s="1">
        <v>112396</v>
      </c>
      <c r="J328" s="1" t="s">
        <v>60</v>
      </c>
      <c r="K328" s="1" t="s">
        <v>1007</v>
      </c>
      <c r="L328" s="1" t="s">
        <v>21</v>
      </c>
      <c r="M328" s="1" t="s">
        <v>1513</v>
      </c>
      <c r="N328" s="1">
        <v>5</v>
      </c>
      <c r="O328" s="1">
        <v>129255.4</v>
      </c>
    </row>
    <row r="329" spans="1:15" x14ac:dyDescent="0.3">
      <c r="A329" s="1" t="s">
        <v>1008</v>
      </c>
      <c r="B329" s="1" t="s">
        <v>54</v>
      </c>
      <c r="C329" s="1" t="s">
        <v>23</v>
      </c>
      <c r="D329" s="1" t="s">
        <v>24</v>
      </c>
      <c r="E329" s="1">
        <v>39</v>
      </c>
      <c r="F329" s="1" t="s">
        <v>16</v>
      </c>
      <c r="G329" s="1" t="s">
        <v>108</v>
      </c>
      <c r="H329" s="1" t="s">
        <v>1009</v>
      </c>
      <c r="I329" s="1">
        <v>91433</v>
      </c>
      <c r="J329" s="1" t="s">
        <v>80</v>
      </c>
      <c r="K329" s="1" t="s">
        <v>1010</v>
      </c>
      <c r="L329" s="1" t="s">
        <v>36</v>
      </c>
      <c r="M329" s="1" t="s">
        <v>1509</v>
      </c>
      <c r="N329" s="1">
        <v>5</v>
      </c>
      <c r="O329" s="1">
        <v>105147.95</v>
      </c>
    </row>
    <row r="330" spans="1:15" x14ac:dyDescent="0.3">
      <c r="A330" s="1" t="s">
        <v>1011</v>
      </c>
      <c r="B330" s="1" t="s">
        <v>49</v>
      </c>
      <c r="C330" s="1" t="s">
        <v>95</v>
      </c>
      <c r="D330" s="1" t="s">
        <v>15</v>
      </c>
      <c r="E330" s="1">
        <v>58</v>
      </c>
      <c r="F330" s="1" t="s">
        <v>39</v>
      </c>
      <c r="G330" s="1" t="s">
        <v>32</v>
      </c>
      <c r="H330" s="1" t="s">
        <v>1012</v>
      </c>
      <c r="I330" s="1">
        <v>75628</v>
      </c>
      <c r="J330" s="1" t="s">
        <v>60</v>
      </c>
      <c r="K330" s="1" t="s">
        <v>1013</v>
      </c>
      <c r="L330" s="1" t="s">
        <v>21</v>
      </c>
      <c r="M330" s="1" t="s">
        <v>1517</v>
      </c>
      <c r="N330" s="1">
        <v>5</v>
      </c>
      <c r="O330" s="1">
        <v>86972.2</v>
      </c>
    </row>
    <row r="331" spans="1:15" x14ac:dyDescent="0.3">
      <c r="A331" s="1" t="s">
        <v>1014</v>
      </c>
      <c r="B331" s="1" t="s">
        <v>13</v>
      </c>
      <c r="C331" s="1" t="s">
        <v>45</v>
      </c>
      <c r="D331" s="1" t="s">
        <v>15</v>
      </c>
      <c r="E331" s="1">
        <v>56</v>
      </c>
      <c r="F331" s="1" t="s">
        <v>50</v>
      </c>
      <c r="G331" s="1" t="s">
        <v>17</v>
      </c>
      <c r="H331" s="1" t="s">
        <v>1015</v>
      </c>
      <c r="I331" s="1">
        <v>68036</v>
      </c>
      <c r="J331" s="1" t="s">
        <v>80</v>
      </c>
      <c r="K331" s="1" t="s">
        <v>1016</v>
      </c>
      <c r="L331" s="1" t="s">
        <v>36</v>
      </c>
      <c r="M331" s="1" t="s">
        <v>1511</v>
      </c>
      <c r="N331" s="1">
        <v>1</v>
      </c>
      <c r="O331" s="1">
        <v>71437.8</v>
      </c>
    </row>
    <row r="332" spans="1:15" x14ac:dyDescent="0.3">
      <c r="A332" s="1" t="s">
        <v>1017</v>
      </c>
      <c r="B332" s="1" t="s">
        <v>94</v>
      </c>
      <c r="C332" s="1" t="s">
        <v>78</v>
      </c>
      <c r="D332" s="1" t="s">
        <v>24</v>
      </c>
      <c r="E332" s="1">
        <v>50</v>
      </c>
      <c r="F332" s="1" t="s">
        <v>16</v>
      </c>
      <c r="G332" s="1" t="s">
        <v>108</v>
      </c>
      <c r="H332" s="1" t="s">
        <v>1018</v>
      </c>
      <c r="I332" s="1">
        <v>61746</v>
      </c>
      <c r="J332" s="1" t="s">
        <v>65</v>
      </c>
      <c r="K332" s="1" t="s">
        <v>1019</v>
      </c>
      <c r="L332" s="1" t="s">
        <v>36</v>
      </c>
      <c r="M332" s="1" t="s">
        <v>1509</v>
      </c>
      <c r="N332" s="1">
        <v>1</v>
      </c>
      <c r="O332" s="1">
        <v>64833.3</v>
      </c>
    </row>
    <row r="333" spans="1:15" x14ac:dyDescent="0.3">
      <c r="A333" s="1" t="s">
        <v>1020</v>
      </c>
      <c r="B333" s="1" t="s">
        <v>143</v>
      </c>
      <c r="C333" s="1" t="s">
        <v>63</v>
      </c>
      <c r="D333" s="1" t="s">
        <v>15</v>
      </c>
      <c r="E333" s="1">
        <v>26</v>
      </c>
      <c r="F333" s="1" t="s">
        <v>16</v>
      </c>
      <c r="G333" s="1" t="s">
        <v>108</v>
      </c>
      <c r="H333" s="1" t="s">
        <v>510</v>
      </c>
      <c r="I333" s="1">
        <v>47221</v>
      </c>
      <c r="J333" s="1" t="s">
        <v>60</v>
      </c>
      <c r="K333" s="1" t="s">
        <v>1021</v>
      </c>
      <c r="L333" s="1" t="s">
        <v>36</v>
      </c>
      <c r="M333" s="1" t="s">
        <v>1509</v>
      </c>
      <c r="N333" s="1">
        <v>5</v>
      </c>
      <c r="O333" s="1">
        <v>54304.15</v>
      </c>
    </row>
    <row r="334" spans="1:15" x14ac:dyDescent="0.3">
      <c r="A334" s="1" t="s">
        <v>1022</v>
      </c>
      <c r="B334" s="1" t="s">
        <v>71</v>
      </c>
      <c r="C334" s="1" t="s">
        <v>165</v>
      </c>
      <c r="D334" s="1" t="s">
        <v>15</v>
      </c>
      <c r="E334" s="1">
        <v>32</v>
      </c>
      <c r="F334" s="1" t="s">
        <v>31</v>
      </c>
      <c r="G334" s="1" t="s">
        <v>108</v>
      </c>
      <c r="H334" s="1" t="s">
        <v>1023</v>
      </c>
      <c r="I334" s="1">
        <v>75595</v>
      </c>
      <c r="J334" s="1" t="s">
        <v>19</v>
      </c>
      <c r="K334" s="1" t="s">
        <v>1024</v>
      </c>
      <c r="L334" s="1" t="s">
        <v>21</v>
      </c>
      <c r="M334" s="1" t="s">
        <v>1515</v>
      </c>
      <c r="N334" s="1">
        <v>3</v>
      </c>
      <c r="O334" s="1">
        <v>80886.649999999994</v>
      </c>
    </row>
    <row r="335" spans="1:15" x14ac:dyDescent="0.3">
      <c r="A335" s="1" t="s">
        <v>1025</v>
      </c>
      <c r="B335" s="1" t="s">
        <v>38</v>
      </c>
      <c r="C335" s="1" t="s">
        <v>83</v>
      </c>
      <c r="D335" s="1" t="s">
        <v>15</v>
      </c>
      <c r="E335" s="1">
        <v>46</v>
      </c>
      <c r="F335" s="1" t="s">
        <v>50</v>
      </c>
      <c r="G335" s="1" t="s">
        <v>17</v>
      </c>
      <c r="H335" s="1" t="s">
        <v>1026</v>
      </c>
      <c r="I335" s="1">
        <v>104179</v>
      </c>
      <c r="J335" s="1" t="s">
        <v>34</v>
      </c>
      <c r="K335" s="1" t="s">
        <v>1027</v>
      </c>
      <c r="L335" s="1" t="s">
        <v>36</v>
      </c>
      <c r="M335" s="1" t="s">
        <v>1511</v>
      </c>
      <c r="N335" s="1">
        <v>3</v>
      </c>
      <c r="O335" s="1">
        <v>111471.53</v>
      </c>
    </row>
    <row r="336" spans="1:15" x14ac:dyDescent="0.3">
      <c r="A336" s="1" t="s">
        <v>1028</v>
      </c>
      <c r="B336" s="1" t="s">
        <v>44</v>
      </c>
      <c r="C336" s="1" t="s">
        <v>130</v>
      </c>
      <c r="D336" s="1" t="s">
        <v>15</v>
      </c>
      <c r="E336" s="1">
        <v>37</v>
      </c>
      <c r="F336" s="1" t="s">
        <v>16</v>
      </c>
      <c r="G336" s="1" t="s">
        <v>108</v>
      </c>
      <c r="H336" s="1" t="s">
        <v>1029</v>
      </c>
      <c r="I336" s="1">
        <v>46212</v>
      </c>
      <c r="J336" s="1" t="s">
        <v>19</v>
      </c>
      <c r="K336" s="1" t="s">
        <v>1030</v>
      </c>
      <c r="L336" s="1" t="s">
        <v>21</v>
      </c>
      <c r="M336" s="1" t="s">
        <v>1509</v>
      </c>
      <c r="N336" s="1">
        <v>1</v>
      </c>
      <c r="O336" s="1">
        <v>48522.6</v>
      </c>
    </row>
    <row r="337" spans="1:15" x14ac:dyDescent="0.3">
      <c r="A337" s="1" t="s">
        <v>1031</v>
      </c>
      <c r="B337" s="1" t="s">
        <v>58</v>
      </c>
      <c r="C337" s="1" t="s">
        <v>90</v>
      </c>
      <c r="D337" s="1" t="s">
        <v>24</v>
      </c>
      <c r="E337" s="1">
        <v>47</v>
      </c>
      <c r="F337" s="1" t="s">
        <v>39</v>
      </c>
      <c r="G337" s="1" t="s">
        <v>40</v>
      </c>
      <c r="H337" s="1" t="s">
        <v>1032</v>
      </c>
      <c r="I337" s="1">
        <v>39091</v>
      </c>
      <c r="J337" s="1" t="s">
        <v>80</v>
      </c>
      <c r="K337" s="1" t="s">
        <v>1033</v>
      </c>
      <c r="L337" s="1" t="s">
        <v>21</v>
      </c>
      <c r="M337" s="1" t="s">
        <v>1517</v>
      </c>
      <c r="N337" s="1">
        <v>2</v>
      </c>
      <c r="O337" s="1">
        <v>41045.550000000003</v>
      </c>
    </row>
    <row r="338" spans="1:15" x14ac:dyDescent="0.3">
      <c r="A338" s="1" t="s">
        <v>1034</v>
      </c>
      <c r="B338" s="1" t="s">
        <v>30</v>
      </c>
      <c r="C338" s="1" t="s">
        <v>83</v>
      </c>
      <c r="D338" s="1" t="s">
        <v>24</v>
      </c>
      <c r="E338" s="1">
        <v>43</v>
      </c>
      <c r="F338" s="1" t="s">
        <v>31</v>
      </c>
      <c r="G338" s="1" t="s">
        <v>40</v>
      </c>
      <c r="H338" s="1" t="s">
        <v>1035</v>
      </c>
      <c r="I338" s="1">
        <v>73436</v>
      </c>
      <c r="J338" s="1" t="s">
        <v>60</v>
      </c>
      <c r="K338" s="1" t="s">
        <v>1036</v>
      </c>
      <c r="L338" s="1" t="s">
        <v>36</v>
      </c>
      <c r="M338" s="1" t="s">
        <v>1515</v>
      </c>
      <c r="N338" s="1">
        <v>1</v>
      </c>
      <c r="O338" s="1">
        <v>77107.8</v>
      </c>
    </row>
    <row r="339" spans="1:15" x14ac:dyDescent="0.3">
      <c r="A339" s="1" t="s">
        <v>1037</v>
      </c>
      <c r="B339" s="1" t="s">
        <v>143</v>
      </c>
      <c r="C339" s="1" t="s">
        <v>78</v>
      </c>
      <c r="D339" s="1" t="s">
        <v>15</v>
      </c>
      <c r="E339" s="1">
        <v>57</v>
      </c>
      <c r="F339" s="1" t="s">
        <v>25</v>
      </c>
      <c r="G339" s="1" t="s">
        <v>40</v>
      </c>
      <c r="H339" s="1" t="s">
        <v>1038</v>
      </c>
      <c r="I339" s="1">
        <v>62199</v>
      </c>
      <c r="J339" s="1" t="s">
        <v>60</v>
      </c>
      <c r="K339" s="1" t="s">
        <v>1039</v>
      </c>
      <c r="L339" s="1" t="s">
        <v>21</v>
      </c>
      <c r="M339" s="1" t="s">
        <v>1513</v>
      </c>
      <c r="N339" s="1">
        <v>1</v>
      </c>
      <c r="O339" s="1">
        <v>65308.95</v>
      </c>
    </row>
    <row r="340" spans="1:15" x14ac:dyDescent="0.3">
      <c r="A340" s="1" t="s">
        <v>1040</v>
      </c>
      <c r="B340" s="1" t="s">
        <v>54</v>
      </c>
      <c r="C340" s="1" t="s">
        <v>95</v>
      </c>
      <c r="D340" s="1" t="s">
        <v>24</v>
      </c>
      <c r="E340" s="1">
        <v>41</v>
      </c>
      <c r="F340" s="1" t="s">
        <v>50</v>
      </c>
      <c r="G340" s="1" t="s">
        <v>26</v>
      </c>
      <c r="H340" s="1" t="s">
        <v>1041</v>
      </c>
      <c r="I340" s="1">
        <v>53338</v>
      </c>
      <c r="J340" s="1" t="s">
        <v>34</v>
      </c>
      <c r="K340" s="1" t="s">
        <v>1042</v>
      </c>
      <c r="L340" s="1" t="s">
        <v>21</v>
      </c>
      <c r="M340" s="1" t="s">
        <v>1511</v>
      </c>
      <c r="N340" s="1">
        <v>3</v>
      </c>
      <c r="O340" s="1">
        <v>57071.66</v>
      </c>
    </row>
    <row r="341" spans="1:15" x14ac:dyDescent="0.3">
      <c r="A341" s="1" t="s">
        <v>1043</v>
      </c>
      <c r="B341" s="1" t="s">
        <v>94</v>
      </c>
      <c r="C341" s="1" t="s">
        <v>45</v>
      </c>
      <c r="D341" s="1" t="s">
        <v>15</v>
      </c>
      <c r="E341" s="1">
        <v>38</v>
      </c>
      <c r="F341" s="1" t="s">
        <v>25</v>
      </c>
      <c r="G341" s="1" t="s">
        <v>108</v>
      </c>
      <c r="H341" s="1" t="s">
        <v>1044</v>
      </c>
      <c r="I341" s="1">
        <v>64542</v>
      </c>
      <c r="J341" s="1" t="s">
        <v>65</v>
      </c>
      <c r="K341" s="1" t="s">
        <v>1045</v>
      </c>
      <c r="L341" s="1" t="s">
        <v>21</v>
      </c>
      <c r="M341" s="1" t="s">
        <v>1513</v>
      </c>
      <c r="N341" s="1">
        <v>3</v>
      </c>
      <c r="O341" s="1">
        <v>69059.94</v>
      </c>
    </row>
    <row r="342" spans="1:15" x14ac:dyDescent="0.3">
      <c r="A342" s="1" t="s">
        <v>1046</v>
      </c>
      <c r="B342" s="1" t="s">
        <v>58</v>
      </c>
      <c r="C342" s="1" t="s">
        <v>130</v>
      </c>
      <c r="D342" s="1" t="s">
        <v>15</v>
      </c>
      <c r="E342" s="1">
        <v>59</v>
      </c>
      <c r="F342" s="1" t="s">
        <v>31</v>
      </c>
      <c r="G342" s="1" t="s">
        <v>108</v>
      </c>
      <c r="H342" s="1" t="s">
        <v>1047</v>
      </c>
      <c r="I342" s="1">
        <v>38117</v>
      </c>
      <c r="J342" s="1" t="s">
        <v>34</v>
      </c>
      <c r="K342" s="1" t="s">
        <v>1048</v>
      </c>
      <c r="L342" s="1" t="s">
        <v>21</v>
      </c>
      <c r="M342" s="1" t="s">
        <v>1515</v>
      </c>
      <c r="N342" s="1">
        <v>2</v>
      </c>
      <c r="O342" s="1">
        <v>40022.85</v>
      </c>
    </row>
    <row r="343" spans="1:15" x14ac:dyDescent="0.3">
      <c r="A343" s="1" t="s">
        <v>1049</v>
      </c>
      <c r="B343" s="1" t="s">
        <v>30</v>
      </c>
      <c r="C343" s="1" t="s">
        <v>83</v>
      </c>
      <c r="D343" s="1" t="s">
        <v>24</v>
      </c>
      <c r="E343" s="1">
        <v>25</v>
      </c>
      <c r="F343" s="1" t="s">
        <v>16</v>
      </c>
      <c r="G343" s="1" t="s">
        <v>108</v>
      </c>
      <c r="H343" s="1" t="s">
        <v>1050</v>
      </c>
      <c r="I343" s="1">
        <v>101879</v>
      </c>
      <c r="J343" s="1" t="s">
        <v>19</v>
      </c>
      <c r="K343" s="1" t="s">
        <v>1051</v>
      </c>
      <c r="L343" s="1" t="s">
        <v>21</v>
      </c>
      <c r="M343" s="1" t="s">
        <v>1509</v>
      </c>
      <c r="N343" s="1">
        <v>5</v>
      </c>
      <c r="O343" s="1">
        <v>117160.85</v>
      </c>
    </row>
    <row r="344" spans="1:15" x14ac:dyDescent="0.3">
      <c r="A344" s="1" t="s">
        <v>1052</v>
      </c>
      <c r="B344" s="1" t="s">
        <v>71</v>
      </c>
      <c r="C344" s="1" t="s">
        <v>23</v>
      </c>
      <c r="D344" s="1" t="s">
        <v>24</v>
      </c>
      <c r="E344" s="1">
        <v>43</v>
      </c>
      <c r="F344" s="1" t="s">
        <v>25</v>
      </c>
      <c r="G344" s="1" t="s">
        <v>108</v>
      </c>
      <c r="H344" s="1" t="s">
        <v>1053</v>
      </c>
      <c r="I344" s="1">
        <v>78777</v>
      </c>
      <c r="J344" s="1" t="s">
        <v>65</v>
      </c>
      <c r="K344" s="1" t="s">
        <v>1054</v>
      </c>
      <c r="L344" s="1" t="s">
        <v>21</v>
      </c>
      <c r="M344" s="1" t="s">
        <v>1513</v>
      </c>
      <c r="N344" s="1">
        <v>4</v>
      </c>
      <c r="O344" s="1">
        <v>86654.7</v>
      </c>
    </row>
    <row r="345" spans="1:15" x14ac:dyDescent="0.3">
      <c r="A345" s="1" t="s">
        <v>1055</v>
      </c>
      <c r="B345" s="1" t="s">
        <v>30</v>
      </c>
      <c r="C345" s="1" t="s">
        <v>95</v>
      </c>
      <c r="D345" s="1" t="s">
        <v>15</v>
      </c>
      <c r="E345" s="1">
        <v>33</v>
      </c>
      <c r="F345" s="1" t="s">
        <v>16</v>
      </c>
      <c r="G345" s="1" t="s">
        <v>108</v>
      </c>
      <c r="H345" s="1" t="s">
        <v>1056</v>
      </c>
      <c r="I345" s="1">
        <v>43206</v>
      </c>
      <c r="J345" s="1" t="s">
        <v>65</v>
      </c>
      <c r="K345" s="1" t="s">
        <v>1057</v>
      </c>
      <c r="L345" s="1" t="s">
        <v>36</v>
      </c>
      <c r="M345" s="1" t="s">
        <v>1509</v>
      </c>
      <c r="N345" s="1">
        <v>5</v>
      </c>
      <c r="O345" s="1">
        <v>49686.9</v>
      </c>
    </row>
    <row r="346" spans="1:15" x14ac:dyDescent="0.3">
      <c r="A346" s="1" t="s">
        <v>1058</v>
      </c>
      <c r="B346" s="1" t="s">
        <v>71</v>
      </c>
      <c r="C346" s="1" t="s">
        <v>90</v>
      </c>
      <c r="D346" s="1" t="s">
        <v>15</v>
      </c>
      <c r="E346" s="1">
        <v>42</v>
      </c>
      <c r="F346" s="1" t="s">
        <v>50</v>
      </c>
      <c r="G346" s="1" t="s">
        <v>26</v>
      </c>
      <c r="H346" s="1" t="s">
        <v>1059</v>
      </c>
      <c r="I346" s="1">
        <v>80745</v>
      </c>
      <c r="J346" s="1" t="s">
        <v>80</v>
      </c>
      <c r="K346" s="1" t="s">
        <v>1060</v>
      </c>
      <c r="L346" s="1" t="s">
        <v>36</v>
      </c>
      <c r="M346" s="1" t="s">
        <v>1511</v>
      </c>
      <c r="N346" s="1">
        <v>2</v>
      </c>
      <c r="O346" s="1">
        <v>84782.25</v>
      </c>
    </row>
    <row r="347" spans="1:15" x14ac:dyDescent="0.3">
      <c r="A347" s="1" t="s">
        <v>1061</v>
      </c>
      <c r="B347" s="1" t="s">
        <v>44</v>
      </c>
      <c r="C347" s="1" t="s">
        <v>83</v>
      </c>
      <c r="D347" s="1" t="s">
        <v>24</v>
      </c>
      <c r="E347" s="1">
        <v>24</v>
      </c>
      <c r="F347" s="1" t="s">
        <v>50</v>
      </c>
      <c r="G347" s="1" t="s">
        <v>108</v>
      </c>
      <c r="H347" s="1" t="s">
        <v>1062</v>
      </c>
      <c r="I347" s="1">
        <v>67559</v>
      </c>
      <c r="J347" s="1" t="s">
        <v>34</v>
      </c>
      <c r="K347" s="1" t="s">
        <v>1063</v>
      </c>
      <c r="L347" s="1" t="s">
        <v>21</v>
      </c>
      <c r="M347" s="1" t="s">
        <v>1511</v>
      </c>
      <c r="N347" s="1">
        <v>3</v>
      </c>
      <c r="O347" s="1">
        <v>72288.13</v>
      </c>
    </row>
    <row r="348" spans="1:15" x14ac:dyDescent="0.3">
      <c r="A348" s="1" t="s">
        <v>1064</v>
      </c>
      <c r="B348" s="1" t="s">
        <v>58</v>
      </c>
      <c r="C348" s="1" t="s">
        <v>78</v>
      </c>
      <c r="D348" s="1" t="s">
        <v>24</v>
      </c>
      <c r="E348" s="1">
        <v>47</v>
      </c>
      <c r="F348" s="1" t="s">
        <v>39</v>
      </c>
      <c r="G348" s="1" t="s">
        <v>26</v>
      </c>
      <c r="H348" s="1" t="s">
        <v>1065</v>
      </c>
      <c r="I348" s="1">
        <v>106379</v>
      </c>
      <c r="J348" s="1" t="s">
        <v>34</v>
      </c>
      <c r="K348" s="1" t="s">
        <v>1066</v>
      </c>
      <c r="L348" s="1" t="s">
        <v>21</v>
      </c>
      <c r="M348" s="1" t="s">
        <v>1517</v>
      </c>
      <c r="N348" s="1">
        <v>1</v>
      </c>
      <c r="O348" s="1">
        <v>111697.95</v>
      </c>
    </row>
    <row r="349" spans="1:15" x14ac:dyDescent="0.3">
      <c r="A349" s="1" t="s">
        <v>1067</v>
      </c>
      <c r="B349" s="1" t="s">
        <v>13</v>
      </c>
      <c r="C349" s="1" t="s">
        <v>63</v>
      </c>
      <c r="D349" s="1" t="s">
        <v>24</v>
      </c>
      <c r="E349" s="1">
        <v>30</v>
      </c>
      <c r="F349" s="1" t="s">
        <v>31</v>
      </c>
      <c r="G349" s="1" t="s">
        <v>26</v>
      </c>
      <c r="H349" s="1" t="s">
        <v>1068</v>
      </c>
      <c r="I349" s="1">
        <v>103395</v>
      </c>
      <c r="J349" s="1" t="s">
        <v>19</v>
      </c>
      <c r="K349" s="1" t="s">
        <v>1069</v>
      </c>
      <c r="L349" s="1" t="s">
        <v>36</v>
      </c>
      <c r="M349" s="1" t="s">
        <v>1515</v>
      </c>
      <c r="N349" s="1">
        <v>2</v>
      </c>
      <c r="O349" s="1">
        <v>108564.75</v>
      </c>
    </row>
    <row r="350" spans="1:15" x14ac:dyDescent="0.3">
      <c r="A350" s="1" t="s">
        <v>1070</v>
      </c>
      <c r="B350" s="1" t="s">
        <v>94</v>
      </c>
      <c r="C350" s="1" t="s">
        <v>130</v>
      </c>
      <c r="D350" s="1" t="s">
        <v>15</v>
      </c>
      <c r="E350" s="1">
        <v>33</v>
      </c>
      <c r="F350" s="1" t="s">
        <v>39</v>
      </c>
      <c r="G350" s="1" t="s">
        <v>32</v>
      </c>
      <c r="H350" s="1" t="s">
        <v>1071</v>
      </c>
      <c r="I350" s="1">
        <v>76025</v>
      </c>
      <c r="J350" s="1" t="s">
        <v>34</v>
      </c>
      <c r="K350" s="1" t="s">
        <v>1072</v>
      </c>
      <c r="L350" s="1" t="s">
        <v>36</v>
      </c>
      <c r="M350" s="1" t="s">
        <v>1517</v>
      </c>
      <c r="N350" s="1">
        <v>3</v>
      </c>
      <c r="O350" s="1">
        <v>81346.75</v>
      </c>
    </row>
    <row r="351" spans="1:15" x14ac:dyDescent="0.3">
      <c r="A351" s="1" t="s">
        <v>1073</v>
      </c>
      <c r="B351" s="1" t="s">
        <v>49</v>
      </c>
      <c r="C351" s="1" t="s">
        <v>14</v>
      </c>
      <c r="D351" s="1" t="s">
        <v>15</v>
      </c>
      <c r="E351" s="1">
        <v>33</v>
      </c>
      <c r="F351" s="1" t="s">
        <v>31</v>
      </c>
      <c r="G351" s="1" t="s">
        <v>17</v>
      </c>
      <c r="H351" s="1" t="s">
        <v>1074</v>
      </c>
      <c r="I351" s="1">
        <v>69952</v>
      </c>
      <c r="J351" s="1" t="s">
        <v>60</v>
      </c>
      <c r="K351" s="1" t="s">
        <v>1075</v>
      </c>
      <c r="L351" s="1" t="s">
        <v>36</v>
      </c>
      <c r="M351" s="1" t="s">
        <v>1515</v>
      </c>
      <c r="N351" s="1">
        <v>4</v>
      </c>
      <c r="O351" s="1">
        <v>76947.199999999997</v>
      </c>
    </row>
    <row r="352" spans="1:15" x14ac:dyDescent="0.3">
      <c r="A352" s="1" t="s">
        <v>1076</v>
      </c>
      <c r="B352" s="1" t="s">
        <v>49</v>
      </c>
      <c r="C352" s="1" t="s">
        <v>45</v>
      </c>
      <c r="D352" s="1" t="s">
        <v>15</v>
      </c>
      <c r="E352" s="1">
        <v>42</v>
      </c>
      <c r="F352" s="1" t="s">
        <v>16</v>
      </c>
      <c r="G352" s="1" t="s">
        <v>26</v>
      </c>
      <c r="H352" s="1" t="s">
        <v>1077</v>
      </c>
      <c r="I352" s="1">
        <v>108637</v>
      </c>
      <c r="J352" s="1" t="s">
        <v>34</v>
      </c>
      <c r="K352" s="1" t="s">
        <v>1078</v>
      </c>
      <c r="L352" s="1" t="s">
        <v>36</v>
      </c>
      <c r="M352" s="1" t="s">
        <v>1509</v>
      </c>
      <c r="N352" s="1">
        <v>2</v>
      </c>
      <c r="O352" s="1">
        <v>114068.85</v>
      </c>
    </row>
    <row r="353" spans="1:15" x14ac:dyDescent="0.3">
      <c r="A353" s="1" t="s">
        <v>1079</v>
      </c>
      <c r="B353" s="1" t="s">
        <v>44</v>
      </c>
      <c r="C353" s="1" t="s">
        <v>90</v>
      </c>
      <c r="D353" s="1" t="s">
        <v>15</v>
      </c>
      <c r="E353" s="1">
        <v>27</v>
      </c>
      <c r="F353" s="1" t="s">
        <v>31</v>
      </c>
      <c r="G353" s="1" t="s">
        <v>32</v>
      </c>
      <c r="H353" s="1" t="s">
        <v>1080</v>
      </c>
      <c r="I353" s="1">
        <v>65699</v>
      </c>
      <c r="J353" s="1" t="s">
        <v>34</v>
      </c>
      <c r="K353" s="1" t="s">
        <v>1081</v>
      </c>
      <c r="L353" s="1" t="s">
        <v>21</v>
      </c>
      <c r="M353" s="1" t="s">
        <v>1515</v>
      </c>
      <c r="N353" s="1">
        <v>2</v>
      </c>
      <c r="O353" s="1">
        <v>68983.95</v>
      </c>
    </row>
    <row r="354" spans="1:15" x14ac:dyDescent="0.3">
      <c r="A354" s="1" t="s">
        <v>1082</v>
      </c>
      <c r="B354" s="1" t="s">
        <v>143</v>
      </c>
      <c r="C354" s="1" t="s">
        <v>63</v>
      </c>
      <c r="D354" s="1" t="s">
        <v>24</v>
      </c>
      <c r="E354" s="1">
        <v>50</v>
      </c>
      <c r="F354" s="1" t="s">
        <v>16</v>
      </c>
      <c r="G354" s="1" t="s">
        <v>40</v>
      </c>
      <c r="H354" s="1" t="s">
        <v>1083</v>
      </c>
      <c r="I354" s="1">
        <v>90340</v>
      </c>
      <c r="J354" s="1" t="s">
        <v>19</v>
      </c>
      <c r="K354" s="1" t="s">
        <v>1084</v>
      </c>
      <c r="L354" s="1" t="s">
        <v>21</v>
      </c>
      <c r="M354" s="1" t="s">
        <v>1509</v>
      </c>
      <c r="N354" s="1">
        <v>1</v>
      </c>
      <c r="O354" s="1">
        <v>94857</v>
      </c>
    </row>
    <row r="355" spans="1:15" x14ac:dyDescent="0.3">
      <c r="A355" s="1" t="s">
        <v>1085</v>
      </c>
      <c r="B355" s="1" t="s">
        <v>71</v>
      </c>
      <c r="C355" s="1" t="s">
        <v>95</v>
      </c>
      <c r="D355" s="1" t="s">
        <v>15</v>
      </c>
      <c r="E355" s="1">
        <v>31</v>
      </c>
      <c r="F355" s="1" t="s">
        <v>25</v>
      </c>
      <c r="G355" s="1" t="s">
        <v>40</v>
      </c>
      <c r="H355" s="1" t="s">
        <v>1086</v>
      </c>
      <c r="I355" s="1">
        <v>114818</v>
      </c>
      <c r="J355" s="1" t="s">
        <v>34</v>
      </c>
      <c r="K355" s="1" t="s">
        <v>1087</v>
      </c>
      <c r="L355" s="1" t="s">
        <v>36</v>
      </c>
      <c r="M355" s="1" t="s">
        <v>1513</v>
      </c>
      <c r="N355" s="1">
        <v>1</v>
      </c>
      <c r="O355" s="1">
        <v>120558.9</v>
      </c>
    </row>
    <row r="356" spans="1:15" x14ac:dyDescent="0.3">
      <c r="A356" s="1" t="s">
        <v>1088</v>
      </c>
      <c r="B356" s="1" t="s">
        <v>54</v>
      </c>
      <c r="C356" s="1" t="s">
        <v>14</v>
      </c>
      <c r="D356" s="1" t="s">
        <v>15</v>
      </c>
      <c r="E356" s="1">
        <v>39</v>
      </c>
      <c r="F356" s="1" t="s">
        <v>31</v>
      </c>
      <c r="G356" s="1" t="s">
        <v>108</v>
      </c>
      <c r="H356" s="1" t="s">
        <v>1089</v>
      </c>
      <c r="I356" s="1">
        <v>82417</v>
      </c>
      <c r="J356" s="1" t="s">
        <v>34</v>
      </c>
      <c r="K356" s="1" t="s">
        <v>1090</v>
      </c>
      <c r="L356" s="1" t="s">
        <v>36</v>
      </c>
      <c r="M356" s="1" t="s">
        <v>1515</v>
      </c>
      <c r="N356" s="1">
        <v>5</v>
      </c>
      <c r="O356" s="1">
        <v>94779.55</v>
      </c>
    </row>
    <row r="357" spans="1:15" x14ac:dyDescent="0.3">
      <c r="A357" s="1" t="s">
        <v>1091</v>
      </c>
      <c r="B357" s="1" t="s">
        <v>54</v>
      </c>
      <c r="C357" s="1" t="s">
        <v>90</v>
      </c>
      <c r="D357" s="1" t="s">
        <v>24</v>
      </c>
      <c r="E357" s="1">
        <v>38</v>
      </c>
      <c r="F357" s="1" t="s">
        <v>39</v>
      </c>
      <c r="G357" s="1" t="s">
        <v>17</v>
      </c>
      <c r="H357" s="1" t="s">
        <v>1092</v>
      </c>
      <c r="I357" s="1">
        <v>116569</v>
      </c>
      <c r="J357" s="1" t="s">
        <v>80</v>
      </c>
      <c r="K357" s="1" t="s">
        <v>1093</v>
      </c>
      <c r="L357" s="1" t="s">
        <v>21</v>
      </c>
      <c r="M357" s="1" t="s">
        <v>1517</v>
      </c>
      <c r="N357" s="1">
        <v>1</v>
      </c>
      <c r="O357" s="1">
        <v>122397.45</v>
      </c>
    </row>
    <row r="358" spans="1:15" x14ac:dyDescent="0.3">
      <c r="A358" s="1" t="s">
        <v>1094</v>
      </c>
      <c r="B358" s="1" t="s">
        <v>58</v>
      </c>
      <c r="C358" s="1" t="s">
        <v>83</v>
      </c>
      <c r="D358" s="1" t="s">
        <v>24</v>
      </c>
      <c r="E358" s="1">
        <v>37</v>
      </c>
      <c r="F358" s="1" t="s">
        <v>50</v>
      </c>
      <c r="G358" s="1" t="s">
        <v>26</v>
      </c>
      <c r="H358" s="1" t="s">
        <v>1095</v>
      </c>
      <c r="I358" s="1">
        <v>98489</v>
      </c>
      <c r="J358" s="1" t="s">
        <v>60</v>
      </c>
      <c r="K358" s="1" t="s">
        <v>1096</v>
      </c>
      <c r="L358" s="1" t="s">
        <v>36</v>
      </c>
      <c r="M358" s="1" t="s">
        <v>1511</v>
      </c>
      <c r="N358" s="1">
        <v>4</v>
      </c>
      <c r="O358" s="1">
        <v>108337.9</v>
      </c>
    </row>
    <row r="359" spans="1:15" x14ac:dyDescent="0.3">
      <c r="A359" s="1" t="s">
        <v>1097</v>
      </c>
      <c r="B359" s="1" t="s">
        <v>58</v>
      </c>
      <c r="C359" s="1" t="s">
        <v>95</v>
      </c>
      <c r="D359" s="1" t="s">
        <v>15</v>
      </c>
      <c r="E359" s="1">
        <v>58</v>
      </c>
      <c r="F359" s="1" t="s">
        <v>31</v>
      </c>
      <c r="G359" s="1" t="s">
        <v>26</v>
      </c>
      <c r="H359" s="1" t="s">
        <v>1098</v>
      </c>
      <c r="I359" s="1">
        <v>60665</v>
      </c>
      <c r="J359" s="1" t="s">
        <v>60</v>
      </c>
      <c r="K359" s="1" t="s">
        <v>1099</v>
      </c>
      <c r="L359" s="1" t="s">
        <v>36</v>
      </c>
      <c r="M359" s="1" t="s">
        <v>1515</v>
      </c>
      <c r="N359" s="1">
        <v>5</v>
      </c>
      <c r="O359" s="1">
        <v>69764.75</v>
      </c>
    </row>
    <row r="360" spans="1:15" x14ac:dyDescent="0.3">
      <c r="A360" s="1" t="s">
        <v>1100</v>
      </c>
      <c r="B360" s="1" t="s">
        <v>30</v>
      </c>
      <c r="C360" s="1" t="s">
        <v>130</v>
      </c>
      <c r="D360" s="1" t="s">
        <v>24</v>
      </c>
      <c r="E360" s="1">
        <v>59</v>
      </c>
      <c r="F360" s="1" t="s">
        <v>25</v>
      </c>
      <c r="G360" s="1" t="s">
        <v>40</v>
      </c>
      <c r="H360" s="1" t="s">
        <v>1101</v>
      </c>
      <c r="I360" s="1">
        <v>91685</v>
      </c>
      <c r="J360" s="1" t="s">
        <v>19</v>
      </c>
      <c r="K360" s="1" t="s">
        <v>1102</v>
      </c>
      <c r="L360" s="1" t="s">
        <v>36</v>
      </c>
      <c r="M360" s="1" t="s">
        <v>1513</v>
      </c>
      <c r="N360" s="1">
        <v>3</v>
      </c>
      <c r="O360" s="1">
        <v>98102.95</v>
      </c>
    </row>
    <row r="361" spans="1:15" x14ac:dyDescent="0.3">
      <c r="A361" s="1" t="s">
        <v>1103</v>
      </c>
      <c r="B361" s="1" t="s">
        <v>58</v>
      </c>
      <c r="C361" s="1" t="s">
        <v>130</v>
      </c>
      <c r="D361" s="1" t="s">
        <v>15</v>
      </c>
      <c r="E361" s="1">
        <v>55</v>
      </c>
      <c r="F361" s="1" t="s">
        <v>50</v>
      </c>
      <c r="G361" s="1" t="s">
        <v>108</v>
      </c>
      <c r="H361" s="1" t="s">
        <v>1104</v>
      </c>
      <c r="I361" s="1">
        <v>76843</v>
      </c>
      <c r="J361" s="1" t="s">
        <v>60</v>
      </c>
      <c r="K361" s="1" t="s">
        <v>1105</v>
      </c>
      <c r="L361" s="1" t="s">
        <v>21</v>
      </c>
      <c r="M361" s="1" t="s">
        <v>1511</v>
      </c>
      <c r="N361" s="1">
        <v>3</v>
      </c>
      <c r="O361" s="1">
        <v>82222.009999999995</v>
      </c>
    </row>
    <row r="362" spans="1:15" x14ac:dyDescent="0.3">
      <c r="A362" s="1" t="s">
        <v>1106</v>
      </c>
      <c r="B362" s="1" t="s">
        <v>58</v>
      </c>
      <c r="C362" s="1" t="s">
        <v>14</v>
      </c>
      <c r="D362" s="1" t="s">
        <v>24</v>
      </c>
      <c r="E362" s="1">
        <v>35</v>
      </c>
      <c r="F362" s="1" t="s">
        <v>39</v>
      </c>
      <c r="G362" s="1" t="s">
        <v>40</v>
      </c>
      <c r="H362" s="1" t="s">
        <v>1107</v>
      </c>
      <c r="I362" s="1">
        <v>91860</v>
      </c>
      <c r="J362" s="1" t="s">
        <v>60</v>
      </c>
      <c r="K362" s="1" t="s">
        <v>1108</v>
      </c>
      <c r="L362" s="1" t="s">
        <v>21</v>
      </c>
      <c r="M362" s="1" t="s">
        <v>1517</v>
      </c>
      <c r="N362" s="1">
        <v>4</v>
      </c>
      <c r="O362" s="1">
        <v>101046</v>
      </c>
    </row>
    <row r="363" spans="1:15" x14ac:dyDescent="0.3">
      <c r="A363" s="1" t="s">
        <v>1109</v>
      </c>
      <c r="B363" s="1" t="s">
        <v>71</v>
      </c>
      <c r="C363" s="1" t="s">
        <v>14</v>
      </c>
      <c r="D363" s="1" t="s">
        <v>24</v>
      </c>
      <c r="E363" s="1">
        <v>60</v>
      </c>
      <c r="F363" s="1" t="s">
        <v>16</v>
      </c>
      <c r="G363" s="1" t="s">
        <v>17</v>
      </c>
      <c r="H363" s="1" t="s">
        <v>1110</v>
      </c>
      <c r="I363" s="1">
        <v>117041</v>
      </c>
      <c r="J363" s="1" t="s">
        <v>19</v>
      </c>
      <c r="K363" s="1" t="s">
        <v>1111</v>
      </c>
      <c r="L363" s="1" t="s">
        <v>36</v>
      </c>
      <c r="M363" s="1" t="s">
        <v>1509</v>
      </c>
      <c r="N363" s="1">
        <v>5</v>
      </c>
      <c r="O363" s="1">
        <v>134597.15</v>
      </c>
    </row>
    <row r="364" spans="1:15" x14ac:dyDescent="0.3">
      <c r="A364" s="1" t="s">
        <v>1112</v>
      </c>
      <c r="B364" s="1" t="s">
        <v>13</v>
      </c>
      <c r="C364" s="1" t="s">
        <v>14</v>
      </c>
      <c r="D364" s="1" t="s">
        <v>24</v>
      </c>
      <c r="E364" s="1">
        <v>45</v>
      </c>
      <c r="F364" s="1" t="s">
        <v>31</v>
      </c>
      <c r="G364" s="1" t="s">
        <v>108</v>
      </c>
      <c r="H364" s="1" t="s">
        <v>1113</v>
      </c>
      <c r="I364" s="1">
        <v>93769</v>
      </c>
      <c r="J364" s="1" t="s">
        <v>80</v>
      </c>
      <c r="K364" s="1" t="s">
        <v>1114</v>
      </c>
      <c r="L364" s="1" t="s">
        <v>21</v>
      </c>
      <c r="M364" s="1" t="s">
        <v>1515</v>
      </c>
      <c r="N364" s="1">
        <v>5</v>
      </c>
      <c r="O364" s="1">
        <v>107834.35</v>
      </c>
    </row>
    <row r="365" spans="1:15" x14ac:dyDescent="0.3">
      <c r="A365" s="1" t="s">
        <v>1115</v>
      </c>
      <c r="B365" s="1" t="s">
        <v>143</v>
      </c>
      <c r="C365" s="1" t="s">
        <v>165</v>
      </c>
      <c r="D365" s="1" t="s">
        <v>24</v>
      </c>
      <c r="E365" s="1">
        <v>37</v>
      </c>
      <c r="F365" s="1" t="s">
        <v>50</v>
      </c>
      <c r="G365" s="1" t="s">
        <v>108</v>
      </c>
      <c r="H365" s="1" t="s">
        <v>1116</v>
      </c>
      <c r="I365" s="1">
        <v>43224</v>
      </c>
      <c r="J365" s="1" t="s">
        <v>34</v>
      </c>
      <c r="K365" s="1" t="s">
        <v>1117</v>
      </c>
      <c r="L365" s="1" t="s">
        <v>21</v>
      </c>
      <c r="M365" s="1" t="s">
        <v>1511</v>
      </c>
      <c r="N365" s="1">
        <v>3</v>
      </c>
      <c r="O365" s="1">
        <v>46249.68</v>
      </c>
    </row>
    <row r="366" spans="1:15" x14ac:dyDescent="0.3">
      <c r="A366" s="1" t="s">
        <v>1118</v>
      </c>
      <c r="B366" s="1" t="s">
        <v>143</v>
      </c>
      <c r="C366" s="1" t="s">
        <v>14</v>
      </c>
      <c r="D366" s="1" t="s">
        <v>24</v>
      </c>
      <c r="E366" s="1">
        <v>43</v>
      </c>
      <c r="F366" s="1" t="s">
        <v>50</v>
      </c>
      <c r="G366" s="1" t="s">
        <v>26</v>
      </c>
      <c r="H366" s="1" t="s">
        <v>1119</v>
      </c>
      <c r="I366" s="1">
        <v>101866</v>
      </c>
      <c r="J366" s="1" t="s">
        <v>80</v>
      </c>
      <c r="K366" s="1" t="s">
        <v>1120</v>
      </c>
      <c r="L366" s="1" t="s">
        <v>36</v>
      </c>
      <c r="M366" s="1" t="s">
        <v>1511</v>
      </c>
      <c r="N366" s="1">
        <v>3</v>
      </c>
      <c r="O366" s="1">
        <v>108996.62</v>
      </c>
    </row>
    <row r="367" spans="1:15" x14ac:dyDescent="0.3">
      <c r="A367" s="1" t="s">
        <v>1121</v>
      </c>
      <c r="B367" s="1" t="s">
        <v>49</v>
      </c>
      <c r="C367" s="1" t="s">
        <v>95</v>
      </c>
      <c r="D367" s="1" t="s">
        <v>15</v>
      </c>
      <c r="E367" s="1">
        <v>56</v>
      </c>
      <c r="F367" s="1" t="s">
        <v>39</v>
      </c>
      <c r="G367" s="1" t="s">
        <v>40</v>
      </c>
      <c r="H367" s="1" t="s">
        <v>1122</v>
      </c>
      <c r="I367" s="1">
        <v>101636</v>
      </c>
      <c r="J367" s="1" t="s">
        <v>80</v>
      </c>
      <c r="K367" s="1" t="s">
        <v>1123</v>
      </c>
      <c r="L367" s="1" t="s">
        <v>36</v>
      </c>
      <c r="M367" s="1" t="s">
        <v>1517</v>
      </c>
      <c r="N367" s="1">
        <v>3</v>
      </c>
      <c r="O367" s="1">
        <v>108750.52</v>
      </c>
    </row>
    <row r="368" spans="1:15" x14ac:dyDescent="0.3">
      <c r="A368" s="1" t="s">
        <v>1124</v>
      </c>
      <c r="B368" s="1" t="s">
        <v>54</v>
      </c>
      <c r="C368" s="1" t="s">
        <v>78</v>
      </c>
      <c r="D368" s="1" t="s">
        <v>24</v>
      </c>
      <c r="E368" s="1">
        <v>42</v>
      </c>
      <c r="F368" s="1" t="s">
        <v>25</v>
      </c>
      <c r="G368" s="1" t="s">
        <v>17</v>
      </c>
      <c r="H368" s="1" t="s">
        <v>1125</v>
      </c>
      <c r="I368" s="1">
        <v>106833</v>
      </c>
      <c r="J368" s="1" t="s">
        <v>19</v>
      </c>
      <c r="K368" s="1" t="s">
        <v>1126</v>
      </c>
      <c r="L368" s="1" t="s">
        <v>36</v>
      </c>
      <c r="M368" s="1" t="s">
        <v>1513</v>
      </c>
      <c r="N368" s="1">
        <v>5</v>
      </c>
      <c r="O368" s="1">
        <v>122857.95</v>
      </c>
    </row>
    <row r="369" spans="1:15" x14ac:dyDescent="0.3">
      <c r="A369" s="1" t="s">
        <v>1127</v>
      </c>
      <c r="B369" s="1" t="s">
        <v>30</v>
      </c>
      <c r="C369" s="1" t="s">
        <v>45</v>
      </c>
      <c r="D369" s="1" t="s">
        <v>15</v>
      </c>
      <c r="E369" s="1">
        <v>42</v>
      </c>
      <c r="F369" s="1" t="s">
        <v>16</v>
      </c>
      <c r="G369" s="1" t="s">
        <v>32</v>
      </c>
      <c r="H369" s="1" t="s">
        <v>1128</v>
      </c>
      <c r="I369" s="1">
        <v>75163</v>
      </c>
      <c r="J369" s="1" t="s">
        <v>34</v>
      </c>
      <c r="K369" s="1" t="s">
        <v>1129</v>
      </c>
      <c r="L369" s="1" t="s">
        <v>21</v>
      </c>
      <c r="M369" s="1" t="s">
        <v>1509</v>
      </c>
      <c r="N369" s="1">
        <v>2</v>
      </c>
      <c r="O369" s="1">
        <v>78921.149999999994</v>
      </c>
    </row>
    <row r="370" spans="1:15" x14ac:dyDescent="0.3">
      <c r="A370" s="1" t="s">
        <v>1130</v>
      </c>
      <c r="B370" s="1" t="s">
        <v>58</v>
      </c>
      <c r="C370" s="1" t="s">
        <v>130</v>
      </c>
      <c r="D370" s="1" t="s">
        <v>24</v>
      </c>
      <c r="E370" s="1">
        <v>41</v>
      </c>
      <c r="F370" s="1" t="s">
        <v>50</v>
      </c>
      <c r="G370" s="1" t="s">
        <v>26</v>
      </c>
      <c r="H370" s="1" t="s">
        <v>1131</v>
      </c>
      <c r="I370" s="1">
        <v>86763</v>
      </c>
      <c r="J370" s="1" t="s">
        <v>60</v>
      </c>
      <c r="K370" s="1" t="s">
        <v>1132</v>
      </c>
      <c r="L370" s="1" t="s">
        <v>36</v>
      </c>
      <c r="M370" s="1" t="s">
        <v>1511</v>
      </c>
      <c r="N370" s="1">
        <v>5</v>
      </c>
      <c r="O370" s="1">
        <v>99777.45</v>
      </c>
    </row>
    <row r="371" spans="1:15" x14ac:dyDescent="0.3">
      <c r="A371" s="1" t="s">
        <v>1133</v>
      </c>
      <c r="B371" s="1" t="s">
        <v>94</v>
      </c>
      <c r="C371" s="1" t="s">
        <v>130</v>
      </c>
      <c r="D371" s="1" t="s">
        <v>15</v>
      </c>
      <c r="E371" s="1">
        <v>49</v>
      </c>
      <c r="F371" s="1" t="s">
        <v>50</v>
      </c>
      <c r="G371" s="1" t="s">
        <v>40</v>
      </c>
      <c r="H371" s="1" t="s">
        <v>1134</v>
      </c>
      <c r="I371" s="1">
        <v>54974</v>
      </c>
      <c r="J371" s="1" t="s">
        <v>80</v>
      </c>
      <c r="K371" s="1" t="s">
        <v>1135</v>
      </c>
      <c r="L371" s="1" t="s">
        <v>36</v>
      </c>
      <c r="M371" s="1" t="s">
        <v>1511</v>
      </c>
      <c r="N371" s="1">
        <v>2</v>
      </c>
      <c r="O371" s="1">
        <v>57722.7</v>
      </c>
    </row>
    <row r="372" spans="1:15" x14ac:dyDescent="0.3">
      <c r="A372" s="1" t="s">
        <v>1136</v>
      </c>
      <c r="B372" s="1" t="s">
        <v>143</v>
      </c>
      <c r="C372" s="1" t="s">
        <v>63</v>
      </c>
      <c r="D372" s="1" t="s">
        <v>15</v>
      </c>
      <c r="E372" s="1">
        <v>30</v>
      </c>
      <c r="F372" s="1" t="s">
        <v>31</v>
      </c>
      <c r="G372" s="1" t="s">
        <v>32</v>
      </c>
      <c r="H372" s="1" t="s">
        <v>1137</v>
      </c>
      <c r="I372" s="1">
        <v>74728</v>
      </c>
      <c r="J372" s="1" t="s">
        <v>19</v>
      </c>
      <c r="K372" s="1" t="s">
        <v>1138</v>
      </c>
      <c r="L372" s="1" t="s">
        <v>36</v>
      </c>
      <c r="M372" s="1" t="s">
        <v>1515</v>
      </c>
      <c r="N372" s="1">
        <v>4</v>
      </c>
      <c r="O372" s="1">
        <v>82200.800000000003</v>
      </c>
    </row>
    <row r="373" spans="1:15" x14ac:dyDescent="0.3">
      <c r="A373" s="1" t="s">
        <v>1139</v>
      </c>
      <c r="B373" s="1" t="s">
        <v>13</v>
      </c>
      <c r="C373" s="1" t="s">
        <v>130</v>
      </c>
      <c r="D373" s="1" t="s">
        <v>24</v>
      </c>
      <c r="E373" s="1">
        <v>58</v>
      </c>
      <c r="F373" s="1" t="s">
        <v>31</v>
      </c>
      <c r="G373" s="1" t="s">
        <v>40</v>
      </c>
      <c r="H373" s="1" t="s">
        <v>196</v>
      </c>
      <c r="I373" s="1">
        <v>88207</v>
      </c>
      <c r="J373" s="1" t="s">
        <v>80</v>
      </c>
      <c r="K373" s="1" t="s">
        <v>1140</v>
      </c>
      <c r="L373" s="1" t="s">
        <v>36</v>
      </c>
      <c r="M373" s="1" t="s">
        <v>1515</v>
      </c>
      <c r="N373" s="1">
        <v>1</v>
      </c>
      <c r="O373" s="1">
        <v>92617.35</v>
      </c>
    </row>
    <row r="374" spans="1:15" x14ac:dyDescent="0.3">
      <c r="A374" s="1" t="s">
        <v>1141</v>
      </c>
      <c r="B374" s="1" t="s">
        <v>30</v>
      </c>
      <c r="C374" s="1" t="s">
        <v>78</v>
      </c>
      <c r="D374" s="1" t="s">
        <v>24</v>
      </c>
      <c r="E374" s="1">
        <v>56</v>
      </c>
      <c r="F374" s="1" t="s">
        <v>39</v>
      </c>
      <c r="G374" s="1" t="s">
        <v>40</v>
      </c>
      <c r="H374" s="1" t="s">
        <v>618</v>
      </c>
      <c r="I374" s="1">
        <v>96878</v>
      </c>
      <c r="J374" s="1" t="s">
        <v>60</v>
      </c>
      <c r="K374" s="1" t="s">
        <v>1142</v>
      </c>
      <c r="L374" s="1" t="s">
        <v>21</v>
      </c>
      <c r="M374" s="1" t="s">
        <v>1517</v>
      </c>
      <c r="N374" s="1">
        <v>5</v>
      </c>
      <c r="O374" s="1">
        <v>111409.7</v>
      </c>
    </row>
    <row r="375" spans="1:15" x14ac:dyDescent="0.3">
      <c r="A375" s="1" t="s">
        <v>1143</v>
      </c>
      <c r="B375" s="1" t="s">
        <v>54</v>
      </c>
      <c r="C375" s="1" t="s">
        <v>90</v>
      </c>
      <c r="D375" s="1" t="s">
        <v>15</v>
      </c>
      <c r="E375" s="1">
        <v>27</v>
      </c>
      <c r="F375" s="1" t="s">
        <v>25</v>
      </c>
      <c r="G375" s="1" t="s">
        <v>40</v>
      </c>
      <c r="H375" s="1" t="s">
        <v>1144</v>
      </c>
      <c r="I375" s="1">
        <v>49341</v>
      </c>
      <c r="J375" s="1" t="s">
        <v>60</v>
      </c>
      <c r="K375" s="1" t="s">
        <v>1145</v>
      </c>
      <c r="L375" s="1" t="s">
        <v>36</v>
      </c>
      <c r="M375" s="1" t="s">
        <v>1513</v>
      </c>
      <c r="N375" s="1">
        <v>5</v>
      </c>
      <c r="O375" s="1">
        <v>56742.15</v>
      </c>
    </row>
    <row r="376" spans="1:15" x14ac:dyDescent="0.3">
      <c r="A376" s="1" t="s">
        <v>1146</v>
      </c>
      <c r="B376" s="1" t="s">
        <v>13</v>
      </c>
      <c r="C376" s="1" t="s">
        <v>165</v>
      </c>
      <c r="D376" s="1" t="s">
        <v>15</v>
      </c>
      <c r="E376" s="1">
        <v>57</v>
      </c>
      <c r="F376" s="1" t="s">
        <v>39</v>
      </c>
      <c r="G376" s="1" t="s">
        <v>26</v>
      </c>
      <c r="H376" s="1" t="s">
        <v>1147</v>
      </c>
      <c r="I376" s="1">
        <v>87757</v>
      </c>
      <c r="J376" s="1" t="s">
        <v>19</v>
      </c>
      <c r="K376" s="1" t="s">
        <v>1148</v>
      </c>
      <c r="L376" s="1" t="s">
        <v>21</v>
      </c>
      <c r="M376" s="1" t="s">
        <v>1517</v>
      </c>
      <c r="N376" s="1">
        <v>3</v>
      </c>
      <c r="O376" s="1">
        <v>93899.99</v>
      </c>
    </row>
    <row r="377" spans="1:15" x14ac:dyDescent="0.3">
      <c r="A377" s="1" t="s">
        <v>1149</v>
      </c>
      <c r="B377" s="1" t="s">
        <v>94</v>
      </c>
      <c r="C377" s="1" t="s">
        <v>14</v>
      </c>
      <c r="D377" s="1" t="s">
        <v>15</v>
      </c>
      <c r="E377" s="1">
        <v>28</v>
      </c>
      <c r="F377" s="1" t="s">
        <v>50</v>
      </c>
      <c r="G377" s="1" t="s">
        <v>17</v>
      </c>
      <c r="H377" s="1" t="s">
        <v>1150</v>
      </c>
      <c r="I377" s="1">
        <v>113590</v>
      </c>
      <c r="J377" s="1" t="s">
        <v>19</v>
      </c>
      <c r="K377" s="1" t="s">
        <v>1151</v>
      </c>
      <c r="L377" s="1" t="s">
        <v>36</v>
      </c>
      <c r="M377" s="1" t="s">
        <v>1511</v>
      </c>
      <c r="N377" s="1">
        <v>3</v>
      </c>
      <c r="O377" s="1">
        <v>121541.3</v>
      </c>
    </row>
    <row r="378" spans="1:15" x14ac:dyDescent="0.3">
      <c r="A378" s="1" t="s">
        <v>1152</v>
      </c>
      <c r="B378" s="1" t="s">
        <v>54</v>
      </c>
      <c r="C378" s="1" t="s">
        <v>90</v>
      </c>
      <c r="D378" s="1" t="s">
        <v>15</v>
      </c>
      <c r="E378" s="1">
        <v>37</v>
      </c>
      <c r="F378" s="1" t="s">
        <v>16</v>
      </c>
      <c r="G378" s="1" t="s">
        <v>32</v>
      </c>
      <c r="H378" s="1" t="s">
        <v>1153</v>
      </c>
      <c r="I378" s="1">
        <v>82897</v>
      </c>
      <c r="J378" s="1" t="s">
        <v>34</v>
      </c>
      <c r="K378" s="1" t="s">
        <v>1154</v>
      </c>
      <c r="L378" s="1" t="s">
        <v>21</v>
      </c>
      <c r="M378" s="1" t="s">
        <v>1509</v>
      </c>
      <c r="N378" s="1">
        <v>1</v>
      </c>
      <c r="O378" s="1">
        <v>87041.85</v>
      </c>
    </row>
    <row r="379" spans="1:15" x14ac:dyDescent="0.3">
      <c r="A379" s="1" t="s">
        <v>1155</v>
      </c>
      <c r="B379" s="1" t="s">
        <v>94</v>
      </c>
      <c r="C379" s="1" t="s">
        <v>90</v>
      </c>
      <c r="D379" s="1" t="s">
        <v>15</v>
      </c>
      <c r="E379" s="1">
        <v>37</v>
      </c>
      <c r="F379" s="1" t="s">
        <v>25</v>
      </c>
      <c r="G379" s="1" t="s">
        <v>32</v>
      </c>
      <c r="H379" s="1" t="s">
        <v>1156</v>
      </c>
      <c r="I379" s="1">
        <v>69652</v>
      </c>
      <c r="J379" s="1" t="s">
        <v>65</v>
      </c>
      <c r="K379" s="1" t="s">
        <v>1157</v>
      </c>
      <c r="L379" s="1" t="s">
        <v>36</v>
      </c>
      <c r="M379" s="1" t="s">
        <v>1513</v>
      </c>
      <c r="N379" s="1">
        <v>3</v>
      </c>
      <c r="O379" s="1">
        <v>74527.64</v>
      </c>
    </row>
    <row r="380" spans="1:15" x14ac:dyDescent="0.3">
      <c r="A380" s="1" t="s">
        <v>1158</v>
      </c>
      <c r="B380" s="1" t="s">
        <v>58</v>
      </c>
      <c r="C380" s="1" t="s">
        <v>14</v>
      </c>
      <c r="D380" s="1" t="s">
        <v>15</v>
      </c>
      <c r="E380" s="1">
        <v>22</v>
      </c>
      <c r="F380" s="1" t="s">
        <v>25</v>
      </c>
      <c r="G380" s="1" t="s">
        <v>108</v>
      </c>
      <c r="H380" s="1" t="s">
        <v>1159</v>
      </c>
      <c r="I380" s="1">
        <v>92754</v>
      </c>
      <c r="J380" s="1" t="s">
        <v>19</v>
      </c>
      <c r="K380" s="1" t="s">
        <v>1160</v>
      </c>
      <c r="L380" s="1" t="s">
        <v>21</v>
      </c>
      <c r="M380" s="1" t="s">
        <v>1513</v>
      </c>
      <c r="N380" s="1">
        <v>3</v>
      </c>
      <c r="O380" s="1">
        <v>99246.78</v>
      </c>
    </row>
    <row r="381" spans="1:15" x14ac:dyDescent="0.3">
      <c r="A381" s="1" t="s">
        <v>1161</v>
      </c>
      <c r="B381" s="1" t="s">
        <v>49</v>
      </c>
      <c r="C381" s="1" t="s">
        <v>14</v>
      </c>
      <c r="D381" s="1" t="s">
        <v>24</v>
      </c>
      <c r="E381" s="1">
        <v>24</v>
      </c>
      <c r="F381" s="1" t="s">
        <v>25</v>
      </c>
      <c r="G381" s="1" t="s">
        <v>17</v>
      </c>
      <c r="H381" s="1" t="s">
        <v>1162</v>
      </c>
      <c r="I381" s="1">
        <v>65180</v>
      </c>
      <c r="J381" s="1" t="s">
        <v>65</v>
      </c>
      <c r="K381" s="1" t="s">
        <v>1163</v>
      </c>
      <c r="L381" s="1" t="s">
        <v>21</v>
      </c>
      <c r="M381" s="1" t="s">
        <v>1513</v>
      </c>
      <c r="N381" s="1">
        <v>2</v>
      </c>
      <c r="O381" s="1">
        <v>68439</v>
      </c>
    </row>
    <row r="382" spans="1:15" x14ac:dyDescent="0.3">
      <c r="A382" s="1" t="s">
        <v>1164</v>
      </c>
      <c r="B382" s="1" t="s">
        <v>38</v>
      </c>
      <c r="C382" s="1" t="s">
        <v>63</v>
      </c>
      <c r="D382" s="1" t="s">
        <v>15</v>
      </c>
      <c r="E382" s="1">
        <v>60</v>
      </c>
      <c r="F382" s="1" t="s">
        <v>31</v>
      </c>
      <c r="G382" s="1" t="s">
        <v>26</v>
      </c>
      <c r="H382" s="1" t="s">
        <v>258</v>
      </c>
      <c r="I382" s="1">
        <v>93081</v>
      </c>
      <c r="J382" s="1" t="s">
        <v>65</v>
      </c>
      <c r="K382" s="1" t="s">
        <v>1165</v>
      </c>
      <c r="L382" s="1" t="s">
        <v>21</v>
      </c>
      <c r="M382" s="1" t="s">
        <v>1515</v>
      </c>
      <c r="N382" s="1">
        <v>4</v>
      </c>
      <c r="O382" s="1">
        <v>102389.1</v>
      </c>
    </row>
    <row r="383" spans="1:15" x14ac:dyDescent="0.3">
      <c r="A383" s="1" t="s">
        <v>1166</v>
      </c>
      <c r="B383" s="1" t="s">
        <v>38</v>
      </c>
      <c r="C383" s="1" t="s">
        <v>63</v>
      </c>
      <c r="D383" s="1" t="s">
        <v>15</v>
      </c>
      <c r="E383" s="1">
        <v>57</v>
      </c>
      <c r="F383" s="1" t="s">
        <v>25</v>
      </c>
      <c r="G383" s="1" t="s">
        <v>32</v>
      </c>
      <c r="H383" s="1" t="s">
        <v>1167</v>
      </c>
      <c r="I383" s="1">
        <v>91007</v>
      </c>
      <c r="J383" s="1" t="s">
        <v>60</v>
      </c>
      <c r="K383" s="1" t="s">
        <v>1168</v>
      </c>
      <c r="L383" s="1" t="s">
        <v>36</v>
      </c>
      <c r="M383" s="1" t="s">
        <v>1513</v>
      </c>
      <c r="N383" s="1">
        <v>3</v>
      </c>
      <c r="O383" s="1">
        <v>97377.49</v>
      </c>
    </row>
    <row r="384" spans="1:15" x14ac:dyDescent="0.3">
      <c r="A384" s="1" t="s">
        <v>1169</v>
      </c>
      <c r="B384" s="1" t="s">
        <v>44</v>
      </c>
      <c r="C384" s="1" t="s">
        <v>130</v>
      </c>
      <c r="D384" s="1" t="s">
        <v>15</v>
      </c>
      <c r="E384" s="1">
        <v>32</v>
      </c>
      <c r="F384" s="1" t="s">
        <v>25</v>
      </c>
      <c r="G384" s="1" t="s">
        <v>40</v>
      </c>
      <c r="H384" s="1" t="s">
        <v>1170</v>
      </c>
      <c r="I384" s="1">
        <v>88127</v>
      </c>
      <c r="J384" s="1" t="s">
        <v>65</v>
      </c>
      <c r="K384" s="1" t="s">
        <v>1171</v>
      </c>
      <c r="L384" s="1" t="s">
        <v>21</v>
      </c>
      <c r="M384" s="1" t="s">
        <v>1513</v>
      </c>
      <c r="N384" s="1">
        <v>4</v>
      </c>
      <c r="O384" s="1">
        <v>96939.7</v>
      </c>
    </row>
    <row r="385" spans="1:15" x14ac:dyDescent="0.3">
      <c r="A385" s="1" t="s">
        <v>1172</v>
      </c>
      <c r="B385" s="1" t="s">
        <v>30</v>
      </c>
      <c r="C385" s="1" t="s">
        <v>78</v>
      </c>
      <c r="D385" s="1" t="s">
        <v>24</v>
      </c>
      <c r="E385" s="1">
        <v>34</v>
      </c>
      <c r="F385" s="1" t="s">
        <v>16</v>
      </c>
      <c r="G385" s="1" t="s">
        <v>26</v>
      </c>
      <c r="H385" s="1" t="s">
        <v>1173</v>
      </c>
      <c r="I385" s="1">
        <v>70318</v>
      </c>
      <c r="J385" s="1" t="s">
        <v>19</v>
      </c>
      <c r="K385" s="1" t="s">
        <v>1174</v>
      </c>
      <c r="L385" s="1" t="s">
        <v>36</v>
      </c>
      <c r="M385" s="1" t="s">
        <v>1509</v>
      </c>
      <c r="N385" s="1">
        <v>2</v>
      </c>
      <c r="O385" s="1">
        <v>73833.899999999994</v>
      </c>
    </row>
    <row r="386" spans="1:15" x14ac:dyDescent="0.3">
      <c r="A386" s="1" t="s">
        <v>1175</v>
      </c>
      <c r="B386" s="1" t="s">
        <v>30</v>
      </c>
      <c r="C386" s="1" t="s">
        <v>95</v>
      </c>
      <c r="D386" s="1" t="s">
        <v>15</v>
      </c>
      <c r="E386" s="1">
        <v>31</v>
      </c>
      <c r="F386" s="1" t="s">
        <v>31</v>
      </c>
      <c r="G386" s="1" t="s">
        <v>108</v>
      </c>
      <c r="H386" s="1" t="s">
        <v>566</v>
      </c>
      <c r="I386" s="1">
        <v>47884</v>
      </c>
      <c r="J386" s="1" t="s">
        <v>34</v>
      </c>
      <c r="K386" s="1" t="s">
        <v>1176</v>
      </c>
      <c r="L386" s="1" t="s">
        <v>21</v>
      </c>
      <c r="M386" s="1" t="s">
        <v>1515</v>
      </c>
      <c r="N386" s="1">
        <v>4</v>
      </c>
      <c r="O386" s="1">
        <v>52672.4</v>
      </c>
    </row>
    <row r="387" spans="1:15" x14ac:dyDescent="0.3">
      <c r="A387" s="1" t="s">
        <v>1177</v>
      </c>
      <c r="B387" s="1" t="s">
        <v>143</v>
      </c>
      <c r="C387" s="1" t="s">
        <v>14</v>
      </c>
      <c r="D387" s="1" t="s">
        <v>15</v>
      </c>
      <c r="E387" s="1">
        <v>48</v>
      </c>
      <c r="F387" s="1" t="s">
        <v>50</v>
      </c>
      <c r="G387" s="1" t="s">
        <v>108</v>
      </c>
      <c r="H387" s="1" t="s">
        <v>1178</v>
      </c>
      <c r="I387" s="1">
        <v>71987</v>
      </c>
      <c r="J387" s="1" t="s">
        <v>34</v>
      </c>
      <c r="K387" s="1" t="s">
        <v>1179</v>
      </c>
      <c r="L387" s="1" t="s">
        <v>36</v>
      </c>
      <c r="M387" s="1" t="s">
        <v>1511</v>
      </c>
      <c r="N387" s="1">
        <v>4</v>
      </c>
      <c r="O387" s="1">
        <v>79185.7</v>
      </c>
    </row>
    <row r="388" spans="1:15" x14ac:dyDescent="0.3">
      <c r="A388" s="1" t="s">
        <v>1180</v>
      </c>
      <c r="B388" s="1" t="s">
        <v>58</v>
      </c>
      <c r="C388" s="1" t="s">
        <v>130</v>
      </c>
      <c r="D388" s="1" t="s">
        <v>24</v>
      </c>
      <c r="E388" s="1">
        <v>52</v>
      </c>
      <c r="F388" s="1" t="s">
        <v>39</v>
      </c>
      <c r="G388" s="1" t="s">
        <v>40</v>
      </c>
      <c r="H388" s="1" t="s">
        <v>1181</v>
      </c>
      <c r="I388" s="1">
        <v>108773</v>
      </c>
      <c r="J388" s="1" t="s">
        <v>60</v>
      </c>
      <c r="K388" s="1" t="s">
        <v>1182</v>
      </c>
      <c r="L388" s="1" t="s">
        <v>36</v>
      </c>
      <c r="M388" s="1" t="s">
        <v>1517</v>
      </c>
      <c r="N388" s="1">
        <v>1</v>
      </c>
      <c r="O388" s="1">
        <v>114211.65</v>
      </c>
    </row>
    <row r="389" spans="1:15" x14ac:dyDescent="0.3">
      <c r="A389" s="1" t="s">
        <v>1183</v>
      </c>
      <c r="B389" s="1" t="s">
        <v>71</v>
      </c>
      <c r="C389" s="1" t="s">
        <v>130</v>
      </c>
      <c r="D389" s="1" t="s">
        <v>15</v>
      </c>
      <c r="E389" s="1">
        <v>58</v>
      </c>
      <c r="F389" s="1" t="s">
        <v>25</v>
      </c>
      <c r="G389" s="1" t="s">
        <v>40</v>
      </c>
      <c r="H389" s="1" t="s">
        <v>1184</v>
      </c>
      <c r="I389" s="1">
        <v>115133</v>
      </c>
      <c r="J389" s="1" t="s">
        <v>34</v>
      </c>
      <c r="K389" s="1" t="s">
        <v>1185</v>
      </c>
      <c r="L389" s="1" t="s">
        <v>21</v>
      </c>
      <c r="M389" s="1" t="s">
        <v>1513</v>
      </c>
      <c r="N389" s="1">
        <v>1</v>
      </c>
      <c r="O389" s="1">
        <v>120889.65</v>
      </c>
    </row>
    <row r="390" spans="1:15" x14ac:dyDescent="0.3">
      <c r="A390" s="1" t="s">
        <v>1186</v>
      </c>
      <c r="B390" s="1" t="s">
        <v>94</v>
      </c>
      <c r="C390" s="1" t="s">
        <v>165</v>
      </c>
      <c r="D390" s="1" t="s">
        <v>24</v>
      </c>
      <c r="E390" s="1">
        <v>50</v>
      </c>
      <c r="F390" s="1" t="s">
        <v>16</v>
      </c>
      <c r="G390" s="1" t="s">
        <v>26</v>
      </c>
      <c r="H390" s="1" t="s">
        <v>1187</v>
      </c>
      <c r="I390" s="1">
        <v>44417</v>
      </c>
      <c r="J390" s="1" t="s">
        <v>80</v>
      </c>
      <c r="K390" s="1" t="s">
        <v>1188</v>
      </c>
      <c r="L390" s="1" t="s">
        <v>36</v>
      </c>
      <c r="M390" s="1" t="s">
        <v>1509</v>
      </c>
      <c r="N390" s="1">
        <v>3</v>
      </c>
      <c r="O390" s="1">
        <v>47526.19</v>
      </c>
    </row>
    <row r="391" spans="1:15" x14ac:dyDescent="0.3">
      <c r="A391" s="1" t="s">
        <v>1189</v>
      </c>
      <c r="B391" s="1" t="s">
        <v>30</v>
      </c>
      <c r="C391" s="1" t="s">
        <v>78</v>
      </c>
      <c r="D391" s="1" t="s">
        <v>24</v>
      </c>
      <c r="E391" s="1">
        <v>46</v>
      </c>
      <c r="F391" s="1" t="s">
        <v>31</v>
      </c>
      <c r="G391" s="1" t="s">
        <v>17</v>
      </c>
      <c r="H391" s="1" t="s">
        <v>1190</v>
      </c>
      <c r="I391" s="1">
        <v>107012</v>
      </c>
      <c r="J391" s="1" t="s">
        <v>65</v>
      </c>
      <c r="K391" s="1" t="s">
        <v>1191</v>
      </c>
      <c r="L391" s="1" t="s">
        <v>21</v>
      </c>
      <c r="M391" s="1" t="s">
        <v>1515</v>
      </c>
      <c r="N391" s="1">
        <v>5</v>
      </c>
      <c r="O391" s="1">
        <v>123063.8</v>
      </c>
    </row>
    <row r="392" spans="1:15" x14ac:dyDescent="0.3">
      <c r="A392" s="1" t="s">
        <v>1192</v>
      </c>
      <c r="B392" s="1" t="s">
        <v>49</v>
      </c>
      <c r="C392" s="1" t="s">
        <v>78</v>
      </c>
      <c r="D392" s="1" t="s">
        <v>15</v>
      </c>
      <c r="E392" s="1">
        <v>23</v>
      </c>
      <c r="F392" s="1" t="s">
        <v>50</v>
      </c>
      <c r="G392" s="1" t="s">
        <v>26</v>
      </c>
      <c r="H392" s="1" t="s">
        <v>1193</v>
      </c>
      <c r="I392" s="1">
        <v>78597</v>
      </c>
      <c r="J392" s="1" t="s">
        <v>34</v>
      </c>
      <c r="K392" s="1" t="s">
        <v>1194</v>
      </c>
      <c r="L392" s="1" t="s">
        <v>21</v>
      </c>
      <c r="M392" s="1" t="s">
        <v>1511</v>
      </c>
      <c r="N392" s="1">
        <v>5</v>
      </c>
      <c r="O392" s="1">
        <v>90386.55</v>
      </c>
    </row>
    <row r="393" spans="1:15" x14ac:dyDescent="0.3">
      <c r="A393" s="1" t="s">
        <v>1195</v>
      </c>
      <c r="B393" s="1" t="s">
        <v>58</v>
      </c>
      <c r="C393" s="1" t="s">
        <v>90</v>
      </c>
      <c r="D393" s="1" t="s">
        <v>15</v>
      </c>
      <c r="E393" s="1">
        <v>44</v>
      </c>
      <c r="F393" s="1" t="s">
        <v>25</v>
      </c>
      <c r="G393" s="1" t="s">
        <v>108</v>
      </c>
      <c r="H393" s="1" t="s">
        <v>1196</v>
      </c>
      <c r="I393" s="1">
        <v>77085</v>
      </c>
      <c r="J393" s="1" t="s">
        <v>80</v>
      </c>
      <c r="K393" s="1" t="s">
        <v>1197</v>
      </c>
      <c r="L393" s="1" t="s">
        <v>36</v>
      </c>
      <c r="M393" s="1" t="s">
        <v>1513</v>
      </c>
      <c r="N393" s="1">
        <v>4</v>
      </c>
      <c r="O393" s="1">
        <v>84793.5</v>
      </c>
    </row>
    <row r="394" spans="1:15" x14ac:dyDescent="0.3">
      <c r="A394" s="1" t="s">
        <v>1198</v>
      </c>
      <c r="B394" s="1" t="s">
        <v>44</v>
      </c>
      <c r="C394" s="1" t="s">
        <v>90</v>
      </c>
      <c r="D394" s="1" t="s">
        <v>24</v>
      </c>
      <c r="E394" s="1">
        <v>52</v>
      </c>
      <c r="F394" s="1" t="s">
        <v>50</v>
      </c>
      <c r="G394" s="1" t="s">
        <v>108</v>
      </c>
      <c r="H394" s="1" t="s">
        <v>1199</v>
      </c>
      <c r="I394" s="1">
        <v>98031</v>
      </c>
      <c r="J394" s="1" t="s">
        <v>60</v>
      </c>
      <c r="K394" s="1" t="s">
        <v>1200</v>
      </c>
      <c r="L394" s="1" t="s">
        <v>36</v>
      </c>
      <c r="M394" s="1" t="s">
        <v>1511</v>
      </c>
      <c r="N394" s="1">
        <v>4</v>
      </c>
      <c r="O394" s="1">
        <v>107834.1</v>
      </c>
    </row>
    <row r="395" spans="1:15" x14ac:dyDescent="0.3">
      <c r="A395" s="1" t="s">
        <v>1201</v>
      </c>
      <c r="B395" s="1" t="s">
        <v>54</v>
      </c>
      <c r="C395" s="1" t="s">
        <v>83</v>
      </c>
      <c r="D395" s="1" t="s">
        <v>24</v>
      </c>
      <c r="E395" s="1">
        <v>47</v>
      </c>
      <c r="F395" s="1" t="s">
        <v>31</v>
      </c>
      <c r="G395" s="1" t="s">
        <v>26</v>
      </c>
      <c r="H395" s="1" t="s">
        <v>1202</v>
      </c>
      <c r="I395" s="1">
        <v>59479</v>
      </c>
      <c r="J395" s="1" t="s">
        <v>34</v>
      </c>
      <c r="K395" s="1" t="s">
        <v>1203</v>
      </c>
      <c r="L395" s="1" t="s">
        <v>36</v>
      </c>
      <c r="M395" s="1" t="s">
        <v>1515</v>
      </c>
      <c r="N395" s="1">
        <v>4</v>
      </c>
      <c r="O395" s="1">
        <v>65426.9</v>
      </c>
    </row>
    <row r="396" spans="1:15" x14ac:dyDescent="0.3">
      <c r="A396" s="1" t="s">
        <v>1204</v>
      </c>
      <c r="B396" s="1" t="s">
        <v>49</v>
      </c>
      <c r="C396" s="1" t="s">
        <v>14</v>
      </c>
      <c r="D396" s="1" t="s">
        <v>24</v>
      </c>
      <c r="E396" s="1">
        <v>25</v>
      </c>
      <c r="F396" s="1" t="s">
        <v>50</v>
      </c>
      <c r="G396" s="1" t="s">
        <v>40</v>
      </c>
      <c r="H396" s="1" t="s">
        <v>1205</v>
      </c>
      <c r="I396" s="1">
        <v>82566</v>
      </c>
      <c r="J396" s="1" t="s">
        <v>19</v>
      </c>
      <c r="K396" s="1" t="s">
        <v>1206</v>
      </c>
      <c r="L396" s="1" t="s">
        <v>21</v>
      </c>
      <c r="M396" s="1" t="s">
        <v>1511</v>
      </c>
      <c r="N396" s="1">
        <v>2</v>
      </c>
      <c r="O396" s="1">
        <v>86694.3</v>
      </c>
    </row>
    <row r="397" spans="1:15" x14ac:dyDescent="0.3">
      <c r="A397" s="1" t="s">
        <v>1207</v>
      </c>
      <c r="B397" s="1" t="s">
        <v>30</v>
      </c>
      <c r="C397" s="1" t="s">
        <v>165</v>
      </c>
      <c r="D397" s="1" t="s">
        <v>15</v>
      </c>
      <c r="E397" s="1">
        <v>37</v>
      </c>
      <c r="F397" s="1" t="s">
        <v>50</v>
      </c>
      <c r="G397" s="1" t="s">
        <v>40</v>
      </c>
      <c r="H397" s="1" t="s">
        <v>1208</v>
      </c>
      <c r="I397" s="1">
        <v>90050</v>
      </c>
      <c r="J397" s="1" t="s">
        <v>65</v>
      </c>
      <c r="K397" s="1" t="s">
        <v>1209</v>
      </c>
      <c r="L397" s="1" t="s">
        <v>21</v>
      </c>
      <c r="M397" s="1" t="s">
        <v>1511</v>
      </c>
      <c r="N397" s="1">
        <v>5</v>
      </c>
      <c r="O397" s="1">
        <v>103557.5</v>
      </c>
    </row>
    <row r="398" spans="1:15" x14ac:dyDescent="0.3">
      <c r="A398" s="1" t="s">
        <v>1210</v>
      </c>
      <c r="B398" s="1" t="s">
        <v>38</v>
      </c>
      <c r="C398" s="1" t="s">
        <v>130</v>
      </c>
      <c r="D398" s="1" t="s">
        <v>24</v>
      </c>
      <c r="E398" s="1">
        <v>54</v>
      </c>
      <c r="F398" s="1" t="s">
        <v>16</v>
      </c>
      <c r="G398" s="1" t="s">
        <v>26</v>
      </c>
      <c r="H398" s="1" t="s">
        <v>1211</v>
      </c>
      <c r="I398" s="1">
        <v>56447</v>
      </c>
      <c r="J398" s="1" t="s">
        <v>19</v>
      </c>
      <c r="K398" s="1" t="s">
        <v>1212</v>
      </c>
      <c r="L398" s="1" t="s">
        <v>36</v>
      </c>
      <c r="M398" s="1" t="s">
        <v>1509</v>
      </c>
      <c r="N398" s="1">
        <v>4</v>
      </c>
      <c r="O398" s="1">
        <v>62091.7</v>
      </c>
    </row>
    <row r="399" spans="1:15" x14ac:dyDescent="0.3">
      <c r="A399" s="1" t="s">
        <v>1213</v>
      </c>
      <c r="B399" s="1" t="s">
        <v>71</v>
      </c>
      <c r="C399" s="1" t="s">
        <v>165</v>
      </c>
      <c r="D399" s="1" t="s">
        <v>24</v>
      </c>
      <c r="E399" s="1">
        <v>47</v>
      </c>
      <c r="F399" s="1" t="s">
        <v>31</v>
      </c>
      <c r="G399" s="1" t="s">
        <v>17</v>
      </c>
      <c r="H399" s="1" t="s">
        <v>1214</v>
      </c>
      <c r="I399" s="1">
        <v>76082</v>
      </c>
      <c r="J399" s="1" t="s">
        <v>65</v>
      </c>
      <c r="K399" s="1" t="s">
        <v>1215</v>
      </c>
      <c r="L399" s="1" t="s">
        <v>36</v>
      </c>
      <c r="M399" s="1" t="s">
        <v>1515</v>
      </c>
      <c r="N399" s="1">
        <v>3</v>
      </c>
      <c r="O399" s="1">
        <v>81407.740000000005</v>
      </c>
    </row>
    <row r="400" spans="1:15" x14ac:dyDescent="0.3">
      <c r="A400" s="1" t="s">
        <v>1216</v>
      </c>
      <c r="B400" s="1" t="s">
        <v>44</v>
      </c>
      <c r="C400" s="1" t="s">
        <v>45</v>
      </c>
      <c r="D400" s="1" t="s">
        <v>24</v>
      </c>
      <c r="E400" s="1">
        <v>28</v>
      </c>
      <c r="F400" s="1" t="s">
        <v>50</v>
      </c>
      <c r="G400" s="1" t="s">
        <v>26</v>
      </c>
      <c r="H400" s="1" t="s">
        <v>621</v>
      </c>
      <c r="I400" s="1">
        <v>98535</v>
      </c>
      <c r="J400" s="1" t="s">
        <v>60</v>
      </c>
      <c r="K400" s="1" t="s">
        <v>1217</v>
      </c>
      <c r="L400" s="1" t="s">
        <v>21</v>
      </c>
      <c r="M400" s="1" t="s">
        <v>1511</v>
      </c>
      <c r="N400" s="1">
        <v>1</v>
      </c>
      <c r="O400" s="1">
        <v>103461.75</v>
      </c>
    </row>
    <row r="401" spans="1:15" x14ac:dyDescent="0.3">
      <c r="A401" s="1" t="s">
        <v>1218</v>
      </c>
      <c r="B401" s="1" t="s">
        <v>94</v>
      </c>
      <c r="C401" s="1" t="s">
        <v>130</v>
      </c>
      <c r="D401" s="1" t="s">
        <v>15</v>
      </c>
      <c r="E401" s="1">
        <v>39</v>
      </c>
      <c r="F401" s="1" t="s">
        <v>16</v>
      </c>
      <c r="G401" s="1" t="s">
        <v>108</v>
      </c>
      <c r="H401" s="1" t="s">
        <v>1219</v>
      </c>
      <c r="I401" s="1">
        <v>44551</v>
      </c>
      <c r="J401" s="1" t="s">
        <v>34</v>
      </c>
      <c r="K401" s="1" t="s">
        <v>1220</v>
      </c>
      <c r="L401" s="1" t="s">
        <v>21</v>
      </c>
      <c r="M401" s="1" t="s">
        <v>1509</v>
      </c>
      <c r="N401" s="1">
        <v>5</v>
      </c>
      <c r="O401" s="1">
        <v>51233.65</v>
      </c>
    </row>
    <row r="402" spans="1:15" x14ac:dyDescent="0.3">
      <c r="A402" s="1" t="s">
        <v>1221</v>
      </c>
      <c r="B402" s="1" t="s">
        <v>71</v>
      </c>
      <c r="C402" s="1" t="s">
        <v>23</v>
      </c>
      <c r="D402" s="1" t="s">
        <v>15</v>
      </c>
      <c r="E402" s="1">
        <v>40</v>
      </c>
      <c r="F402" s="1" t="s">
        <v>50</v>
      </c>
      <c r="G402" s="1" t="s">
        <v>32</v>
      </c>
      <c r="H402" s="1" t="s">
        <v>1222</v>
      </c>
      <c r="I402" s="1">
        <v>111797</v>
      </c>
      <c r="J402" s="1" t="s">
        <v>60</v>
      </c>
      <c r="K402" s="1" t="s">
        <v>1223</v>
      </c>
      <c r="L402" s="1" t="s">
        <v>36</v>
      </c>
      <c r="M402" s="1" t="s">
        <v>1511</v>
      </c>
      <c r="N402" s="1">
        <v>5</v>
      </c>
      <c r="O402" s="1">
        <v>128566.55</v>
      </c>
    </row>
    <row r="403" spans="1:15" x14ac:dyDescent="0.3">
      <c r="A403" s="1" t="s">
        <v>1224</v>
      </c>
      <c r="B403" s="1" t="s">
        <v>71</v>
      </c>
      <c r="C403" s="1" t="s">
        <v>90</v>
      </c>
      <c r="D403" s="1" t="s">
        <v>24</v>
      </c>
      <c r="E403" s="1">
        <v>43</v>
      </c>
      <c r="F403" s="1" t="s">
        <v>16</v>
      </c>
      <c r="G403" s="1" t="s">
        <v>26</v>
      </c>
      <c r="H403" s="1" t="s">
        <v>1225</v>
      </c>
      <c r="I403" s="1">
        <v>40238</v>
      </c>
      <c r="J403" s="1" t="s">
        <v>19</v>
      </c>
      <c r="K403" s="1" t="s">
        <v>1226</v>
      </c>
      <c r="L403" s="1" t="s">
        <v>21</v>
      </c>
      <c r="M403" s="1" t="s">
        <v>1509</v>
      </c>
      <c r="N403" s="1">
        <v>2</v>
      </c>
      <c r="O403" s="1">
        <v>42249.9</v>
      </c>
    </row>
    <row r="404" spans="1:15" x14ac:dyDescent="0.3">
      <c r="A404" s="1" t="s">
        <v>1227</v>
      </c>
      <c r="B404" s="1" t="s">
        <v>71</v>
      </c>
      <c r="C404" s="1" t="s">
        <v>165</v>
      </c>
      <c r="D404" s="1" t="s">
        <v>15</v>
      </c>
      <c r="E404" s="1">
        <v>55</v>
      </c>
      <c r="F404" s="1" t="s">
        <v>31</v>
      </c>
      <c r="G404" s="1" t="s">
        <v>17</v>
      </c>
      <c r="H404" s="1" t="s">
        <v>1228</v>
      </c>
      <c r="I404" s="1">
        <v>70077</v>
      </c>
      <c r="J404" s="1" t="s">
        <v>34</v>
      </c>
      <c r="K404" s="1" t="s">
        <v>1229</v>
      </c>
      <c r="L404" s="1" t="s">
        <v>21</v>
      </c>
      <c r="M404" s="1" t="s">
        <v>1515</v>
      </c>
      <c r="N404" s="1">
        <v>1</v>
      </c>
      <c r="O404" s="1">
        <v>73580.850000000006</v>
      </c>
    </row>
    <row r="405" spans="1:15" x14ac:dyDescent="0.3">
      <c r="A405" s="1" t="s">
        <v>1230</v>
      </c>
      <c r="B405" s="1" t="s">
        <v>44</v>
      </c>
      <c r="C405" s="1" t="s">
        <v>14</v>
      </c>
      <c r="D405" s="1" t="s">
        <v>24</v>
      </c>
      <c r="E405" s="1">
        <v>57</v>
      </c>
      <c r="F405" s="1" t="s">
        <v>16</v>
      </c>
      <c r="G405" s="1" t="s">
        <v>17</v>
      </c>
      <c r="H405" s="1" t="s">
        <v>1231</v>
      </c>
      <c r="I405" s="1">
        <v>107382</v>
      </c>
      <c r="J405" s="1" t="s">
        <v>19</v>
      </c>
      <c r="K405" s="1" t="s">
        <v>1232</v>
      </c>
      <c r="L405" s="1" t="s">
        <v>36</v>
      </c>
      <c r="M405" s="1" t="s">
        <v>1509</v>
      </c>
      <c r="N405" s="1">
        <v>2</v>
      </c>
      <c r="O405" s="1">
        <v>112751.1</v>
      </c>
    </row>
    <row r="406" spans="1:15" x14ac:dyDescent="0.3">
      <c r="A406" s="1" t="s">
        <v>1233</v>
      </c>
      <c r="B406" s="1" t="s">
        <v>94</v>
      </c>
      <c r="C406" s="1" t="s">
        <v>95</v>
      </c>
      <c r="D406" s="1" t="s">
        <v>15</v>
      </c>
      <c r="E406" s="1">
        <v>24</v>
      </c>
      <c r="F406" s="1" t="s">
        <v>50</v>
      </c>
      <c r="G406" s="1" t="s">
        <v>26</v>
      </c>
      <c r="H406" s="1" t="s">
        <v>1234</v>
      </c>
      <c r="I406" s="1">
        <v>54413</v>
      </c>
      <c r="J406" s="1" t="s">
        <v>65</v>
      </c>
      <c r="K406" s="1" t="s">
        <v>1235</v>
      </c>
      <c r="L406" s="1" t="s">
        <v>21</v>
      </c>
      <c r="M406" s="1" t="s">
        <v>1511</v>
      </c>
      <c r="N406" s="1">
        <v>4</v>
      </c>
      <c r="O406" s="1">
        <v>59854.3</v>
      </c>
    </row>
    <row r="407" spans="1:15" x14ac:dyDescent="0.3">
      <c r="A407" s="1" t="s">
        <v>1236</v>
      </c>
      <c r="B407" s="1" t="s">
        <v>143</v>
      </c>
      <c r="C407" s="1" t="s">
        <v>23</v>
      </c>
      <c r="D407" s="1" t="s">
        <v>24</v>
      </c>
      <c r="E407" s="1">
        <v>37</v>
      </c>
      <c r="F407" s="1" t="s">
        <v>31</v>
      </c>
      <c r="G407" s="1" t="s">
        <v>108</v>
      </c>
      <c r="H407" s="1" t="s">
        <v>1237</v>
      </c>
      <c r="I407" s="1">
        <v>40061</v>
      </c>
      <c r="J407" s="1" t="s">
        <v>65</v>
      </c>
      <c r="K407" s="1" t="s">
        <v>1238</v>
      </c>
      <c r="L407" s="1" t="s">
        <v>21</v>
      </c>
      <c r="M407" s="1" t="s">
        <v>1515</v>
      </c>
      <c r="N407" s="1">
        <v>3</v>
      </c>
      <c r="O407" s="1">
        <v>42865.270000000004</v>
      </c>
    </row>
    <row r="408" spans="1:15" x14ac:dyDescent="0.3">
      <c r="A408" s="1" t="s">
        <v>1239</v>
      </c>
      <c r="B408" s="1" t="s">
        <v>30</v>
      </c>
      <c r="C408" s="1" t="s">
        <v>95</v>
      </c>
      <c r="D408" s="1" t="s">
        <v>24</v>
      </c>
      <c r="E408" s="1">
        <v>45</v>
      </c>
      <c r="F408" s="1" t="s">
        <v>39</v>
      </c>
      <c r="G408" s="1" t="s">
        <v>108</v>
      </c>
      <c r="H408" s="1" t="s">
        <v>1240</v>
      </c>
      <c r="I408" s="1">
        <v>89039</v>
      </c>
      <c r="J408" s="1" t="s">
        <v>34</v>
      </c>
      <c r="K408" s="1" t="s">
        <v>1241</v>
      </c>
      <c r="L408" s="1" t="s">
        <v>21</v>
      </c>
      <c r="M408" s="1" t="s">
        <v>1517</v>
      </c>
      <c r="N408" s="1">
        <v>3</v>
      </c>
      <c r="O408" s="1">
        <v>95271.73</v>
      </c>
    </row>
    <row r="409" spans="1:15" x14ac:dyDescent="0.3">
      <c r="A409" s="1" t="s">
        <v>1242</v>
      </c>
      <c r="B409" s="1" t="s">
        <v>71</v>
      </c>
      <c r="C409" s="1" t="s">
        <v>63</v>
      </c>
      <c r="D409" s="1" t="s">
        <v>15</v>
      </c>
      <c r="E409" s="1">
        <v>30</v>
      </c>
      <c r="F409" s="1" t="s">
        <v>39</v>
      </c>
      <c r="G409" s="1" t="s">
        <v>40</v>
      </c>
      <c r="H409" s="1" t="s">
        <v>1243</v>
      </c>
      <c r="I409" s="1">
        <v>41334</v>
      </c>
      <c r="J409" s="1" t="s">
        <v>34</v>
      </c>
      <c r="K409" s="1" t="s">
        <v>1244</v>
      </c>
      <c r="L409" s="1" t="s">
        <v>21</v>
      </c>
      <c r="M409" s="1" t="s">
        <v>1517</v>
      </c>
      <c r="N409" s="1">
        <v>5</v>
      </c>
      <c r="O409" s="1">
        <v>47534.1</v>
      </c>
    </row>
    <row r="410" spans="1:15" x14ac:dyDescent="0.3">
      <c r="A410" s="1" t="s">
        <v>1245</v>
      </c>
      <c r="B410" s="1" t="s">
        <v>49</v>
      </c>
      <c r="C410" s="1" t="s">
        <v>165</v>
      </c>
      <c r="D410" s="1" t="s">
        <v>15</v>
      </c>
      <c r="E410" s="1">
        <v>55</v>
      </c>
      <c r="F410" s="1" t="s">
        <v>25</v>
      </c>
      <c r="G410" s="1" t="s">
        <v>17</v>
      </c>
      <c r="H410" s="1" t="s">
        <v>1246</v>
      </c>
      <c r="I410" s="1">
        <v>108930</v>
      </c>
      <c r="J410" s="1" t="s">
        <v>60</v>
      </c>
      <c r="K410" s="1" t="s">
        <v>1247</v>
      </c>
      <c r="L410" s="1" t="s">
        <v>36</v>
      </c>
      <c r="M410" s="1" t="s">
        <v>1513</v>
      </c>
      <c r="N410" s="1">
        <v>1</v>
      </c>
      <c r="O410" s="1">
        <v>114376.5</v>
      </c>
    </row>
    <row r="411" spans="1:15" x14ac:dyDescent="0.3">
      <c r="A411" s="1" t="s">
        <v>1248</v>
      </c>
      <c r="B411" s="1" t="s">
        <v>71</v>
      </c>
      <c r="C411" s="1" t="s">
        <v>90</v>
      </c>
      <c r="D411" s="1" t="s">
        <v>15</v>
      </c>
      <c r="E411" s="1">
        <v>31</v>
      </c>
      <c r="F411" s="1" t="s">
        <v>50</v>
      </c>
      <c r="G411" s="1" t="s">
        <v>26</v>
      </c>
      <c r="H411" s="1" t="s">
        <v>1249</v>
      </c>
      <c r="I411" s="1">
        <v>78935</v>
      </c>
      <c r="J411" s="1" t="s">
        <v>19</v>
      </c>
      <c r="K411" s="1" t="s">
        <v>1250</v>
      </c>
      <c r="L411" s="1" t="s">
        <v>36</v>
      </c>
      <c r="M411" s="1" t="s">
        <v>1511</v>
      </c>
      <c r="N411" s="1">
        <v>5</v>
      </c>
      <c r="O411" s="1">
        <v>90775.25</v>
      </c>
    </row>
    <row r="412" spans="1:15" x14ac:dyDescent="0.3">
      <c r="A412" s="1" t="s">
        <v>1251</v>
      </c>
      <c r="B412" s="1" t="s">
        <v>38</v>
      </c>
      <c r="C412" s="1" t="s">
        <v>78</v>
      </c>
      <c r="D412" s="1" t="s">
        <v>24</v>
      </c>
      <c r="E412" s="1">
        <v>34</v>
      </c>
      <c r="F412" s="1" t="s">
        <v>50</v>
      </c>
      <c r="G412" s="1" t="s">
        <v>40</v>
      </c>
      <c r="H412" s="1" t="s">
        <v>1252</v>
      </c>
      <c r="I412" s="1">
        <v>68187</v>
      </c>
      <c r="J412" s="1" t="s">
        <v>19</v>
      </c>
      <c r="K412" s="1" t="s">
        <v>1253</v>
      </c>
      <c r="L412" s="1" t="s">
        <v>21</v>
      </c>
      <c r="M412" s="1" t="s">
        <v>1511</v>
      </c>
      <c r="N412" s="1">
        <v>1</v>
      </c>
      <c r="O412" s="1">
        <v>71596.350000000006</v>
      </c>
    </row>
    <row r="413" spans="1:15" x14ac:dyDescent="0.3">
      <c r="A413" s="1" t="s">
        <v>1254</v>
      </c>
      <c r="B413" s="1" t="s">
        <v>13</v>
      </c>
      <c r="C413" s="1" t="s">
        <v>45</v>
      </c>
      <c r="D413" s="1" t="s">
        <v>15</v>
      </c>
      <c r="E413" s="1">
        <v>51</v>
      </c>
      <c r="F413" s="1" t="s">
        <v>25</v>
      </c>
      <c r="G413" s="1" t="s">
        <v>26</v>
      </c>
      <c r="H413" s="1" t="s">
        <v>1255</v>
      </c>
      <c r="I413" s="1">
        <v>56816</v>
      </c>
      <c r="J413" s="1" t="s">
        <v>65</v>
      </c>
      <c r="K413" s="1" t="s">
        <v>1256</v>
      </c>
      <c r="L413" s="1" t="s">
        <v>21</v>
      </c>
      <c r="M413" s="1" t="s">
        <v>1513</v>
      </c>
      <c r="N413" s="1">
        <v>3</v>
      </c>
      <c r="O413" s="1">
        <v>60793.120000000003</v>
      </c>
    </row>
    <row r="414" spans="1:15" x14ac:dyDescent="0.3">
      <c r="A414" s="1" t="s">
        <v>1257</v>
      </c>
      <c r="B414" s="1" t="s">
        <v>58</v>
      </c>
      <c r="C414" s="1" t="s">
        <v>14</v>
      </c>
      <c r="D414" s="1" t="s">
        <v>15</v>
      </c>
      <c r="E414" s="1">
        <v>29</v>
      </c>
      <c r="F414" s="1" t="s">
        <v>25</v>
      </c>
      <c r="G414" s="1" t="s">
        <v>17</v>
      </c>
      <c r="H414" s="1" t="s">
        <v>1258</v>
      </c>
      <c r="I414" s="1">
        <v>102232</v>
      </c>
      <c r="J414" s="1" t="s">
        <v>19</v>
      </c>
      <c r="K414" s="1" t="s">
        <v>1259</v>
      </c>
      <c r="L414" s="1" t="s">
        <v>21</v>
      </c>
      <c r="M414" s="1" t="s">
        <v>1513</v>
      </c>
      <c r="N414" s="1">
        <v>4</v>
      </c>
      <c r="O414" s="1">
        <v>112455.2</v>
      </c>
    </row>
    <row r="415" spans="1:15" x14ac:dyDescent="0.3">
      <c r="A415" s="1" t="s">
        <v>1260</v>
      </c>
      <c r="B415" s="1" t="s">
        <v>58</v>
      </c>
      <c r="C415" s="1" t="s">
        <v>45</v>
      </c>
      <c r="D415" s="1" t="s">
        <v>24</v>
      </c>
      <c r="E415" s="1">
        <v>38</v>
      </c>
      <c r="F415" s="1" t="s">
        <v>50</v>
      </c>
      <c r="G415" s="1" t="s">
        <v>108</v>
      </c>
      <c r="H415" s="1" t="s">
        <v>1261</v>
      </c>
      <c r="I415" s="1">
        <v>99123</v>
      </c>
      <c r="J415" s="1" t="s">
        <v>19</v>
      </c>
      <c r="K415" s="1" t="s">
        <v>1262</v>
      </c>
      <c r="L415" s="1" t="s">
        <v>36</v>
      </c>
      <c r="M415" s="1" t="s">
        <v>1511</v>
      </c>
      <c r="N415" s="1">
        <v>3</v>
      </c>
      <c r="O415" s="1">
        <v>106061.61</v>
      </c>
    </row>
    <row r="416" spans="1:15" x14ac:dyDescent="0.3">
      <c r="A416" s="1" t="s">
        <v>1263</v>
      </c>
      <c r="B416" s="1" t="s">
        <v>54</v>
      </c>
      <c r="C416" s="1" t="s">
        <v>14</v>
      </c>
      <c r="D416" s="1" t="s">
        <v>15</v>
      </c>
      <c r="E416" s="1">
        <v>23</v>
      </c>
      <c r="F416" s="1" t="s">
        <v>39</v>
      </c>
      <c r="G416" s="1" t="s">
        <v>32</v>
      </c>
      <c r="H416" s="1" t="s">
        <v>1264</v>
      </c>
      <c r="I416" s="1">
        <v>44686</v>
      </c>
      <c r="J416" s="1" t="s">
        <v>60</v>
      </c>
      <c r="K416" s="1" t="s">
        <v>1265</v>
      </c>
      <c r="L416" s="1" t="s">
        <v>21</v>
      </c>
      <c r="M416" s="1" t="s">
        <v>1517</v>
      </c>
      <c r="N416" s="1">
        <v>1</v>
      </c>
      <c r="O416" s="1">
        <v>46920.3</v>
      </c>
    </row>
    <row r="417" spans="1:15" x14ac:dyDescent="0.3">
      <c r="A417" s="1" t="s">
        <v>1266</v>
      </c>
      <c r="B417" s="1" t="s">
        <v>54</v>
      </c>
      <c r="C417" s="1" t="s">
        <v>165</v>
      </c>
      <c r="D417" s="1" t="s">
        <v>24</v>
      </c>
      <c r="E417" s="1">
        <v>57</v>
      </c>
      <c r="F417" s="1" t="s">
        <v>31</v>
      </c>
      <c r="G417" s="1" t="s">
        <v>26</v>
      </c>
      <c r="H417" s="1" t="s">
        <v>1267</v>
      </c>
      <c r="I417" s="1">
        <v>104342</v>
      </c>
      <c r="J417" s="1" t="s">
        <v>80</v>
      </c>
      <c r="K417" s="1" t="s">
        <v>1268</v>
      </c>
      <c r="L417" s="1" t="s">
        <v>36</v>
      </c>
      <c r="M417" s="1" t="s">
        <v>1515</v>
      </c>
      <c r="N417" s="1">
        <v>2</v>
      </c>
      <c r="O417" s="1">
        <v>109559.1</v>
      </c>
    </row>
    <row r="418" spans="1:15" x14ac:dyDescent="0.3">
      <c r="A418" s="1" t="s">
        <v>1269</v>
      </c>
      <c r="B418" s="1" t="s">
        <v>30</v>
      </c>
      <c r="C418" s="1" t="s">
        <v>83</v>
      </c>
      <c r="D418" s="1" t="s">
        <v>24</v>
      </c>
      <c r="E418" s="1">
        <v>40</v>
      </c>
      <c r="F418" s="1" t="s">
        <v>16</v>
      </c>
      <c r="G418" s="1" t="s">
        <v>26</v>
      </c>
      <c r="H418" s="1" t="s">
        <v>1270</v>
      </c>
      <c r="I418" s="1">
        <v>116236</v>
      </c>
      <c r="J418" s="1" t="s">
        <v>65</v>
      </c>
      <c r="K418" s="1" t="s">
        <v>1271</v>
      </c>
      <c r="L418" s="1" t="s">
        <v>36</v>
      </c>
      <c r="M418" s="1" t="s">
        <v>1509</v>
      </c>
      <c r="N418" s="1">
        <v>1</v>
      </c>
      <c r="O418" s="1">
        <v>122047.8</v>
      </c>
    </row>
    <row r="419" spans="1:15" x14ac:dyDescent="0.3">
      <c r="A419" s="1" t="s">
        <v>1272</v>
      </c>
      <c r="B419" s="1" t="s">
        <v>44</v>
      </c>
      <c r="C419" s="1" t="s">
        <v>83</v>
      </c>
      <c r="D419" s="1" t="s">
        <v>24</v>
      </c>
      <c r="E419" s="1">
        <v>33</v>
      </c>
      <c r="F419" s="1" t="s">
        <v>39</v>
      </c>
      <c r="G419" s="1" t="s">
        <v>32</v>
      </c>
      <c r="H419" s="1" t="s">
        <v>1273</v>
      </c>
      <c r="I419" s="1">
        <v>63416</v>
      </c>
      <c r="J419" s="1" t="s">
        <v>19</v>
      </c>
      <c r="K419" s="1" t="s">
        <v>1274</v>
      </c>
      <c r="L419" s="1" t="s">
        <v>36</v>
      </c>
      <c r="M419" s="1" t="s">
        <v>1517</v>
      </c>
      <c r="N419" s="1">
        <v>3</v>
      </c>
      <c r="O419" s="1">
        <v>67855.12</v>
      </c>
    </row>
    <row r="420" spans="1:15" x14ac:dyDescent="0.3">
      <c r="A420" s="1" t="s">
        <v>1275</v>
      </c>
      <c r="B420" s="1" t="s">
        <v>94</v>
      </c>
      <c r="C420" s="1" t="s">
        <v>78</v>
      </c>
      <c r="D420" s="1" t="s">
        <v>15</v>
      </c>
      <c r="E420" s="1">
        <v>46</v>
      </c>
      <c r="F420" s="1" t="s">
        <v>25</v>
      </c>
      <c r="G420" s="1" t="s">
        <v>40</v>
      </c>
      <c r="H420" s="1" t="s">
        <v>1276</v>
      </c>
      <c r="I420" s="1">
        <v>48319</v>
      </c>
      <c r="J420" s="1" t="s">
        <v>80</v>
      </c>
      <c r="K420" s="1" t="s">
        <v>1277</v>
      </c>
      <c r="L420" s="1" t="s">
        <v>21</v>
      </c>
      <c r="M420" s="1" t="s">
        <v>1513</v>
      </c>
      <c r="N420" s="1">
        <v>3</v>
      </c>
      <c r="O420" s="1">
        <v>51701.33</v>
      </c>
    </row>
    <row r="421" spans="1:15" x14ac:dyDescent="0.3">
      <c r="A421" s="1" t="s">
        <v>1278</v>
      </c>
      <c r="B421" s="1" t="s">
        <v>13</v>
      </c>
      <c r="C421" s="1" t="s">
        <v>130</v>
      </c>
      <c r="D421" s="1" t="s">
        <v>15</v>
      </c>
      <c r="E421" s="1">
        <v>36</v>
      </c>
      <c r="F421" s="1" t="s">
        <v>39</v>
      </c>
      <c r="G421" s="1" t="s">
        <v>17</v>
      </c>
      <c r="H421" s="1" t="s">
        <v>1279</v>
      </c>
      <c r="I421" s="1">
        <v>82168</v>
      </c>
      <c r="J421" s="1" t="s">
        <v>19</v>
      </c>
      <c r="K421" s="1" t="s">
        <v>1280</v>
      </c>
      <c r="L421" s="1" t="s">
        <v>21</v>
      </c>
      <c r="M421" s="1" t="s">
        <v>1517</v>
      </c>
      <c r="N421" s="1">
        <v>1</v>
      </c>
      <c r="O421" s="1">
        <v>86276.4</v>
      </c>
    </row>
    <row r="422" spans="1:15" x14ac:dyDescent="0.3">
      <c r="A422" s="1" t="s">
        <v>1281</v>
      </c>
      <c r="B422" s="1" t="s">
        <v>71</v>
      </c>
      <c r="C422" s="1" t="s">
        <v>63</v>
      </c>
      <c r="D422" s="1" t="s">
        <v>24</v>
      </c>
      <c r="E422" s="1">
        <v>32</v>
      </c>
      <c r="F422" s="1" t="s">
        <v>25</v>
      </c>
      <c r="G422" s="1" t="s">
        <v>40</v>
      </c>
      <c r="H422" s="1" t="s">
        <v>1282</v>
      </c>
      <c r="I422" s="1">
        <v>83994</v>
      </c>
      <c r="J422" s="1" t="s">
        <v>19</v>
      </c>
      <c r="K422" s="1" t="s">
        <v>1283</v>
      </c>
      <c r="L422" s="1" t="s">
        <v>36</v>
      </c>
      <c r="M422" s="1" t="s">
        <v>1513</v>
      </c>
      <c r="N422" s="1">
        <v>1</v>
      </c>
      <c r="O422" s="1">
        <v>88193.7</v>
      </c>
    </row>
    <row r="423" spans="1:15" x14ac:dyDescent="0.3">
      <c r="A423" s="1" t="s">
        <v>1284</v>
      </c>
      <c r="B423" s="1" t="s">
        <v>30</v>
      </c>
      <c r="C423" s="1" t="s">
        <v>90</v>
      </c>
      <c r="D423" s="1" t="s">
        <v>15</v>
      </c>
      <c r="E423" s="1">
        <v>43</v>
      </c>
      <c r="F423" s="1" t="s">
        <v>25</v>
      </c>
      <c r="G423" s="1" t="s">
        <v>32</v>
      </c>
      <c r="H423" s="1" t="s">
        <v>1285</v>
      </c>
      <c r="I423" s="1">
        <v>45200</v>
      </c>
      <c r="J423" s="1" t="s">
        <v>19</v>
      </c>
      <c r="K423" s="1" t="s">
        <v>1286</v>
      </c>
      <c r="L423" s="1" t="s">
        <v>36</v>
      </c>
      <c r="M423" s="1" t="s">
        <v>1513</v>
      </c>
      <c r="N423" s="1">
        <v>4</v>
      </c>
      <c r="O423" s="1">
        <v>49720</v>
      </c>
    </row>
    <row r="424" spans="1:15" x14ac:dyDescent="0.3">
      <c r="A424" s="1" t="s">
        <v>1287</v>
      </c>
      <c r="B424" s="1" t="s">
        <v>38</v>
      </c>
      <c r="C424" s="1" t="s">
        <v>63</v>
      </c>
      <c r="D424" s="1" t="s">
        <v>24</v>
      </c>
      <c r="E424" s="1">
        <v>25</v>
      </c>
      <c r="F424" s="1" t="s">
        <v>31</v>
      </c>
      <c r="G424" s="1" t="s">
        <v>17</v>
      </c>
      <c r="H424" s="1" t="s">
        <v>1288</v>
      </c>
      <c r="I424" s="1">
        <v>84722</v>
      </c>
      <c r="J424" s="1" t="s">
        <v>65</v>
      </c>
      <c r="K424" s="1" t="s">
        <v>1289</v>
      </c>
      <c r="L424" s="1" t="s">
        <v>36</v>
      </c>
      <c r="M424" s="1" t="s">
        <v>1515</v>
      </c>
      <c r="N424" s="1">
        <v>4</v>
      </c>
      <c r="O424" s="1">
        <v>93194.2</v>
      </c>
    </row>
    <row r="425" spans="1:15" x14ac:dyDescent="0.3">
      <c r="A425" s="1" t="s">
        <v>1290</v>
      </c>
      <c r="B425" s="1" t="s">
        <v>13</v>
      </c>
      <c r="C425" s="1" t="s">
        <v>63</v>
      </c>
      <c r="D425" s="1" t="s">
        <v>15</v>
      </c>
      <c r="E425" s="1">
        <v>24</v>
      </c>
      <c r="F425" s="1" t="s">
        <v>31</v>
      </c>
      <c r="G425" s="1" t="s">
        <v>17</v>
      </c>
      <c r="H425" s="1" t="s">
        <v>1291</v>
      </c>
      <c r="I425" s="1">
        <v>57088</v>
      </c>
      <c r="J425" s="1" t="s">
        <v>19</v>
      </c>
      <c r="K425" s="1" t="s">
        <v>1292</v>
      </c>
      <c r="L425" s="1" t="s">
        <v>21</v>
      </c>
      <c r="M425" s="1" t="s">
        <v>1515</v>
      </c>
      <c r="N425" s="1">
        <v>3</v>
      </c>
      <c r="O425" s="1">
        <v>61084.160000000003</v>
      </c>
    </row>
    <row r="426" spans="1:15" x14ac:dyDescent="0.3">
      <c r="A426" s="1" t="s">
        <v>1293</v>
      </c>
      <c r="B426" s="1" t="s">
        <v>58</v>
      </c>
      <c r="C426" s="1" t="s">
        <v>63</v>
      </c>
      <c r="D426" s="1" t="s">
        <v>24</v>
      </c>
      <c r="E426" s="1">
        <v>52</v>
      </c>
      <c r="F426" s="1" t="s">
        <v>50</v>
      </c>
      <c r="G426" s="1" t="s">
        <v>108</v>
      </c>
      <c r="H426" s="1" t="s">
        <v>1294</v>
      </c>
      <c r="I426" s="1">
        <v>106181</v>
      </c>
      <c r="J426" s="1" t="s">
        <v>34</v>
      </c>
      <c r="K426" s="1" t="s">
        <v>1295</v>
      </c>
      <c r="L426" s="1" t="s">
        <v>21</v>
      </c>
      <c r="M426" s="1" t="s">
        <v>1511</v>
      </c>
      <c r="N426" s="1">
        <v>2</v>
      </c>
      <c r="O426" s="1">
        <v>111490.05</v>
      </c>
    </row>
    <row r="427" spans="1:15" x14ac:dyDescent="0.3">
      <c r="A427" s="1" t="s">
        <v>1296</v>
      </c>
      <c r="B427" s="1" t="s">
        <v>71</v>
      </c>
      <c r="C427" s="1" t="s">
        <v>90</v>
      </c>
      <c r="D427" s="1" t="s">
        <v>15</v>
      </c>
      <c r="E427" s="1">
        <v>48</v>
      </c>
      <c r="F427" s="1" t="s">
        <v>25</v>
      </c>
      <c r="G427" s="1" t="s">
        <v>17</v>
      </c>
      <c r="H427" s="1" t="s">
        <v>1297</v>
      </c>
      <c r="I427" s="1">
        <v>117192</v>
      </c>
      <c r="J427" s="1" t="s">
        <v>60</v>
      </c>
      <c r="K427" s="1" t="s">
        <v>1298</v>
      </c>
      <c r="L427" s="1" t="s">
        <v>21</v>
      </c>
      <c r="M427" s="1" t="s">
        <v>1513</v>
      </c>
      <c r="N427" s="1">
        <v>5</v>
      </c>
      <c r="O427" s="1">
        <v>134770.79999999999</v>
      </c>
    </row>
    <row r="428" spans="1:15" x14ac:dyDescent="0.3">
      <c r="A428" s="1" t="s">
        <v>1299</v>
      </c>
      <c r="B428" s="1" t="s">
        <v>94</v>
      </c>
      <c r="C428" s="1" t="s">
        <v>14</v>
      </c>
      <c r="D428" s="1" t="s">
        <v>15</v>
      </c>
      <c r="E428" s="1">
        <v>43</v>
      </c>
      <c r="F428" s="1" t="s">
        <v>25</v>
      </c>
      <c r="G428" s="1" t="s">
        <v>108</v>
      </c>
      <c r="H428" s="1" t="s">
        <v>1300</v>
      </c>
      <c r="I428" s="1">
        <v>114670</v>
      </c>
      <c r="J428" s="1" t="s">
        <v>60</v>
      </c>
      <c r="K428" s="1" t="s">
        <v>1301</v>
      </c>
      <c r="L428" s="1" t="s">
        <v>36</v>
      </c>
      <c r="M428" s="1" t="s">
        <v>1513</v>
      </c>
      <c r="N428" s="1">
        <v>3</v>
      </c>
      <c r="O428" s="1">
        <v>122696.9</v>
      </c>
    </row>
    <row r="429" spans="1:15" x14ac:dyDescent="0.3">
      <c r="A429" s="1" t="s">
        <v>1302</v>
      </c>
      <c r="B429" s="1" t="s">
        <v>30</v>
      </c>
      <c r="C429" s="1" t="s">
        <v>63</v>
      </c>
      <c r="D429" s="1" t="s">
        <v>15</v>
      </c>
      <c r="E429" s="1">
        <v>36</v>
      </c>
      <c r="F429" s="1" t="s">
        <v>16</v>
      </c>
      <c r="G429" s="1" t="s">
        <v>40</v>
      </c>
      <c r="H429" s="1" t="s">
        <v>687</v>
      </c>
      <c r="I429" s="1">
        <v>116951</v>
      </c>
      <c r="J429" s="1" t="s">
        <v>80</v>
      </c>
      <c r="K429" s="1" t="s">
        <v>1303</v>
      </c>
      <c r="L429" s="1" t="s">
        <v>21</v>
      </c>
      <c r="M429" s="1" t="s">
        <v>1509</v>
      </c>
      <c r="N429" s="1">
        <v>2</v>
      </c>
      <c r="O429" s="1">
        <v>122798.55</v>
      </c>
    </row>
    <row r="430" spans="1:15" x14ac:dyDescent="0.3">
      <c r="A430" s="1" t="s">
        <v>1304</v>
      </c>
      <c r="B430" s="1" t="s">
        <v>71</v>
      </c>
      <c r="C430" s="1" t="s">
        <v>83</v>
      </c>
      <c r="D430" s="1" t="s">
        <v>15</v>
      </c>
      <c r="E430" s="1">
        <v>43</v>
      </c>
      <c r="F430" s="1" t="s">
        <v>16</v>
      </c>
      <c r="G430" s="1" t="s">
        <v>26</v>
      </c>
      <c r="H430" s="1" t="s">
        <v>650</v>
      </c>
      <c r="I430" s="1">
        <v>86123</v>
      </c>
      <c r="J430" s="1" t="s">
        <v>34</v>
      </c>
      <c r="K430" s="1" t="s">
        <v>1305</v>
      </c>
      <c r="L430" s="1" t="s">
        <v>36</v>
      </c>
      <c r="M430" s="1" t="s">
        <v>1509</v>
      </c>
      <c r="N430" s="1">
        <v>1</v>
      </c>
      <c r="O430" s="1">
        <v>90429.15</v>
      </c>
    </row>
    <row r="431" spans="1:15" x14ac:dyDescent="0.3">
      <c r="A431" s="1" t="s">
        <v>1306</v>
      </c>
      <c r="B431" s="1" t="s">
        <v>13</v>
      </c>
      <c r="C431" s="1" t="s">
        <v>90</v>
      </c>
      <c r="D431" s="1" t="s">
        <v>15</v>
      </c>
      <c r="E431" s="1">
        <v>45</v>
      </c>
      <c r="F431" s="1" t="s">
        <v>50</v>
      </c>
      <c r="G431" s="1" t="s">
        <v>17</v>
      </c>
      <c r="H431" s="1" t="s">
        <v>1307</v>
      </c>
      <c r="I431" s="1">
        <v>68220</v>
      </c>
      <c r="J431" s="1" t="s">
        <v>80</v>
      </c>
      <c r="K431" s="1" t="s">
        <v>1308</v>
      </c>
      <c r="L431" s="1" t="s">
        <v>21</v>
      </c>
      <c r="M431" s="1" t="s">
        <v>1511</v>
      </c>
      <c r="N431" s="1">
        <v>5</v>
      </c>
      <c r="O431" s="1">
        <v>78453</v>
      </c>
    </row>
    <row r="432" spans="1:15" x14ac:dyDescent="0.3">
      <c r="A432" s="1" t="s">
        <v>1309</v>
      </c>
      <c r="B432" s="1" t="s">
        <v>49</v>
      </c>
      <c r="C432" s="1" t="s">
        <v>130</v>
      </c>
      <c r="D432" s="1" t="s">
        <v>15</v>
      </c>
      <c r="E432" s="1">
        <v>60</v>
      </c>
      <c r="F432" s="1" t="s">
        <v>39</v>
      </c>
      <c r="G432" s="1" t="s">
        <v>32</v>
      </c>
      <c r="H432" s="1" t="s">
        <v>1310</v>
      </c>
      <c r="I432" s="1">
        <v>115147</v>
      </c>
      <c r="J432" s="1" t="s">
        <v>34</v>
      </c>
      <c r="K432" s="1" t="s">
        <v>1311</v>
      </c>
      <c r="L432" s="1" t="s">
        <v>36</v>
      </c>
      <c r="M432" s="1" t="s">
        <v>1517</v>
      </c>
      <c r="N432" s="1">
        <v>2</v>
      </c>
      <c r="O432" s="1">
        <v>120904.35</v>
      </c>
    </row>
    <row r="433" spans="1:15" x14ac:dyDescent="0.3">
      <c r="A433" s="1" t="s">
        <v>1312</v>
      </c>
      <c r="B433" s="1" t="s">
        <v>94</v>
      </c>
      <c r="C433" s="1" t="s">
        <v>45</v>
      </c>
      <c r="D433" s="1" t="s">
        <v>15</v>
      </c>
      <c r="E433" s="1">
        <v>54</v>
      </c>
      <c r="F433" s="1" t="s">
        <v>50</v>
      </c>
      <c r="G433" s="1" t="s">
        <v>26</v>
      </c>
      <c r="H433" s="1" t="s">
        <v>1313</v>
      </c>
      <c r="I433" s="1">
        <v>68028</v>
      </c>
      <c r="J433" s="1" t="s">
        <v>19</v>
      </c>
      <c r="K433" s="1" t="s">
        <v>1314</v>
      </c>
      <c r="L433" s="1" t="s">
        <v>36</v>
      </c>
      <c r="M433" s="1" t="s">
        <v>1511</v>
      </c>
      <c r="N433" s="1">
        <v>4</v>
      </c>
      <c r="O433" s="1">
        <v>74830.8</v>
      </c>
    </row>
    <row r="434" spans="1:15" x14ac:dyDescent="0.3">
      <c r="A434" s="1" t="s">
        <v>1315</v>
      </c>
      <c r="B434" s="1" t="s">
        <v>38</v>
      </c>
      <c r="C434" s="1" t="s">
        <v>45</v>
      </c>
      <c r="D434" s="1" t="s">
        <v>24</v>
      </c>
      <c r="E434" s="1">
        <v>52</v>
      </c>
      <c r="F434" s="1" t="s">
        <v>39</v>
      </c>
      <c r="G434" s="1" t="s">
        <v>108</v>
      </c>
      <c r="H434" s="1" t="s">
        <v>1316</v>
      </c>
      <c r="I434" s="1">
        <v>46732</v>
      </c>
      <c r="J434" s="1" t="s">
        <v>65</v>
      </c>
      <c r="K434" s="1" t="s">
        <v>1317</v>
      </c>
      <c r="L434" s="1" t="s">
        <v>36</v>
      </c>
      <c r="M434" s="1" t="s">
        <v>1517</v>
      </c>
      <c r="N434" s="1">
        <v>1</v>
      </c>
      <c r="O434" s="1">
        <v>49068.6</v>
      </c>
    </row>
    <row r="435" spans="1:15" x14ac:dyDescent="0.3">
      <c r="A435" s="1" t="s">
        <v>1318</v>
      </c>
      <c r="B435" s="1" t="s">
        <v>44</v>
      </c>
      <c r="C435" s="1" t="s">
        <v>130</v>
      </c>
      <c r="D435" s="1" t="s">
        <v>24</v>
      </c>
      <c r="E435" s="1">
        <v>53</v>
      </c>
      <c r="F435" s="1" t="s">
        <v>16</v>
      </c>
      <c r="G435" s="1" t="s">
        <v>108</v>
      </c>
      <c r="H435" s="1" t="s">
        <v>1319</v>
      </c>
      <c r="I435" s="1">
        <v>37701</v>
      </c>
      <c r="J435" s="1" t="s">
        <v>34</v>
      </c>
      <c r="K435" s="1" t="s">
        <v>1320</v>
      </c>
      <c r="L435" s="1" t="s">
        <v>36</v>
      </c>
      <c r="M435" s="1" t="s">
        <v>1509</v>
      </c>
      <c r="N435" s="1">
        <v>4</v>
      </c>
      <c r="O435" s="1">
        <v>41471.1</v>
      </c>
    </row>
    <row r="436" spans="1:15" x14ac:dyDescent="0.3">
      <c r="A436" s="1" t="s">
        <v>1321</v>
      </c>
      <c r="B436" s="1" t="s">
        <v>49</v>
      </c>
      <c r="C436" s="1" t="s">
        <v>45</v>
      </c>
      <c r="D436" s="1" t="s">
        <v>15</v>
      </c>
      <c r="E436" s="1">
        <v>51</v>
      </c>
      <c r="F436" s="1" t="s">
        <v>16</v>
      </c>
      <c r="G436" s="1" t="s">
        <v>26</v>
      </c>
      <c r="H436" s="1" t="s">
        <v>822</v>
      </c>
      <c r="I436" s="1">
        <v>103930</v>
      </c>
      <c r="J436" s="1" t="s">
        <v>60</v>
      </c>
      <c r="K436" s="1" t="s">
        <v>1322</v>
      </c>
      <c r="L436" s="1" t="s">
        <v>36</v>
      </c>
      <c r="M436" s="1" t="s">
        <v>1509</v>
      </c>
      <c r="N436" s="1">
        <v>1</v>
      </c>
      <c r="O436" s="1">
        <v>109126.5</v>
      </c>
    </row>
    <row r="437" spans="1:15" x14ac:dyDescent="0.3">
      <c r="A437" s="1" t="s">
        <v>1323</v>
      </c>
      <c r="B437" s="1" t="s">
        <v>143</v>
      </c>
      <c r="C437" s="1" t="s">
        <v>90</v>
      </c>
      <c r="D437" s="1" t="s">
        <v>15</v>
      </c>
      <c r="E437" s="1">
        <v>41</v>
      </c>
      <c r="F437" s="1" t="s">
        <v>25</v>
      </c>
      <c r="G437" s="1" t="s">
        <v>17</v>
      </c>
      <c r="H437" s="1" t="s">
        <v>1041</v>
      </c>
      <c r="I437" s="1">
        <v>83188</v>
      </c>
      <c r="J437" s="1" t="s">
        <v>80</v>
      </c>
      <c r="K437" s="1" t="s">
        <v>1324</v>
      </c>
      <c r="L437" s="1" t="s">
        <v>21</v>
      </c>
      <c r="M437" s="1" t="s">
        <v>1513</v>
      </c>
      <c r="N437" s="1">
        <v>1</v>
      </c>
      <c r="O437" s="1">
        <v>87347.4</v>
      </c>
    </row>
    <row r="438" spans="1:15" x14ac:dyDescent="0.3">
      <c r="A438" s="1" t="s">
        <v>1325</v>
      </c>
      <c r="B438" s="1" t="s">
        <v>13</v>
      </c>
      <c r="C438" s="1" t="s">
        <v>95</v>
      </c>
      <c r="D438" s="1" t="s">
        <v>24</v>
      </c>
      <c r="E438" s="1">
        <v>23</v>
      </c>
      <c r="F438" s="1" t="s">
        <v>39</v>
      </c>
      <c r="G438" s="1" t="s">
        <v>26</v>
      </c>
      <c r="H438" s="1" t="s">
        <v>1326</v>
      </c>
      <c r="I438" s="1">
        <v>50616</v>
      </c>
      <c r="J438" s="1" t="s">
        <v>60</v>
      </c>
      <c r="K438" s="1" t="s">
        <v>1327</v>
      </c>
      <c r="L438" s="1" t="s">
        <v>36</v>
      </c>
      <c r="M438" s="1" t="s">
        <v>1517</v>
      </c>
      <c r="N438" s="1">
        <v>2</v>
      </c>
      <c r="O438" s="1">
        <v>53146.8</v>
      </c>
    </row>
    <row r="439" spans="1:15" x14ac:dyDescent="0.3">
      <c r="A439" s="1" t="s">
        <v>1328</v>
      </c>
      <c r="B439" s="1" t="s">
        <v>94</v>
      </c>
      <c r="C439" s="1" t="s">
        <v>130</v>
      </c>
      <c r="D439" s="1" t="s">
        <v>24</v>
      </c>
      <c r="E439" s="1">
        <v>52</v>
      </c>
      <c r="F439" s="1" t="s">
        <v>39</v>
      </c>
      <c r="G439" s="1" t="s">
        <v>17</v>
      </c>
      <c r="H439" s="1" t="s">
        <v>1329</v>
      </c>
      <c r="I439" s="1">
        <v>80964</v>
      </c>
      <c r="J439" s="1" t="s">
        <v>60</v>
      </c>
      <c r="K439" s="1" t="s">
        <v>1330</v>
      </c>
      <c r="L439" s="1" t="s">
        <v>21</v>
      </c>
      <c r="M439" s="1" t="s">
        <v>1517</v>
      </c>
      <c r="N439" s="1">
        <v>2</v>
      </c>
      <c r="O439" s="1">
        <v>85012.2</v>
      </c>
    </row>
    <row r="440" spans="1:15" x14ac:dyDescent="0.3">
      <c r="A440" s="1" t="s">
        <v>1331</v>
      </c>
      <c r="B440" s="1" t="s">
        <v>38</v>
      </c>
      <c r="C440" s="1" t="s">
        <v>83</v>
      </c>
      <c r="D440" s="1" t="s">
        <v>24</v>
      </c>
      <c r="E440" s="1">
        <v>28</v>
      </c>
      <c r="F440" s="1" t="s">
        <v>39</v>
      </c>
      <c r="G440" s="1" t="s">
        <v>26</v>
      </c>
      <c r="H440" s="1" t="s">
        <v>1332</v>
      </c>
      <c r="I440" s="1">
        <v>38806</v>
      </c>
      <c r="J440" s="1" t="s">
        <v>60</v>
      </c>
      <c r="K440" s="1" t="s">
        <v>1333</v>
      </c>
      <c r="L440" s="1" t="s">
        <v>36</v>
      </c>
      <c r="M440" s="1" t="s">
        <v>1517</v>
      </c>
      <c r="N440" s="1">
        <v>2</v>
      </c>
      <c r="O440" s="1">
        <v>40746.300000000003</v>
      </c>
    </row>
    <row r="441" spans="1:15" x14ac:dyDescent="0.3">
      <c r="A441" s="1" t="s">
        <v>1334</v>
      </c>
      <c r="B441" s="1" t="s">
        <v>94</v>
      </c>
      <c r="C441" s="1" t="s">
        <v>83</v>
      </c>
      <c r="D441" s="1" t="s">
        <v>15</v>
      </c>
      <c r="E441" s="1">
        <v>29</v>
      </c>
      <c r="F441" s="1" t="s">
        <v>16</v>
      </c>
      <c r="G441" s="1" t="s">
        <v>32</v>
      </c>
      <c r="H441" s="1" t="s">
        <v>819</v>
      </c>
      <c r="I441" s="1">
        <v>71247</v>
      </c>
      <c r="J441" s="1" t="s">
        <v>60</v>
      </c>
      <c r="K441" s="1" t="s">
        <v>1335</v>
      </c>
      <c r="L441" s="1" t="s">
        <v>36</v>
      </c>
      <c r="M441" s="1" t="s">
        <v>1509</v>
      </c>
      <c r="N441" s="1">
        <v>4</v>
      </c>
      <c r="O441" s="1">
        <v>78371.7</v>
      </c>
    </row>
    <row r="442" spans="1:15" x14ac:dyDescent="0.3">
      <c r="A442" s="1" t="s">
        <v>1336</v>
      </c>
      <c r="B442" s="1" t="s">
        <v>58</v>
      </c>
      <c r="C442" s="1" t="s">
        <v>165</v>
      </c>
      <c r="D442" s="1" t="s">
        <v>15</v>
      </c>
      <c r="E442" s="1">
        <v>29</v>
      </c>
      <c r="F442" s="1" t="s">
        <v>39</v>
      </c>
      <c r="G442" s="1" t="s">
        <v>40</v>
      </c>
      <c r="H442" s="1" t="s">
        <v>1337</v>
      </c>
      <c r="I442" s="1">
        <v>109197</v>
      </c>
      <c r="J442" s="1" t="s">
        <v>80</v>
      </c>
      <c r="K442" s="1" t="s">
        <v>1338</v>
      </c>
      <c r="L442" s="1" t="s">
        <v>36</v>
      </c>
      <c r="M442" s="1" t="s">
        <v>1517</v>
      </c>
      <c r="N442" s="1">
        <v>2</v>
      </c>
      <c r="O442" s="1">
        <v>114656.85</v>
      </c>
    </row>
    <row r="443" spans="1:15" x14ac:dyDescent="0.3">
      <c r="A443" s="1" t="s">
        <v>1339</v>
      </c>
      <c r="B443" s="1" t="s">
        <v>44</v>
      </c>
      <c r="C443" s="1" t="s">
        <v>63</v>
      </c>
      <c r="D443" s="1" t="s">
        <v>24</v>
      </c>
      <c r="E443" s="1">
        <v>47</v>
      </c>
      <c r="F443" s="1" t="s">
        <v>31</v>
      </c>
      <c r="G443" s="1" t="s">
        <v>40</v>
      </c>
      <c r="H443" s="1" t="s">
        <v>1340</v>
      </c>
      <c r="I443" s="1">
        <v>77368</v>
      </c>
      <c r="J443" s="1" t="s">
        <v>19</v>
      </c>
      <c r="K443" s="1" t="s">
        <v>1341</v>
      </c>
      <c r="L443" s="1" t="s">
        <v>21</v>
      </c>
      <c r="M443" s="1" t="s">
        <v>1515</v>
      </c>
      <c r="N443" s="1">
        <v>2</v>
      </c>
      <c r="O443" s="1">
        <v>81236.399999999994</v>
      </c>
    </row>
    <row r="444" spans="1:15" x14ac:dyDescent="0.3">
      <c r="A444" s="1" t="s">
        <v>1342</v>
      </c>
      <c r="B444" s="1" t="s">
        <v>71</v>
      </c>
      <c r="C444" s="1" t="s">
        <v>165</v>
      </c>
      <c r="D444" s="1" t="s">
        <v>24</v>
      </c>
      <c r="E444" s="1">
        <v>41</v>
      </c>
      <c r="F444" s="1" t="s">
        <v>16</v>
      </c>
      <c r="G444" s="1" t="s">
        <v>32</v>
      </c>
      <c r="H444" s="1" t="s">
        <v>1343</v>
      </c>
      <c r="I444" s="1">
        <v>62102</v>
      </c>
      <c r="J444" s="1" t="s">
        <v>80</v>
      </c>
      <c r="K444" s="1" t="s">
        <v>1344</v>
      </c>
      <c r="L444" s="1" t="s">
        <v>36</v>
      </c>
      <c r="M444" s="1" t="s">
        <v>1509</v>
      </c>
      <c r="N444" s="1">
        <v>2</v>
      </c>
      <c r="O444" s="1">
        <v>65207.1</v>
      </c>
    </row>
    <row r="445" spans="1:15" x14ac:dyDescent="0.3">
      <c r="A445" s="1" t="s">
        <v>1345</v>
      </c>
      <c r="B445" s="1" t="s">
        <v>44</v>
      </c>
      <c r="C445" s="1" t="s">
        <v>14</v>
      </c>
      <c r="D445" s="1" t="s">
        <v>24</v>
      </c>
      <c r="E445" s="1">
        <v>40</v>
      </c>
      <c r="F445" s="1" t="s">
        <v>16</v>
      </c>
      <c r="G445" s="1" t="s">
        <v>40</v>
      </c>
      <c r="H445" s="1" t="s">
        <v>1346</v>
      </c>
      <c r="I445" s="1">
        <v>66499</v>
      </c>
      <c r="J445" s="1" t="s">
        <v>80</v>
      </c>
      <c r="K445" s="1" t="s">
        <v>1347</v>
      </c>
      <c r="L445" s="1" t="s">
        <v>21</v>
      </c>
      <c r="M445" s="1" t="s">
        <v>1509</v>
      </c>
      <c r="N445" s="1">
        <v>2</v>
      </c>
      <c r="O445" s="1">
        <v>69823.95</v>
      </c>
    </row>
    <row r="446" spans="1:15" x14ac:dyDescent="0.3">
      <c r="A446" s="1" t="s">
        <v>1348</v>
      </c>
      <c r="B446" s="1" t="s">
        <v>13</v>
      </c>
      <c r="C446" s="1" t="s">
        <v>23</v>
      </c>
      <c r="D446" s="1" t="s">
        <v>24</v>
      </c>
      <c r="E446" s="1">
        <v>47</v>
      </c>
      <c r="F446" s="1" t="s">
        <v>31</v>
      </c>
      <c r="G446" s="1" t="s">
        <v>108</v>
      </c>
      <c r="H446" s="1" t="s">
        <v>1349</v>
      </c>
      <c r="I446" s="1">
        <v>114326</v>
      </c>
      <c r="J446" s="1" t="s">
        <v>34</v>
      </c>
      <c r="K446" s="1" t="s">
        <v>1350</v>
      </c>
      <c r="L446" s="1" t="s">
        <v>36</v>
      </c>
      <c r="M446" s="1" t="s">
        <v>1515</v>
      </c>
      <c r="N446" s="1">
        <v>2</v>
      </c>
      <c r="O446" s="1">
        <v>120042.3</v>
      </c>
    </row>
    <row r="447" spans="1:15" x14ac:dyDescent="0.3">
      <c r="A447" s="1" t="s">
        <v>1351</v>
      </c>
      <c r="B447" s="1" t="s">
        <v>54</v>
      </c>
      <c r="C447" s="1" t="s">
        <v>78</v>
      </c>
      <c r="D447" s="1" t="s">
        <v>15</v>
      </c>
      <c r="E447" s="1">
        <v>49</v>
      </c>
      <c r="F447" s="1" t="s">
        <v>25</v>
      </c>
      <c r="G447" s="1" t="s">
        <v>32</v>
      </c>
      <c r="H447" s="1" t="s">
        <v>1352</v>
      </c>
      <c r="I447" s="1">
        <v>98144</v>
      </c>
      <c r="J447" s="1" t="s">
        <v>65</v>
      </c>
      <c r="K447" s="1" t="s">
        <v>1353</v>
      </c>
      <c r="L447" s="1" t="s">
        <v>36</v>
      </c>
      <c r="M447" s="1" t="s">
        <v>1513</v>
      </c>
      <c r="N447" s="1">
        <v>1</v>
      </c>
      <c r="O447" s="1">
        <v>103051.2</v>
      </c>
    </row>
    <row r="448" spans="1:15" x14ac:dyDescent="0.3">
      <c r="A448" s="1" t="s">
        <v>1354</v>
      </c>
      <c r="B448" s="1" t="s">
        <v>143</v>
      </c>
      <c r="C448" s="1" t="s">
        <v>95</v>
      </c>
      <c r="D448" s="1" t="s">
        <v>15</v>
      </c>
      <c r="E448" s="1">
        <v>50</v>
      </c>
      <c r="F448" s="1" t="s">
        <v>50</v>
      </c>
      <c r="G448" s="1" t="s">
        <v>40</v>
      </c>
      <c r="H448" s="1" t="s">
        <v>1355</v>
      </c>
      <c r="I448" s="1">
        <v>61804</v>
      </c>
      <c r="J448" s="1" t="s">
        <v>60</v>
      </c>
      <c r="K448" s="1" t="s">
        <v>1356</v>
      </c>
      <c r="L448" s="1" t="s">
        <v>21</v>
      </c>
      <c r="M448" s="1" t="s">
        <v>1511</v>
      </c>
      <c r="N448" s="1">
        <v>1</v>
      </c>
      <c r="O448" s="1">
        <v>64894.2</v>
      </c>
    </row>
    <row r="449" spans="1:15" x14ac:dyDescent="0.3">
      <c r="A449" s="1" t="s">
        <v>1357</v>
      </c>
      <c r="B449" s="1" t="s">
        <v>94</v>
      </c>
      <c r="C449" s="1" t="s">
        <v>130</v>
      </c>
      <c r="D449" s="1" t="s">
        <v>15</v>
      </c>
      <c r="E449" s="1">
        <v>24</v>
      </c>
      <c r="F449" s="1" t="s">
        <v>16</v>
      </c>
      <c r="G449" s="1" t="s">
        <v>32</v>
      </c>
      <c r="H449" s="1" t="s">
        <v>1358</v>
      </c>
      <c r="I449" s="1">
        <v>42829</v>
      </c>
      <c r="J449" s="1" t="s">
        <v>80</v>
      </c>
      <c r="K449" s="1" t="s">
        <v>1359</v>
      </c>
      <c r="L449" s="1" t="s">
        <v>21</v>
      </c>
      <c r="M449" s="1" t="s">
        <v>1509</v>
      </c>
      <c r="N449" s="1">
        <v>4</v>
      </c>
      <c r="O449" s="1">
        <v>47111.9</v>
      </c>
    </row>
    <row r="450" spans="1:15" x14ac:dyDescent="0.3">
      <c r="A450" s="1" t="s">
        <v>1360</v>
      </c>
      <c r="B450" s="1" t="s">
        <v>13</v>
      </c>
      <c r="C450" s="1" t="s">
        <v>45</v>
      </c>
      <c r="D450" s="1" t="s">
        <v>24</v>
      </c>
      <c r="E450" s="1">
        <v>39</v>
      </c>
      <c r="F450" s="1" t="s">
        <v>50</v>
      </c>
      <c r="G450" s="1" t="s">
        <v>108</v>
      </c>
      <c r="H450" s="1" t="s">
        <v>1361</v>
      </c>
      <c r="I450" s="1">
        <v>55874</v>
      </c>
      <c r="J450" s="1" t="s">
        <v>60</v>
      </c>
      <c r="K450" s="1" t="s">
        <v>1362</v>
      </c>
      <c r="L450" s="1" t="s">
        <v>36</v>
      </c>
      <c r="M450" s="1" t="s">
        <v>1511</v>
      </c>
      <c r="N450" s="1">
        <v>1</v>
      </c>
      <c r="O450" s="1">
        <v>58667.7</v>
      </c>
    </row>
    <row r="451" spans="1:15" x14ac:dyDescent="0.3">
      <c r="A451" s="1" t="s">
        <v>1363</v>
      </c>
      <c r="B451" s="1" t="s">
        <v>49</v>
      </c>
      <c r="C451" s="1" t="s">
        <v>78</v>
      </c>
      <c r="D451" s="1" t="s">
        <v>15</v>
      </c>
      <c r="E451" s="1">
        <v>48</v>
      </c>
      <c r="F451" s="1" t="s">
        <v>31</v>
      </c>
      <c r="G451" s="1" t="s">
        <v>108</v>
      </c>
      <c r="H451" s="1" t="s">
        <v>1364</v>
      </c>
      <c r="I451" s="1">
        <v>110269</v>
      </c>
      <c r="J451" s="1" t="s">
        <v>65</v>
      </c>
      <c r="K451" s="1" t="s">
        <v>1365</v>
      </c>
      <c r="L451" s="1" t="s">
        <v>36</v>
      </c>
      <c r="M451" s="1" t="s">
        <v>1515</v>
      </c>
      <c r="N451" s="1">
        <v>2</v>
      </c>
      <c r="O451" s="1">
        <v>115782.45</v>
      </c>
    </row>
    <row r="452" spans="1:15" x14ac:dyDescent="0.3">
      <c r="A452" s="1" t="s">
        <v>1366</v>
      </c>
      <c r="B452" s="1" t="s">
        <v>71</v>
      </c>
      <c r="C452" s="1" t="s">
        <v>165</v>
      </c>
      <c r="D452" s="1" t="s">
        <v>15</v>
      </c>
      <c r="E452" s="1">
        <v>49</v>
      </c>
      <c r="F452" s="1" t="s">
        <v>50</v>
      </c>
      <c r="G452" s="1" t="s">
        <v>17</v>
      </c>
      <c r="H452" s="1" t="s">
        <v>1367</v>
      </c>
      <c r="I452" s="1">
        <v>97118</v>
      </c>
      <c r="J452" s="1" t="s">
        <v>65</v>
      </c>
      <c r="K452" s="1" t="s">
        <v>1368</v>
      </c>
      <c r="L452" s="1" t="s">
        <v>36</v>
      </c>
      <c r="M452" s="1" t="s">
        <v>1511</v>
      </c>
      <c r="N452" s="1">
        <v>5</v>
      </c>
      <c r="O452" s="1">
        <v>111685.7</v>
      </c>
    </row>
    <row r="453" spans="1:15" x14ac:dyDescent="0.3">
      <c r="A453" s="1" t="s">
        <v>1369</v>
      </c>
      <c r="B453" s="1" t="s">
        <v>49</v>
      </c>
      <c r="C453" s="1" t="s">
        <v>23</v>
      </c>
      <c r="D453" s="1" t="s">
        <v>15</v>
      </c>
      <c r="E453" s="1">
        <v>25</v>
      </c>
      <c r="F453" s="1" t="s">
        <v>50</v>
      </c>
      <c r="G453" s="1" t="s">
        <v>108</v>
      </c>
      <c r="H453" s="1" t="s">
        <v>1370</v>
      </c>
      <c r="I453" s="1">
        <v>73245</v>
      </c>
      <c r="J453" s="1" t="s">
        <v>34</v>
      </c>
      <c r="K453" s="1" t="s">
        <v>1371</v>
      </c>
      <c r="L453" s="1" t="s">
        <v>36</v>
      </c>
      <c r="M453" s="1" t="s">
        <v>1511</v>
      </c>
      <c r="N453" s="1">
        <v>3</v>
      </c>
      <c r="O453" s="1">
        <v>78372.149999999994</v>
      </c>
    </row>
    <row r="454" spans="1:15" x14ac:dyDescent="0.3">
      <c r="A454" s="1" t="s">
        <v>1372</v>
      </c>
      <c r="B454" s="1" t="s">
        <v>38</v>
      </c>
      <c r="C454" s="1" t="s">
        <v>130</v>
      </c>
      <c r="D454" s="1" t="s">
        <v>15</v>
      </c>
      <c r="E454" s="1">
        <v>53</v>
      </c>
      <c r="F454" s="1" t="s">
        <v>50</v>
      </c>
      <c r="G454" s="1" t="s">
        <v>108</v>
      </c>
      <c r="H454" s="1" t="s">
        <v>1373</v>
      </c>
      <c r="I454" s="1">
        <v>35589</v>
      </c>
      <c r="J454" s="1" t="s">
        <v>60</v>
      </c>
      <c r="K454" s="1" t="s">
        <v>1374</v>
      </c>
      <c r="L454" s="1" t="s">
        <v>36</v>
      </c>
      <c r="M454" s="1" t="s">
        <v>1511</v>
      </c>
      <c r="N454" s="1">
        <v>4</v>
      </c>
      <c r="O454" s="1">
        <v>39147.9</v>
      </c>
    </row>
    <row r="455" spans="1:15" x14ac:dyDescent="0.3">
      <c r="A455" s="1" t="s">
        <v>1375</v>
      </c>
      <c r="B455" s="1" t="s">
        <v>30</v>
      </c>
      <c r="C455" s="1" t="s">
        <v>90</v>
      </c>
      <c r="D455" s="1" t="s">
        <v>24</v>
      </c>
      <c r="E455" s="1">
        <v>35</v>
      </c>
      <c r="F455" s="1" t="s">
        <v>39</v>
      </c>
      <c r="G455" s="1" t="s">
        <v>40</v>
      </c>
      <c r="H455" s="1" t="s">
        <v>1376</v>
      </c>
      <c r="I455" s="1">
        <v>79751</v>
      </c>
      <c r="J455" s="1" t="s">
        <v>19</v>
      </c>
      <c r="K455" s="1" t="s">
        <v>1377</v>
      </c>
      <c r="L455" s="1" t="s">
        <v>21</v>
      </c>
      <c r="M455" s="1" t="s">
        <v>1517</v>
      </c>
      <c r="N455" s="1">
        <v>2</v>
      </c>
      <c r="O455" s="1">
        <v>83738.55</v>
      </c>
    </row>
    <row r="456" spans="1:15" x14ac:dyDescent="0.3">
      <c r="A456" s="1" t="s">
        <v>1378</v>
      </c>
      <c r="B456" s="1" t="s">
        <v>143</v>
      </c>
      <c r="C456" s="1" t="s">
        <v>14</v>
      </c>
      <c r="D456" s="1" t="s">
        <v>24</v>
      </c>
      <c r="E456" s="1">
        <v>53</v>
      </c>
      <c r="F456" s="1" t="s">
        <v>25</v>
      </c>
      <c r="G456" s="1" t="s">
        <v>108</v>
      </c>
      <c r="H456" s="1" t="s">
        <v>1379</v>
      </c>
      <c r="I456" s="1">
        <v>67994</v>
      </c>
      <c r="J456" s="1" t="s">
        <v>34</v>
      </c>
      <c r="K456" s="1" t="s">
        <v>1380</v>
      </c>
      <c r="L456" s="1" t="s">
        <v>21</v>
      </c>
      <c r="M456" s="1" t="s">
        <v>1513</v>
      </c>
      <c r="N456" s="1">
        <v>3</v>
      </c>
      <c r="O456" s="1">
        <v>72753.58</v>
      </c>
    </row>
    <row r="457" spans="1:15" x14ac:dyDescent="0.3">
      <c r="A457" s="1" t="s">
        <v>1381</v>
      </c>
      <c r="B457" s="1" t="s">
        <v>143</v>
      </c>
      <c r="C457" s="1" t="s">
        <v>78</v>
      </c>
      <c r="D457" s="1" t="s">
        <v>24</v>
      </c>
      <c r="E457" s="1">
        <v>28</v>
      </c>
      <c r="F457" s="1" t="s">
        <v>39</v>
      </c>
      <c r="G457" s="1" t="s">
        <v>26</v>
      </c>
      <c r="H457" s="1" t="s">
        <v>1382</v>
      </c>
      <c r="I457" s="1">
        <v>51178</v>
      </c>
      <c r="J457" s="1" t="s">
        <v>19</v>
      </c>
      <c r="K457" s="1" t="s">
        <v>1383</v>
      </c>
      <c r="L457" s="1" t="s">
        <v>21</v>
      </c>
      <c r="M457" s="1" t="s">
        <v>1517</v>
      </c>
      <c r="N457" s="1">
        <v>4</v>
      </c>
      <c r="O457" s="1">
        <v>56295.8</v>
      </c>
    </row>
    <row r="458" spans="1:15" x14ac:dyDescent="0.3">
      <c r="A458" s="1" t="s">
        <v>1384</v>
      </c>
      <c r="B458" s="1" t="s">
        <v>44</v>
      </c>
      <c r="C458" s="1" t="s">
        <v>165</v>
      </c>
      <c r="D458" s="1" t="s">
        <v>15</v>
      </c>
      <c r="E458" s="1">
        <v>29</v>
      </c>
      <c r="F458" s="1" t="s">
        <v>16</v>
      </c>
      <c r="G458" s="1" t="s">
        <v>108</v>
      </c>
      <c r="H458" s="1" t="s">
        <v>1385</v>
      </c>
      <c r="I458" s="1">
        <v>40759</v>
      </c>
      <c r="J458" s="1" t="s">
        <v>65</v>
      </c>
      <c r="K458" s="1" t="s">
        <v>1386</v>
      </c>
      <c r="L458" s="1" t="s">
        <v>21</v>
      </c>
      <c r="M458" s="1" t="s">
        <v>1509</v>
      </c>
      <c r="N458" s="1">
        <v>1</v>
      </c>
      <c r="O458" s="1">
        <v>42796.95</v>
      </c>
    </row>
    <row r="459" spans="1:15" x14ac:dyDescent="0.3">
      <c r="A459" s="1" t="s">
        <v>1387</v>
      </c>
      <c r="B459" s="1" t="s">
        <v>38</v>
      </c>
      <c r="C459" s="1" t="s">
        <v>78</v>
      </c>
      <c r="D459" s="1" t="s">
        <v>15</v>
      </c>
      <c r="E459" s="1">
        <v>32</v>
      </c>
      <c r="F459" s="1" t="s">
        <v>16</v>
      </c>
      <c r="G459" s="1" t="s">
        <v>26</v>
      </c>
      <c r="H459" s="1" t="s">
        <v>1388</v>
      </c>
      <c r="I459" s="1">
        <v>98394</v>
      </c>
      <c r="J459" s="1" t="s">
        <v>19</v>
      </c>
      <c r="K459" s="1" t="s">
        <v>1389</v>
      </c>
      <c r="L459" s="1" t="s">
        <v>36</v>
      </c>
      <c r="M459" s="1" t="s">
        <v>1509</v>
      </c>
      <c r="N459" s="1">
        <v>4</v>
      </c>
      <c r="O459" s="1">
        <v>108233.4</v>
      </c>
    </row>
    <row r="460" spans="1:15" x14ac:dyDescent="0.3">
      <c r="A460" s="1" t="s">
        <v>1390</v>
      </c>
      <c r="B460" s="1" t="s">
        <v>54</v>
      </c>
      <c r="C460" s="1" t="s">
        <v>14</v>
      </c>
      <c r="D460" s="1" t="s">
        <v>15</v>
      </c>
      <c r="E460" s="1">
        <v>37</v>
      </c>
      <c r="F460" s="1" t="s">
        <v>50</v>
      </c>
      <c r="G460" s="1" t="s">
        <v>32</v>
      </c>
      <c r="H460" s="1" t="s">
        <v>1391</v>
      </c>
      <c r="I460" s="1">
        <v>90148</v>
      </c>
      <c r="J460" s="1" t="s">
        <v>65</v>
      </c>
      <c r="K460" s="1" t="s">
        <v>1392</v>
      </c>
      <c r="L460" s="1" t="s">
        <v>21</v>
      </c>
      <c r="M460" s="1" t="s">
        <v>1511</v>
      </c>
      <c r="N460" s="1">
        <v>3</v>
      </c>
      <c r="O460" s="1">
        <v>96458.36</v>
      </c>
    </row>
    <row r="461" spans="1:15" x14ac:dyDescent="0.3">
      <c r="A461" s="1" t="s">
        <v>1393</v>
      </c>
      <c r="B461" s="1" t="s">
        <v>30</v>
      </c>
      <c r="C461" s="1" t="s">
        <v>45</v>
      </c>
      <c r="D461" s="1" t="s">
        <v>24</v>
      </c>
      <c r="E461" s="1">
        <v>32</v>
      </c>
      <c r="F461" s="1" t="s">
        <v>31</v>
      </c>
      <c r="G461" s="1" t="s">
        <v>17</v>
      </c>
      <c r="H461" s="1" t="s">
        <v>460</v>
      </c>
      <c r="I461" s="1">
        <v>63176</v>
      </c>
      <c r="J461" s="1" t="s">
        <v>34</v>
      </c>
      <c r="K461" s="1" t="s">
        <v>1394</v>
      </c>
      <c r="L461" s="1" t="s">
        <v>21</v>
      </c>
      <c r="M461" s="1" t="s">
        <v>1515</v>
      </c>
      <c r="N461" s="1">
        <v>1</v>
      </c>
      <c r="O461" s="1">
        <v>66334.8</v>
      </c>
    </row>
    <row r="462" spans="1:15" x14ac:dyDescent="0.3">
      <c r="A462" s="1" t="s">
        <v>1395</v>
      </c>
      <c r="B462" s="1" t="s">
        <v>94</v>
      </c>
      <c r="C462" s="1" t="s">
        <v>90</v>
      </c>
      <c r="D462" s="1" t="s">
        <v>24</v>
      </c>
      <c r="E462" s="1">
        <v>55</v>
      </c>
      <c r="F462" s="1" t="s">
        <v>25</v>
      </c>
      <c r="G462" s="1" t="s">
        <v>26</v>
      </c>
      <c r="H462" s="1" t="s">
        <v>1396</v>
      </c>
      <c r="I462" s="1">
        <v>86434</v>
      </c>
      <c r="J462" s="1" t="s">
        <v>65</v>
      </c>
      <c r="K462" s="1" t="s">
        <v>1397</v>
      </c>
      <c r="L462" s="1" t="s">
        <v>36</v>
      </c>
      <c r="M462" s="1" t="s">
        <v>1513</v>
      </c>
      <c r="N462" s="1">
        <v>2</v>
      </c>
      <c r="O462" s="1">
        <v>90755.7</v>
      </c>
    </row>
    <row r="463" spans="1:15" x14ac:dyDescent="0.3">
      <c r="A463" s="1" t="s">
        <v>1398</v>
      </c>
      <c r="B463" s="1" t="s">
        <v>143</v>
      </c>
      <c r="C463" s="1" t="s">
        <v>90</v>
      </c>
      <c r="D463" s="1" t="s">
        <v>15</v>
      </c>
      <c r="E463" s="1">
        <v>42</v>
      </c>
      <c r="F463" s="1" t="s">
        <v>39</v>
      </c>
      <c r="G463" s="1" t="s">
        <v>17</v>
      </c>
      <c r="H463" s="1" t="s">
        <v>1399</v>
      </c>
      <c r="I463" s="1">
        <v>70836</v>
      </c>
      <c r="J463" s="1" t="s">
        <v>65</v>
      </c>
      <c r="K463" s="1" t="s">
        <v>1400</v>
      </c>
      <c r="L463" s="1" t="s">
        <v>36</v>
      </c>
      <c r="M463" s="1" t="s">
        <v>1517</v>
      </c>
      <c r="N463" s="1">
        <v>2</v>
      </c>
      <c r="O463" s="1">
        <v>74377.8</v>
      </c>
    </row>
    <row r="464" spans="1:15" x14ac:dyDescent="0.3">
      <c r="A464" s="1" t="s">
        <v>1401</v>
      </c>
      <c r="B464" s="1" t="s">
        <v>38</v>
      </c>
      <c r="C464" s="1" t="s">
        <v>95</v>
      </c>
      <c r="D464" s="1" t="s">
        <v>24</v>
      </c>
      <c r="E464" s="1">
        <v>49</v>
      </c>
      <c r="F464" s="1" t="s">
        <v>31</v>
      </c>
      <c r="G464" s="1" t="s">
        <v>32</v>
      </c>
      <c r="H464" s="1" t="s">
        <v>1402</v>
      </c>
      <c r="I464" s="1">
        <v>40805</v>
      </c>
      <c r="J464" s="1" t="s">
        <v>19</v>
      </c>
      <c r="K464" s="1" t="s">
        <v>1403</v>
      </c>
      <c r="L464" s="1" t="s">
        <v>21</v>
      </c>
      <c r="M464" s="1" t="s">
        <v>1515</v>
      </c>
      <c r="N464" s="1">
        <v>1</v>
      </c>
      <c r="O464" s="1">
        <v>42845.25</v>
      </c>
    </row>
    <row r="465" spans="1:15" x14ac:dyDescent="0.3">
      <c r="A465" s="1" t="s">
        <v>1404</v>
      </c>
      <c r="B465" s="1" t="s">
        <v>44</v>
      </c>
      <c r="C465" s="1" t="s">
        <v>165</v>
      </c>
      <c r="D465" s="1" t="s">
        <v>24</v>
      </c>
      <c r="E465" s="1">
        <v>23</v>
      </c>
      <c r="F465" s="1" t="s">
        <v>16</v>
      </c>
      <c r="G465" s="1" t="s">
        <v>40</v>
      </c>
      <c r="H465" s="1" t="s">
        <v>1405</v>
      </c>
      <c r="I465" s="1">
        <v>117635</v>
      </c>
      <c r="J465" s="1" t="s">
        <v>34</v>
      </c>
      <c r="K465" s="1" t="s">
        <v>1406</v>
      </c>
      <c r="L465" s="1" t="s">
        <v>21</v>
      </c>
      <c r="M465" s="1" t="s">
        <v>1509</v>
      </c>
      <c r="N465" s="1">
        <v>4</v>
      </c>
      <c r="O465" s="1">
        <v>129398.5</v>
      </c>
    </row>
    <row r="466" spans="1:15" x14ac:dyDescent="0.3">
      <c r="A466" s="1" t="s">
        <v>1407</v>
      </c>
      <c r="B466" s="1" t="s">
        <v>13</v>
      </c>
      <c r="C466" s="1" t="s">
        <v>83</v>
      </c>
      <c r="D466" s="1" t="s">
        <v>24</v>
      </c>
      <c r="E466" s="1">
        <v>45</v>
      </c>
      <c r="F466" s="1" t="s">
        <v>50</v>
      </c>
      <c r="G466" s="1" t="s">
        <v>40</v>
      </c>
      <c r="H466" s="1" t="s">
        <v>1408</v>
      </c>
      <c r="I466" s="1">
        <v>100678</v>
      </c>
      <c r="J466" s="1" t="s">
        <v>19</v>
      </c>
      <c r="K466" s="1" t="s">
        <v>1409</v>
      </c>
      <c r="L466" s="1" t="s">
        <v>36</v>
      </c>
      <c r="M466" s="1" t="s">
        <v>1511</v>
      </c>
      <c r="N466" s="1">
        <v>3</v>
      </c>
      <c r="O466" s="1">
        <v>107725.46</v>
      </c>
    </row>
    <row r="467" spans="1:15" x14ac:dyDescent="0.3">
      <c r="A467" s="1" t="s">
        <v>1410</v>
      </c>
      <c r="B467" s="1" t="s">
        <v>30</v>
      </c>
      <c r="C467" s="1" t="s">
        <v>95</v>
      </c>
      <c r="D467" s="1" t="s">
        <v>24</v>
      </c>
      <c r="E467" s="1">
        <v>39</v>
      </c>
      <c r="F467" s="1" t="s">
        <v>16</v>
      </c>
      <c r="G467" s="1" t="s">
        <v>108</v>
      </c>
      <c r="H467" s="1" t="s">
        <v>1411</v>
      </c>
      <c r="I467" s="1">
        <v>76443</v>
      </c>
      <c r="J467" s="1" t="s">
        <v>65</v>
      </c>
      <c r="K467" s="1" t="s">
        <v>1412</v>
      </c>
      <c r="L467" s="1" t="s">
        <v>36</v>
      </c>
      <c r="M467" s="1" t="s">
        <v>1509</v>
      </c>
      <c r="N467" s="1">
        <v>1</v>
      </c>
      <c r="O467" s="1">
        <v>80265.149999999994</v>
      </c>
    </row>
    <row r="468" spans="1:15" x14ac:dyDescent="0.3">
      <c r="A468" s="1" t="s">
        <v>1413</v>
      </c>
      <c r="B468" s="1" t="s">
        <v>30</v>
      </c>
      <c r="C468" s="1" t="s">
        <v>90</v>
      </c>
      <c r="D468" s="1" t="s">
        <v>24</v>
      </c>
      <c r="E468" s="1">
        <v>44</v>
      </c>
      <c r="F468" s="1" t="s">
        <v>50</v>
      </c>
      <c r="G468" s="1" t="s">
        <v>26</v>
      </c>
      <c r="H468" s="1" t="s">
        <v>1414</v>
      </c>
      <c r="I468" s="1">
        <v>98210</v>
      </c>
      <c r="J468" s="1" t="s">
        <v>34</v>
      </c>
      <c r="K468" s="1" t="s">
        <v>1415</v>
      </c>
      <c r="L468" s="1" t="s">
        <v>21</v>
      </c>
      <c r="M468" s="1" t="s">
        <v>1511</v>
      </c>
      <c r="N468" s="1">
        <v>2</v>
      </c>
      <c r="O468" s="1">
        <v>103120.5</v>
      </c>
    </row>
    <row r="469" spans="1:15" x14ac:dyDescent="0.3">
      <c r="A469" s="1" t="s">
        <v>1416</v>
      </c>
      <c r="B469" s="1" t="s">
        <v>30</v>
      </c>
      <c r="C469" s="1" t="s">
        <v>83</v>
      </c>
      <c r="D469" s="1" t="s">
        <v>24</v>
      </c>
      <c r="E469" s="1">
        <v>60</v>
      </c>
      <c r="F469" s="1" t="s">
        <v>16</v>
      </c>
      <c r="G469" s="1" t="s">
        <v>40</v>
      </c>
      <c r="H469" s="1" t="s">
        <v>1417</v>
      </c>
      <c r="I469" s="1">
        <v>83719</v>
      </c>
      <c r="J469" s="1" t="s">
        <v>34</v>
      </c>
      <c r="K469" s="1" t="s">
        <v>1418</v>
      </c>
      <c r="L469" s="1" t="s">
        <v>36</v>
      </c>
      <c r="M469" s="1" t="s">
        <v>1509</v>
      </c>
      <c r="N469" s="1">
        <v>2</v>
      </c>
      <c r="O469" s="1">
        <v>87904.95</v>
      </c>
    </row>
    <row r="470" spans="1:15" x14ac:dyDescent="0.3">
      <c r="A470" s="1" t="s">
        <v>1419</v>
      </c>
      <c r="B470" s="1" t="s">
        <v>49</v>
      </c>
      <c r="C470" s="1" t="s">
        <v>14</v>
      </c>
      <c r="D470" s="1" t="s">
        <v>24</v>
      </c>
      <c r="E470" s="1">
        <v>53</v>
      </c>
      <c r="F470" s="1" t="s">
        <v>25</v>
      </c>
      <c r="G470" s="1" t="s">
        <v>26</v>
      </c>
      <c r="H470" s="1" t="s">
        <v>1420</v>
      </c>
      <c r="I470" s="1">
        <v>50965</v>
      </c>
      <c r="J470" s="1" t="s">
        <v>60</v>
      </c>
      <c r="K470" s="1" t="s">
        <v>1421</v>
      </c>
      <c r="L470" s="1" t="s">
        <v>21</v>
      </c>
      <c r="M470" s="1" t="s">
        <v>1513</v>
      </c>
      <c r="N470" s="1">
        <v>4</v>
      </c>
      <c r="O470" s="1">
        <v>56061.5</v>
      </c>
    </row>
    <row r="471" spans="1:15" x14ac:dyDescent="0.3">
      <c r="A471" s="1" t="s">
        <v>1422</v>
      </c>
      <c r="B471" s="1" t="s">
        <v>94</v>
      </c>
      <c r="C471" s="1" t="s">
        <v>63</v>
      </c>
      <c r="D471" s="1" t="s">
        <v>24</v>
      </c>
      <c r="E471" s="1">
        <v>60</v>
      </c>
      <c r="F471" s="1" t="s">
        <v>50</v>
      </c>
      <c r="G471" s="1" t="s">
        <v>26</v>
      </c>
      <c r="H471" s="1" t="s">
        <v>1423</v>
      </c>
      <c r="I471" s="1">
        <v>113605</v>
      </c>
      <c r="J471" s="1" t="s">
        <v>60</v>
      </c>
      <c r="K471" s="1" t="s">
        <v>1424</v>
      </c>
      <c r="L471" s="1" t="s">
        <v>21</v>
      </c>
      <c r="M471" s="1" t="s">
        <v>1511</v>
      </c>
      <c r="N471" s="1">
        <v>1</v>
      </c>
      <c r="O471" s="1">
        <v>119285.25</v>
      </c>
    </row>
    <row r="472" spans="1:15" x14ac:dyDescent="0.3">
      <c r="A472" s="1" t="s">
        <v>1425</v>
      </c>
      <c r="B472" s="1" t="s">
        <v>58</v>
      </c>
      <c r="C472" s="1" t="s">
        <v>78</v>
      </c>
      <c r="D472" s="1" t="s">
        <v>15</v>
      </c>
      <c r="E472" s="1">
        <v>57</v>
      </c>
      <c r="F472" s="1" t="s">
        <v>39</v>
      </c>
      <c r="G472" s="1" t="s">
        <v>40</v>
      </c>
      <c r="H472" s="1" t="s">
        <v>323</v>
      </c>
      <c r="I472" s="1">
        <v>80135</v>
      </c>
      <c r="J472" s="1" t="s">
        <v>34</v>
      </c>
      <c r="K472" s="1" t="s">
        <v>1426</v>
      </c>
      <c r="L472" s="1" t="s">
        <v>21</v>
      </c>
      <c r="M472" s="1" t="s">
        <v>1517</v>
      </c>
      <c r="N472" s="1">
        <v>4</v>
      </c>
      <c r="O472" s="1">
        <v>88148.5</v>
      </c>
    </row>
    <row r="473" spans="1:15" x14ac:dyDescent="0.3">
      <c r="A473" s="1" t="s">
        <v>1427</v>
      </c>
      <c r="B473" s="1" t="s">
        <v>71</v>
      </c>
      <c r="C473" s="1" t="s">
        <v>23</v>
      </c>
      <c r="D473" s="1" t="s">
        <v>24</v>
      </c>
      <c r="E473" s="1">
        <v>53</v>
      </c>
      <c r="F473" s="1" t="s">
        <v>50</v>
      </c>
      <c r="G473" s="1" t="s">
        <v>108</v>
      </c>
      <c r="H473" s="1" t="s">
        <v>1428</v>
      </c>
      <c r="I473" s="1">
        <v>56690</v>
      </c>
      <c r="J473" s="1" t="s">
        <v>60</v>
      </c>
      <c r="K473" s="1" t="s">
        <v>1429</v>
      </c>
      <c r="L473" s="1" t="s">
        <v>21</v>
      </c>
      <c r="M473" s="1" t="s">
        <v>1511</v>
      </c>
      <c r="N473" s="1">
        <v>4</v>
      </c>
      <c r="O473" s="1">
        <v>62359</v>
      </c>
    </row>
    <row r="474" spans="1:15" x14ac:dyDescent="0.3">
      <c r="A474" s="1" t="s">
        <v>1430</v>
      </c>
      <c r="B474" s="1" t="s">
        <v>49</v>
      </c>
      <c r="C474" s="1" t="s">
        <v>45</v>
      </c>
      <c r="D474" s="1" t="s">
        <v>24</v>
      </c>
      <c r="E474" s="1">
        <v>30</v>
      </c>
      <c r="F474" s="1" t="s">
        <v>50</v>
      </c>
      <c r="G474" s="1" t="s">
        <v>32</v>
      </c>
      <c r="H474" s="1" t="s">
        <v>243</v>
      </c>
      <c r="I474" s="1">
        <v>40070</v>
      </c>
      <c r="J474" s="1" t="s">
        <v>80</v>
      </c>
      <c r="K474" s="1" t="s">
        <v>1431</v>
      </c>
      <c r="L474" s="1" t="s">
        <v>21</v>
      </c>
      <c r="M474" s="1" t="s">
        <v>1511</v>
      </c>
      <c r="N474" s="1">
        <v>5</v>
      </c>
      <c r="O474" s="1">
        <v>46080.5</v>
      </c>
    </row>
    <row r="475" spans="1:15" x14ac:dyDescent="0.3">
      <c r="A475" s="1" t="s">
        <v>1432</v>
      </c>
      <c r="B475" s="1" t="s">
        <v>30</v>
      </c>
      <c r="C475" s="1" t="s">
        <v>165</v>
      </c>
      <c r="D475" s="1" t="s">
        <v>24</v>
      </c>
      <c r="E475" s="1">
        <v>57</v>
      </c>
      <c r="F475" s="1" t="s">
        <v>16</v>
      </c>
      <c r="G475" s="1" t="s">
        <v>40</v>
      </c>
      <c r="H475" s="1" t="s">
        <v>1433</v>
      </c>
      <c r="I475" s="1">
        <v>83252</v>
      </c>
      <c r="J475" s="1" t="s">
        <v>60</v>
      </c>
      <c r="K475" s="1" t="s">
        <v>1434</v>
      </c>
      <c r="L475" s="1" t="s">
        <v>21</v>
      </c>
      <c r="M475" s="1" t="s">
        <v>1509</v>
      </c>
      <c r="N475" s="1">
        <v>4</v>
      </c>
      <c r="O475" s="1">
        <v>91577.2</v>
      </c>
    </row>
    <row r="476" spans="1:15" x14ac:dyDescent="0.3">
      <c r="A476" s="1" t="s">
        <v>1435</v>
      </c>
      <c r="B476" s="1" t="s">
        <v>71</v>
      </c>
      <c r="C476" s="1" t="s">
        <v>90</v>
      </c>
      <c r="D476" s="1" t="s">
        <v>24</v>
      </c>
      <c r="E476" s="1">
        <v>48</v>
      </c>
      <c r="F476" s="1" t="s">
        <v>31</v>
      </c>
      <c r="G476" s="1" t="s">
        <v>40</v>
      </c>
      <c r="H476" s="1" t="s">
        <v>1196</v>
      </c>
      <c r="I476" s="1">
        <v>66939</v>
      </c>
      <c r="J476" s="1" t="s">
        <v>19</v>
      </c>
      <c r="K476" s="1" t="s">
        <v>1436</v>
      </c>
      <c r="L476" s="1" t="s">
        <v>36</v>
      </c>
      <c r="M476" s="1" t="s">
        <v>1515</v>
      </c>
      <c r="N476" s="1">
        <v>4</v>
      </c>
      <c r="O476" s="1">
        <v>73632.899999999994</v>
      </c>
    </row>
    <row r="477" spans="1:15" x14ac:dyDescent="0.3">
      <c r="A477" s="1" t="s">
        <v>1437</v>
      </c>
      <c r="B477" s="1" t="s">
        <v>13</v>
      </c>
      <c r="C477" s="1" t="s">
        <v>90</v>
      </c>
      <c r="D477" s="1" t="s">
        <v>24</v>
      </c>
      <c r="E477" s="1">
        <v>58</v>
      </c>
      <c r="F477" s="1" t="s">
        <v>31</v>
      </c>
      <c r="G477" s="1" t="s">
        <v>17</v>
      </c>
      <c r="H477" s="1" t="s">
        <v>1438</v>
      </c>
      <c r="I477" s="1">
        <v>51367</v>
      </c>
      <c r="J477" s="1" t="s">
        <v>65</v>
      </c>
      <c r="K477" s="1" t="s">
        <v>1439</v>
      </c>
      <c r="L477" s="1" t="s">
        <v>21</v>
      </c>
      <c r="M477" s="1" t="s">
        <v>1515</v>
      </c>
      <c r="N477" s="1">
        <v>5</v>
      </c>
      <c r="O477" s="1">
        <v>59072.05</v>
      </c>
    </row>
    <row r="478" spans="1:15" x14ac:dyDescent="0.3">
      <c r="A478" s="1" t="s">
        <v>1440</v>
      </c>
      <c r="B478" s="1" t="s">
        <v>143</v>
      </c>
      <c r="C478" s="1" t="s">
        <v>95</v>
      </c>
      <c r="D478" s="1" t="s">
        <v>15</v>
      </c>
      <c r="E478" s="1">
        <v>60</v>
      </c>
      <c r="F478" s="1" t="s">
        <v>31</v>
      </c>
      <c r="G478" s="1" t="s">
        <v>17</v>
      </c>
      <c r="H478" s="1" t="s">
        <v>1441</v>
      </c>
      <c r="I478" s="1">
        <v>94212</v>
      </c>
      <c r="J478" s="1" t="s">
        <v>34</v>
      </c>
      <c r="K478" s="1" t="s">
        <v>1442</v>
      </c>
      <c r="L478" s="1" t="s">
        <v>21</v>
      </c>
      <c r="M478" s="1" t="s">
        <v>1515</v>
      </c>
      <c r="N478" s="1">
        <v>3</v>
      </c>
      <c r="O478" s="1">
        <v>100806.84</v>
      </c>
    </row>
    <row r="479" spans="1:15" x14ac:dyDescent="0.3">
      <c r="A479" s="1" t="s">
        <v>1443</v>
      </c>
      <c r="B479" s="1" t="s">
        <v>44</v>
      </c>
      <c r="C479" s="1" t="s">
        <v>130</v>
      </c>
      <c r="D479" s="1" t="s">
        <v>24</v>
      </c>
      <c r="E479" s="1">
        <v>44</v>
      </c>
      <c r="F479" s="1" t="s">
        <v>50</v>
      </c>
      <c r="G479" s="1" t="s">
        <v>40</v>
      </c>
      <c r="H479" s="1" t="s">
        <v>1000</v>
      </c>
      <c r="I479" s="1">
        <v>47411</v>
      </c>
      <c r="J479" s="1" t="s">
        <v>60</v>
      </c>
      <c r="K479" s="1" t="s">
        <v>1444</v>
      </c>
      <c r="L479" s="1" t="s">
        <v>36</v>
      </c>
      <c r="M479" s="1" t="s">
        <v>1511</v>
      </c>
      <c r="N479" s="1">
        <v>3</v>
      </c>
      <c r="O479" s="1">
        <v>50729.770000000004</v>
      </c>
    </row>
    <row r="480" spans="1:15" x14ac:dyDescent="0.3">
      <c r="A480" s="1" t="s">
        <v>1445</v>
      </c>
      <c r="B480" s="1" t="s">
        <v>54</v>
      </c>
      <c r="C480" s="1" t="s">
        <v>23</v>
      </c>
      <c r="D480" s="1" t="s">
        <v>15</v>
      </c>
      <c r="E480" s="1">
        <v>49</v>
      </c>
      <c r="F480" s="1" t="s">
        <v>31</v>
      </c>
      <c r="G480" s="1" t="s">
        <v>26</v>
      </c>
      <c r="H480" s="1" t="s">
        <v>1446</v>
      </c>
      <c r="I480" s="1">
        <v>67896</v>
      </c>
      <c r="J480" s="1" t="s">
        <v>34</v>
      </c>
      <c r="K480" s="1" t="s">
        <v>1447</v>
      </c>
      <c r="L480" s="1" t="s">
        <v>36</v>
      </c>
      <c r="M480" s="1" t="s">
        <v>1515</v>
      </c>
      <c r="N480" s="1">
        <v>3</v>
      </c>
      <c r="O480" s="1">
        <v>72648.72</v>
      </c>
    </row>
    <row r="481" spans="1:15" x14ac:dyDescent="0.3">
      <c r="A481" s="1" t="s">
        <v>1448</v>
      </c>
      <c r="B481" s="1" t="s">
        <v>49</v>
      </c>
      <c r="C481" s="1" t="s">
        <v>165</v>
      </c>
      <c r="D481" s="1" t="s">
        <v>24</v>
      </c>
      <c r="E481" s="1">
        <v>58</v>
      </c>
      <c r="F481" s="1" t="s">
        <v>39</v>
      </c>
      <c r="G481" s="1" t="s">
        <v>40</v>
      </c>
      <c r="H481" s="1" t="s">
        <v>1449</v>
      </c>
      <c r="I481" s="1">
        <v>81285</v>
      </c>
      <c r="J481" s="1" t="s">
        <v>34</v>
      </c>
      <c r="K481" s="1" t="s">
        <v>1450</v>
      </c>
      <c r="L481" s="1" t="s">
        <v>21</v>
      </c>
      <c r="M481" s="1" t="s">
        <v>1517</v>
      </c>
      <c r="N481" s="1">
        <v>2</v>
      </c>
      <c r="O481" s="1">
        <v>85349.25</v>
      </c>
    </row>
    <row r="482" spans="1:15" x14ac:dyDescent="0.3">
      <c r="A482" s="1" t="s">
        <v>1451</v>
      </c>
      <c r="B482" s="1" t="s">
        <v>49</v>
      </c>
      <c r="C482" s="1" t="s">
        <v>63</v>
      </c>
      <c r="D482" s="1" t="s">
        <v>15</v>
      </c>
      <c r="E482" s="1">
        <v>53</v>
      </c>
      <c r="F482" s="1" t="s">
        <v>39</v>
      </c>
      <c r="G482" s="1" t="s">
        <v>108</v>
      </c>
      <c r="H482" s="1" t="s">
        <v>1452</v>
      </c>
      <c r="I482" s="1">
        <v>100041</v>
      </c>
      <c r="J482" s="1" t="s">
        <v>19</v>
      </c>
      <c r="K482" s="1" t="s">
        <v>1453</v>
      </c>
      <c r="L482" s="1" t="s">
        <v>21</v>
      </c>
      <c r="M482" s="1" t="s">
        <v>1517</v>
      </c>
      <c r="N482" s="1">
        <v>5</v>
      </c>
      <c r="O482" s="1">
        <v>115047.15</v>
      </c>
    </row>
    <row r="483" spans="1:15" x14ac:dyDescent="0.3">
      <c r="A483" s="1" t="s">
        <v>1454</v>
      </c>
      <c r="B483" s="1" t="s">
        <v>13</v>
      </c>
      <c r="C483" s="1" t="s">
        <v>83</v>
      </c>
      <c r="D483" s="1" t="s">
        <v>24</v>
      </c>
      <c r="E483" s="1">
        <v>48</v>
      </c>
      <c r="F483" s="1" t="s">
        <v>39</v>
      </c>
      <c r="G483" s="1" t="s">
        <v>108</v>
      </c>
      <c r="H483" s="1" t="s">
        <v>1455</v>
      </c>
      <c r="I483" s="1">
        <v>88033</v>
      </c>
      <c r="J483" s="1" t="s">
        <v>80</v>
      </c>
      <c r="K483" s="1" t="s">
        <v>1456</v>
      </c>
      <c r="L483" s="1" t="s">
        <v>21</v>
      </c>
      <c r="M483" s="1" t="s">
        <v>1517</v>
      </c>
      <c r="N483" s="1">
        <v>3</v>
      </c>
      <c r="O483" s="1">
        <v>94195.31</v>
      </c>
    </row>
    <row r="484" spans="1:15" x14ac:dyDescent="0.3">
      <c r="A484" s="1" t="s">
        <v>1457</v>
      </c>
      <c r="B484" s="1" t="s">
        <v>38</v>
      </c>
      <c r="C484" s="1" t="s">
        <v>45</v>
      </c>
      <c r="D484" s="1" t="s">
        <v>15</v>
      </c>
      <c r="E484" s="1">
        <v>40</v>
      </c>
      <c r="F484" s="1" t="s">
        <v>31</v>
      </c>
      <c r="G484" s="1" t="s">
        <v>108</v>
      </c>
      <c r="H484" s="1" t="s">
        <v>1458</v>
      </c>
      <c r="I484" s="1">
        <v>71291</v>
      </c>
      <c r="J484" s="1" t="s">
        <v>34</v>
      </c>
      <c r="K484" s="1" t="s">
        <v>1459</v>
      </c>
      <c r="L484" s="1" t="s">
        <v>36</v>
      </c>
      <c r="M484" s="1" t="s">
        <v>1515</v>
      </c>
      <c r="N484" s="1">
        <v>3</v>
      </c>
      <c r="O484" s="1">
        <v>76281.37</v>
      </c>
    </row>
    <row r="485" spans="1:15" x14ac:dyDescent="0.3">
      <c r="A485" s="1" t="s">
        <v>1460</v>
      </c>
      <c r="B485" s="1" t="s">
        <v>143</v>
      </c>
      <c r="C485" s="1" t="s">
        <v>45</v>
      </c>
      <c r="D485" s="1" t="s">
        <v>15</v>
      </c>
      <c r="E485" s="1">
        <v>27</v>
      </c>
      <c r="F485" s="1" t="s">
        <v>25</v>
      </c>
      <c r="G485" s="1" t="s">
        <v>40</v>
      </c>
      <c r="H485" s="1" t="s">
        <v>1461</v>
      </c>
      <c r="I485" s="1">
        <v>48563</v>
      </c>
      <c r="J485" s="1" t="s">
        <v>34</v>
      </c>
      <c r="K485" s="1" t="s">
        <v>1462</v>
      </c>
      <c r="L485" s="1" t="s">
        <v>36</v>
      </c>
      <c r="M485" s="1" t="s">
        <v>1513</v>
      </c>
      <c r="N485" s="1">
        <v>2</v>
      </c>
      <c r="O485" s="1">
        <v>50991.15</v>
      </c>
    </row>
    <row r="486" spans="1:15" x14ac:dyDescent="0.3">
      <c r="A486" s="1" t="s">
        <v>1463</v>
      </c>
      <c r="B486" s="1" t="s">
        <v>58</v>
      </c>
      <c r="C486" s="1" t="s">
        <v>45</v>
      </c>
      <c r="D486" s="1" t="s">
        <v>24</v>
      </c>
      <c r="E486" s="1">
        <v>37</v>
      </c>
      <c r="F486" s="1" t="s">
        <v>25</v>
      </c>
      <c r="G486" s="1" t="s">
        <v>32</v>
      </c>
      <c r="H486" s="1" t="s">
        <v>1464</v>
      </c>
      <c r="I486" s="1">
        <v>71454</v>
      </c>
      <c r="J486" s="1" t="s">
        <v>19</v>
      </c>
      <c r="K486" s="1" t="s">
        <v>1465</v>
      </c>
      <c r="L486" s="1" t="s">
        <v>21</v>
      </c>
      <c r="M486" s="1" t="s">
        <v>1513</v>
      </c>
      <c r="N486" s="1">
        <v>4</v>
      </c>
      <c r="O486" s="1">
        <v>78599.399999999994</v>
      </c>
    </row>
    <row r="487" spans="1:15" x14ac:dyDescent="0.3">
      <c r="A487" s="1" t="s">
        <v>1466</v>
      </c>
      <c r="B487" s="1" t="s">
        <v>94</v>
      </c>
      <c r="C487" s="1" t="s">
        <v>63</v>
      </c>
      <c r="D487" s="1" t="s">
        <v>24</v>
      </c>
      <c r="E487" s="1">
        <v>39</v>
      </c>
      <c r="F487" s="1" t="s">
        <v>25</v>
      </c>
      <c r="G487" s="1" t="s">
        <v>32</v>
      </c>
      <c r="H487" s="1" t="s">
        <v>1467</v>
      </c>
      <c r="I487" s="1">
        <v>44271</v>
      </c>
      <c r="J487" s="1" t="s">
        <v>34</v>
      </c>
      <c r="K487" s="1" t="s">
        <v>1468</v>
      </c>
      <c r="L487" s="1" t="s">
        <v>36</v>
      </c>
      <c r="M487" s="1" t="s">
        <v>1513</v>
      </c>
      <c r="N487" s="1">
        <v>4</v>
      </c>
      <c r="O487" s="1">
        <v>48698.1</v>
      </c>
    </row>
    <row r="488" spans="1:15" x14ac:dyDescent="0.3">
      <c r="A488" s="1" t="s">
        <v>1469</v>
      </c>
      <c r="B488" s="1" t="s">
        <v>38</v>
      </c>
      <c r="C488" s="1" t="s">
        <v>14</v>
      </c>
      <c r="D488" s="1" t="s">
        <v>15</v>
      </c>
      <c r="E488" s="1">
        <v>56</v>
      </c>
      <c r="F488" s="1" t="s">
        <v>16</v>
      </c>
      <c r="G488" s="1" t="s">
        <v>17</v>
      </c>
      <c r="H488" s="1" t="s">
        <v>1470</v>
      </c>
      <c r="I488" s="1">
        <v>93401</v>
      </c>
      <c r="J488" s="1" t="s">
        <v>65</v>
      </c>
      <c r="K488" s="1" t="s">
        <v>1471</v>
      </c>
      <c r="L488" s="1" t="s">
        <v>21</v>
      </c>
      <c r="M488" s="1" t="s">
        <v>1509</v>
      </c>
      <c r="N488" s="1">
        <v>2</v>
      </c>
      <c r="O488" s="1">
        <v>98071.05</v>
      </c>
    </row>
    <row r="489" spans="1:15" x14ac:dyDescent="0.3">
      <c r="A489" s="1" t="s">
        <v>1472</v>
      </c>
      <c r="B489" s="1" t="s">
        <v>71</v>
      </c>
      <c r="C489" s="1" t="s">
        <v>63</v>
      </c>
      <c r="D489" s="1" t="s">
        <v>24</v>
      </c>
      <c r="E489" s="1">
        <v>22</v>
      </c>
      <c r="F489" s="1" t="s">
        <v>25</v>
      </c>
      <c r="G489" s="1" t="s">
        <v>32</v>
      </c>
      <c r="H489" s="1" t="s">
        <v>1473</v>
      </c>
      <c r="I489" s="1">
        <v>56106</v>
      </c>
      <c r="J489" s="1" t="s">
        <v>19</v>
      </c>
      <c r="K489" s="1" t="s">
        <v>1474</v>
      </c>
      <c r="L489" s="1" t="s">
        <v>36</v>
      </c>
      <c r="M489" s="1" t="s">
        <v>1513</v>
      </c>
      <c r="N489" s="1">
        <v>1</v>
      </c>
      <c r="O489" s="1">
        <v>58911.3</v>
      </c>
    </row>
    <row r="490" spans="1:15" x14ac:dyDescent="0.3">
      <c r="A490" s="1" t="s">
        <v>1475</v>
      </c>
      <c r="B490" s="1" t="s">
        <v>94</v>
      </c>
      <c r="C490" s="1" t="s">
        <v>95</v>
      </c>
      <c r="D490" s="1" t="s">
        <v>15</v>
      </c>
      <c r="E490" s="1">
        <v>38</v>
      </c>
      <c r="F490" s="1" t="s">
        <v>39</v>
      </c>
      <c r="G490" s="1" t="s">
        <v>32</v>
      </c>
      <c r="H490" s="1" t="s">
        <v>300</v>
      </c>
      <c r="I490" s="1">
        <v>106273</v>
      </c>
      <c r="J490" s="1" t="s">
        <v>19</v>
      </c>
      <c r="K490" s="1" t="s">
        <v>1476</v>
      </c>
      <c r="L490" s="1" t="s">
        <v>36</v>
      </c>
      <c r="M490" s="1" t="s">
        <v>1517</v>
      </c>
      <c r="N490" s="1">
        <v>5</v>
      </c>
      <c r="O490" s="1">
        <v>122213.95</v>
      </c>
    </row>
    <row r="491" spans="1:15" x14ac:dyDescent="0.3">
      <c r="A491" s="1" t="s">
        <v>1477</v>
      </c>
      <c r="B491" s="1" t="s">
        <v>71</v>
      </c>
      <c r="C491" s="1" t="s">
        <v>130</v>
      </c>
      <c r="D491" s="1" t="s">
        <v>24</v>
      </c>
      <c r="E491" s="1">
        <v>45</v>
      </c>
      <c r="F491" s="1" t="s">
        <v>50</v>
      </c>
      <c r="G491" s="1" t="s">
        <v>40</v>
      </c>
      <c r="H491" s="1" t="s">
        <v>1478</v>
      </c>
      <c r="I491" s="1">
        <v>105710</v>
      </c>
      <c r="J491" s="1" t="s">
        <v>80</v>
      </c>
      <c r="K491" s="1" t="s">
        <v>1479</v>
      </c>
      <c r="L491" s="1" t="s">
        <v>21</v>
      </c>
      <c r="M491" s="1" t="s">
        <v>1511</v>
      </c>
      <c r="N491" s="1">
        <v>2</v>
      </c>
      <c r="O491" s="1">
        <v>110995.5</v>
      </c>
    </row>
    <row r="492" spans="1:15" x14ac:dyDescent="0.3">
      <c r="A492" s="1" t="s">
        <v>1480</v>
      </c>
      <c r="B492" s="1" t="s">
        <v>143</v>
      </c>
      <c r="C492" s="1" t="s">
        <v>14</v>
      </c>
      <c r="D492" s="1" t="s">
        <v>15</v>
      </c>
      <c r="E492" s="1">
        <v>46</v>
      </c>
      <c r="F492" s="1" t="s">
        <v>50</v>
      </c>
      <c r="G492" s="1" t="s">
        <v>108</v>
      </c>
      <c r="H492" s="1" t="s">
        <v>270</v>
      </c>
      <c r="I492" s="1">
        <v>68751</v>
      </c>
      <c r="J492" s="1" t="s">
        <v>19</v>
      </c>
      <c r="K492" s="1" t="s">
        <v>1481</v>
      </c>
      <c r="L492" s="1" t="s">
        <v>21</v>
      </c>
      <c r="M492" s="1" t="s">
        <v>1511</v>
      </c>
      <c r="N492" s="1">
        <v>4</v>
      </c>
      <c r="O492" s="1">
        <v>75626.100000000006</v>
      </c>
    </row>
    <row r="493" spans="1:15" x14ac:dyDescent="0.3">
      <c r="A493" s="1" t="s">
        <v>1482</v>
      </c>
      <c r="B493" s="1" t="s">
        <v>38</v>
      </c>
      <c r="C493" s="1" t="s">
        <v>45</v>
      </c>
      <c r="D493" s="1" t="s">
        <v>15</v>
      </c>
      <c r="E493" s="1">
        <v>33</v>
      </c>
      <c r="F493" s="1" t="s">
        <v>16</v>
      </c>
      <c r="G493" s="1" t="s">
        <v>26</v>
      </c>
      <c r="H493" s="1" t="s">
        <v>1483</v>
      </c>
      <c r="I493" s="1">
        <v>63873</v>
      </c>
      <c r="J493" s="1" t="s">
        <v>65</v>
      </c>
      <c r="K493" s="1" t="s">
        <v>1484</v>
      </c>
      <c r="L493" s="1" t="s">
        <v>21</v>
      </c>
      <c r="M493" s="1" t="s">
        <v>1509</v>
      </c>
      <c r="N493" s="1">
        <v>5</v>
      </c>
      <c r="O493" s="1">
        <v>73453.95</v>
      </c>
    </row>
    <row r="494" spans="1:15" x14ac:dyDescent="0.3">
      <c r="A494" s="1" t="s">
        <v>1485</v>
      </c>
      <c r="B494" s="1" t="s">
        <v>49</v>
      </c>
      <c r="C494" s="1" t="s">
        <v>45</v>
      </c>
      <c r="D494" s="1" t="s">
        <v>24</v>
      </c>
      <c r="E494" s="1">
        <v>39</v>
      </c>
      <c r="F494" s="1" t="s">
        <v>50</v>
      </c>
      <c r="G494" s="1" t="s">
        <v>40</v>
      </c>
      <c r="H494" s="1" t="s">
        <v>1009</v>
      </c>
      <c r="I494" s="1">
        <v>117465</v>
      </c>
      <c r="J494" s="1" t="s">
        <v>34</v>
      </c>
      <c r="K494" s="1" t="s">
        <v>1486</v>
      </c>
      <c r="L494" s="1" t="s">
        <v>36</v>
      </c>
      <c r="M494" s="1" t="s">
        <v>1511</v>
      </c>
      <c r="N494" s="1">
        <v>1</v>
      </c>
      <c r="O494" s="1">
        <v>123338.25</v>
      </c>
    </row>
    <row r="495" spans="1:15" x14ac:dyDescent="0.3">
      <c r="A495" s="1" t="s">
        <v>1487</v>
      </c>
      <c r="B495" s="1" t="s">
        <v>44</v>
      </c>
      <c r="C495" s="1" t="s">
        <v>130</v>
      </c>
      <c r="D495" s="1" t="s">
        <v>15</v>
      </c>
      <c r="E495" s="1">
        <v>44</v>
      </c>
      <c r="F495" s="1" t="s">
        <v>31</v>
      </c>
      <c r="G495" s="1" t="s">
        <v>26</v>
      </c>
      <c r="H495" s="1" t="s">
        <v>1488</v>
      </c>
      <c r="I495" s="1">
        <v>59582</v>
      </c>
      <c r="J495" s="1" t="s">
        <v>80</v>
      </c>
      <c r="K495" s="1" t="s">
        <v>1489</v>
      </c>
      <c r="L495" s="1" t="s">
        <v>36</v>
      </c>
      <c r="M495" s="1" t="s">
        <v>1515</v>
      </c>
      <c r="N495" s="1">
        <v>5</v>
      </c>
      <c r="O495" s="1">
        <v>68519.3</v>
      </c>
    </row>
    <row r="496" spans="1:15" x14ac:dyDescent="0.3">
      <c r="A496" s="1" t="s">
        <v>1490</v>
      </c>
      <c r="B496" s="1" t="s">
        <v>58</v>
      </c>
      <c r="C496" s="1" t="s">
        <v>83</v>
      </c>
      <c r="D496" s="1" t="s">
        <v>15</v>
      </c>
      <c r="E496" s="1">
        <v>51</v>
      </c>
      <c r="F496" s="1" t="s">
        <v>31</v>
      </c>
      <c r="G496" s="1" t="s">
        <v>17</v>
      </c>
      <c r="H496" s="1" t="s">
        <v>1491</v>
      </c>
      <c r="I496" s="1">
        <v>117932</v>
      </c>
      <c r="J496" s="1" t="s">
        <v>80</v>
      </c>
      <c r="K496" s="1" t="s">
        <v>1492</v>
      </c>
      <c r="L496" s="1" t="s">
        <v>21</v>
      </c>
      <c r="M496" s="1" t="s">
        <v>1515</v>
      </c>
      <c r="N496" s="1">
        <v>4</v>
      </c>
      <c r="O496" s="1">
        <v>129725.2</v>
      </c>
    </row>
    <row r="497" spans="1:15" x14ac:dyDescent="0.3">
      <c r="A497" s="1" t="s">
        <v>1493</v>
      </c>
      <c r="B497" s="1" t="s">
        <v>49</v>
      </c>
      <c r="C497" s="1" t="s">
        <v>45</v>
      </c>
      <c r="D497" s="1" t="s">
        <v>24</v>
      </c>
      <c r="E497" s="1">
        <v>58</v>
      </c>
      <c r="F497" s="1" t="s">
        <v>16</v>
      </c>
      <c r="G497" s="1" t="s">
        <v>40</v>
      </c>
      <c r="H497" s="1" t="s">
        <v>1494</v>
      </c>
      <c r="I497" s="1">
        <v>95198</v>
      </c>
      <c r="J497" s="1" t="s">
        <v>80</v>
      </c>
      <c r="K497" s="1" t="s">
        <v>1495</v>
      </c>
      <c r="L497" s="1" t="s">
        <v>21</v>
      </c>
      <c r="M497" s="1" t="s">
        <v>1509</v>
      </c>
      <c r="N497" s="1">
        <v>1</v>
      </c>
      <c r="O497" s="1">
        <v>99957.9</v>
      </c>
    </row>
    <row r="498" spans="1:15" x14ac:dyDescent="0.3">
      <c r="A498" s="1" t="s">
        <v>1496</v>
      </c>
      <c r="B498" s="1" t="s">
        <v>58</v>
      </c>
      <c r="C498" s="1" t="s">
        <v>165</v>
      </c>
      <c r="D498" s="1" t="s">
        <v>24</v>
      </c>
      <c r="E498" s="1">
        <v>24</v>
      </c>
      <c r="F498" s="1" t="s">
        <v>31</v>
      </c>
      <c r="G498" s="1" t="s">
        <v>32</v>
      </c>
      <c r="H498" s="1" t="s">
        <v>1497</v>
      </c>
      <c r="I498" s="1">
        <v>61647</v>
      </c>
      <c r="J498" s="1" t="s">
        <v>80</v>
      </c>
      <c r="K498" s="1" t="s">
        <v>1498</v>
      </c>
      <c r="L498" s="1" t="s">
        <v>36</v>
      </c>
      <c r="M498" s="1" t="s">
        <v>1515</v>
      </c>
      <c r="N498" s="1">
        <v>2</v>
      </c>
      <c r="O498" s="1">
        <v>64729.35</v>
      </c>
    </row>
    <row r="499" spans="1:15" x14ac:dyDescent="0.3">
      <c r="A499" s="1" t="s">
        <v>1499</v>
      </c>
      <c r="B499" s="1" t="s">
        <v>94</v>
      </c>
      <c r="C499" s="1" t="s">
        <v>63</v>
      </c>
      <c r="D499" s="1" t="s">
        <v>15</v>
      </c>
      <c r="E499" s="1">
        <v>26</v>
      </c>
      <c r="F499" s="1" t="s">
        <v>50</v>
      </c>
      <c r="G499" s="1" t="s">
        <v>26</v>
      </c>
      <c r="H499" s="1" t="s">
        <v>1500</v>
      </c>
      <c r="I499" s="1">
        <v>41274</v>
      </c>
      <c r="J499" s="1" t="s">
        <v>80</v>
      </c>
      <c r="K499" s="1" t="s">
        <v>1501</v>
      </c>
      <c r="L499" s="1" t="s">
        <v>36</v>
      </c>
      <c r="M499" s="1" t="s">
        <v>1511</v>
      </c>
      <c r="N499" s="1">
        <v>2</v>
      </c>
      <c r="O499" s="1">
        <v>43337.7</v>
      </c>
    </row>
    <row r="500" spans="1:15" x14ac:dyDescent="0.3">
      <c r="A500" s="1" t="s">
        <v>1502</v>
      </c>
      <c r="B500" s="1" t="s">
        <v>38</v>
      </c>
      <c r="C500" s="1" t="s">
        <v>83</v>
      </c>
      <c r="D500" s="1" t="s">
        <v>15</v>
      </c>
      <c r="E500" s="1">
        <v>40</v>
      </c>
      <c r="F500" s="1" t="s">
        <v>25</v>
      </c>
      <c r="G500" s="1" t="s">
        <v>40</v>
      </c>
      <c r="H500" s="1" t="s">
        <v>1503</v>
      </c>
      <c r="I500" s="1">
        <v>40450</v>
      </c>
      <c r="J500" s="1" t="s">
        <v>80</v>
      </c>
      <c r="K500" s="1" t="s">
        <v>1504</v>
      </c>
      <c r="L500" s="1" t="s">
        <v>21</v>
      </c>
      <c r="M500" s="1" t="s">
        <v>1513</v>
      </c>
      <c r="N500" s="1">
        <v>3</v>
      </c>
      <c r="O500" s="1">
        <v>43281.5</v>
      </c>
    </row>
    <row r="501" spans="1:15" x14ac:dyDescent="0.3">
      <c r="A501" s="1" t="s">
        <v>1505</v>
      </c>
      <c r="B501" s="1" t="s">
        <v>38</v>
      </c>
      <c r="C501" s="1" t="s">
        <v>63</v>
      </c>
      <c r="D501" s="1" t="s">
        <v>24</v>
      </c>
      <c r="E501" s="1">
        <v>58</v>
      </c>
      <c r="F501" s="1" t="s">
        <v>39</v>
      </c>
      <c r="G501" s="1" t="s">
        <v>26</v>
      </c>
      <c r="H501" s="1" t="s">
        <v>1506</v>
      </c>
      <c r="I501" s="1">
        <v>42662</v>
      </c>
      <c r="J501" s="1" t="s">
        <v>65</v>
      </c>
      <c r="K501" s="1" t="s">
        <v>1507</v>
      </c>
      <c r="L501" s="1" t="s">
        <v>21</v>
      </c>
      <c r="M501" s="1" t="s">
        <v>1517</v>
      </c>
      <c r="N501" s="1">
        <v>3</v>
      </c>
      <c r="O501" s="1">
        <v>45648.34</v>
      </c>
    </row>
  </sheetData>
  <conditionalFormatting sqref="A2:O501">
    <cfRule type="expression" dxfId="0" priority="1">
      <formula>YEAR($H2)&lt;2020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workbookViewId="0">
      <selection activeCell="D2" sqref="D2"/>
    </sheetView>
  </sheetViews>
  <sheetFormatPr defaultRowHeight="14.4" x14ac:dyDescent="0.3"/>
  <cols>
    <col min="1" max="1" width="13" bestFit="1" customWidth="1"/>
    <col min="2" max="2" width="16.109375" bestFit="1" customWidth="1"/>
    <col min="3" max="3" width="8.21875" bestFit="1" customWidth="1"/>
    <col min="4" max="4" width="9.77734375" bestFit="1" customWidth="1"/>
  </cols>
  <sheetData>
    <row r="1" spans="1:9" x14ac:dyDescent="0.3">
      <c r="A1" s="2" t="s">
        <v>5</v>
      </c>
      <c r="B1" s="2" t="s">
        <v>1508</v>
      </c>
      <c r="C1" s="2" t="s">
        <v>40</v>
      </c>
      <c r="D1" s="5" t="s">
        <v>1526</v>
      </c>
    </row>
    <row r="2" spans="1:9" x14ac:dyDescent="0.3">
      <c r="A2" s="1" t="s">
        <v>16</v>
      </c>
      <c r="B2" s="1" t="s">
        <v>1509</v>
      </c>
      <c r="C2" s="1" t="s">
        <v>1510</v>
      </c>
      <c r="D2" s="1">
        <f>AVERAGEIF(Sheet1!M2:M501,Sheet1!M2,Sheet1!I2:I501)</f>
        <v>79005.775700934581</v>
      </c>
    </row>
    <row r="3" spans="1:9" x14ac:dyDescent="0.3">
      <c r="A3" s="1" t="s">
        <v>50</v>
      </c>
      <c r="B3" s="1" t="s">
        <v>1511</v>
      </c>
      <c r="C3" s="1" t="s">
        <v>1512</v>
      </c>
      <c r="D3" s="1">
        <f>AVERAGEIF(Sheet1!M3:M502,Sheet1!M3,Sheet1!I3:I502)</f>
        <v>78230.108433734946</v>
      </c>
    </row>
    <row r="4" spans="1:9" x14ac:dyDescent="0.3">
      <c r="A4" s="1" t="s">
        <v>25</v>
      </c>
      <c r="B4" s="1" t="s">
        <v>1513</v>
      </c>
      <c r="C4" s="1" t="s">
        <v>1514</v>
      </c>
      <c r="D4" s="1">
        <f>AVERAGEIF(Sheet1!M4:M503,Sheet1!M4,Sheet1!I4:I503)</f>
        <v>76510.45378151261</v>
      </c>
    </row>
    <row r="5" spans="1:9" x14ac:dyDescent="0.3">
      <c r="A5" s="1" t="s">
        <v>31</v>
      </c>
      <c r="B5" s="1" t="s">
        <v>1515</v>
      </c>
      <c r="C5" s="1" t="s">
        <v>1516</v>
      </c>
      <c r="D5" s="1">
        <f>AVERAGEIF(Sheet1!M5:M504,Sheet1!M5,Sheet1!I5:I504)</f>
        <v>74376.867469879522</v>
      </c>
    </row>
    <row r="6" spans="1:9" x14ac:dyDescent="0.3">
      <c r="A6" s="1" t="s">
        <v>39</v>
      </c>
      <c r="B6" s="1" t="s">
        <v>1517</v>
      </c>
      <c r="C6" s="1" t="s">
        <v>1518</v>
      </c>
      <c r="D6" s="1">
        <f>AVERAGEIF(Sheet1!M6:M505,Sheet1!M6,Sheet1!I6:I505)</f>
        <v>78758.122641509428</v>
      </c>
    </row>
    <row r="8" spans="1:9" x14ac:dyDescent="0.3">
      <c r="D8" s="6" t="s">
        <v>1527</v>
      </c>
      <c r="E8" s="6"/>
      <c r="F8" s="6"/>
      <c r="G8" s="6"/>
      <c r="H8" s="6"/>
      <c r="I8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01"/>
  <sheetViews>
    <sheetView workbookViewId="0">
      <selection activeCell="F1" sqref="F1"/>
    </sheetView>
  </sheetViews>
  <sheetFormatPr defaultRowHeight="14.4" x14ac:dyDescent="0.3"/>
  <cols>
    <col min="1" max="1" width="10.77734375" bestFit="1" customWidth="1"/>
    <col min="2" max="2" width="10.44140625" bestFit="1" customWidth="1"/>
    <col min="3" max="3" width="6.109375" bestFit="1" customWidth="1"/>
    <col min="4" max="4" width="12.5546875" bestFit="1" customWidth="1"/>
    <col min="5" max="5" width="17" bestFit="1" customWidth="1"/>
  </cols>
  <sheetData>
    <row r="1" spans="1:5" x14ac:dyDescent="0.3">
      <c r="A1" s="2" t="s">
        <v>0</v>
      </c>
      <c r="B1" s="2" t="s">
        <v>1519</v>
      </c>
      <c r="C1" s="2" t="s">
        <v>1520</v>
      </c>
      <c r="D1" s="2" t="s">
        <v>1521</v>
      </c>
      <c r="E1" s="2" t="s">
        <v>1522</v>
      </c>
    </row>
    <row r="2" spans="1:5" x14ac:dyDescent="0.3">
      <c r="A2" s="1" t="s">
        <v>12</v>
      </c>
      <c r="B2" s="1">
        <v>2026</v>
      </c>
      <c r="C2" s="1">
        <v>1</v>
      </c>
      <c r="D2" s="1">
        <v>4</v>
      </c>
      <c r="E2" s="1">
        <v>2</v>
      </c>
    </row>
    <row r="3" spans="1:5" x14ac:dyDescent="0.3">
      <c r="A3" s="1" t="s">
        <v>22</v>
      </c>
      <c r="B3" s="1">
        <v>2026</v>
      </c>
      <c r="C3" s="1">
        <v>4</v>
      </c>
      <c r="D3" s="1">
        <v>5</v>
      </c>
      <c r="E3" s="1">
        <v>7</v>
      </c>
    </row>
    <row r="4" spans="1:5" x14ac:dyDescent="0.3">
      <c r="A4" s="1" t="s">
        <v>29</v>
      </c>
      <c r="B4" s="1">
        <v>2026</v>
      </c>
      <c r="C4" s="1">
        <v>2</v>
      </c>
      <c r="D4" s="1">
        <v>29</v>
      </c>
      <c r="E4" s="1">
        <v>5</v>
      </c>
    </row>
    <row r="5" spans="1:5" x14ac:dyDescent="0.3">
      <c r="A5" s="1" t="s">
        <v>37</v>
      </c>
      <c r="B5" s="1">
        <v>2026</v>
      </c>
      <c r="C5" s="1">
        <v>4</v>
      </c>
      <c r="D5" s="1">
        <v>18</v>
      </c>
      <c r="E5" s="1">
        <v>6</v>
      </c>
    </row>
    <row r="6" spans="1:5" x14ac:dyDescent="0.3">
      <c r="A6" s="1" t="s">
        <v>43</v>
      </c>
      <c r="B6" s="1">
        <v>2026</v>
      </c>
      <c r="C6" s="1">
        <v>2</v>
      </c>
      <c r="D6" s="1">
        <v>48</v>
      </c>
      <c r="E6" s="1">
        <v>2</v>
      </c>
    </row>
    <row r="7" spans="1:5" x14ac:dyDescent="0.3">
      <c r="A7" s="1" t="s">
        <v>48</v>
      </c>
      <c r="B7" s="1">
        <v>2026</v>
      </c>
      <c r="C7" s="1">
        <v>3</v>
      </c>
      <c r="D7" s="1">
        <v>14</v>
      </c>
      <c r="E7" s="1">
        <v>5</v>
      </c>
    </row>
    <row r="8" spans="1:5" x14ac:dyDescent="0.3">
      <c r="A8" s="1" t="s">
        <v>53</v>
      </c>
      <c r="B8" s="1">
        <v>2026</v>
      </c>
      <c r="C8" s="1">
        <v>2</v>
      </c>
      <c r="D8" s="1">
        <v>19</v>
      </c>
      <c r="E8" s="1">
        <v>3</v>
      </c>
    </row>
    <row r="9" spans="1:5" x14ac:dyDescent="0.3">
      <c r="A9" s="1" t="s">
        <v>57</v>
      </c>
      <c r="B9" s="1">
        <v>2026</v>
      </c>
      <c r="C9" s="1">
        <v>1</v>
      </c>
      <c r="D9" s="1">
        <v>4</v>
      </c>
      <c r="E9" s="1">
        <v>2</v>
      </c>
    </row>
    <row r="10" spans="1:5" x14ac:dyDescent="0.3">
      <c r="A10" s="1" t="s">
        <v>62</v>
      </c>
      <c r="B10" s="1">
        <v>2026</v>
      </c>
      <c r="C10" s="1">
        <v>4</v>
      </c>
      <c r="D10" s="1">
        <v>59</v>
      </c>
      <c r="E10" s="1">
        <v>0</v>
      </c>
    </row>
    <row r="11" spans="1:5" x14ac:dyDescent="0.3">
      <c r="A11" s="1" t="s">
        <v>67</v>
      </c>
      <c r="B11" s="1">
        <v>2026</v>
      </c>
      <c r="C11" s="1">
        <v>5</v>
      </c>
      <c r="D11" s="1">
        <v>27</v>
      </c>
      <c r="E11" s="1">
        <v>2</v>
      </c>
    </row>
    <row r="12" spans="1:5" x14ac:dyDescent="0.3">
      <c r="A12" s="1" t="s">
        <v>70</v>
      </c>
      <c r="B12" s="1">
        <v>2026</v>
      </c>
      <c r="C12" s="1">
        <v>3</v>
      </c>
      <c r="D12" s="1">
        <v>42</v>
      </c>
      <c r="E12" s="1">
        <v>3</v>
      </c>
    </row>
    <row r="13" spans="1:5" x14ac:dyDescent="0.3">
      <c r="A13" s="1" t="s">
        <v>74</v>
      </c>
      <c r="B13" s="1">
        <v>2026</v>
      </c>
      <c r="C13" s="1">
        <v>2</v>
      </c>
      <c r="D13" s="1">
        <v>59</v>
      </c>
      <c r="E13" s="1">
        <v>3</v>
      </c>
    </row>
    <row r="14" spans="1:5" x14ac:dyDescent="0.3">
      <c r="A14" s="1" t="s">
        <v>77</v>
      </c>
      <c r="B14" s="1">
        <v>2026</v>
      </c>
      <c r="C14" s="1">
        <v>3</v>
      </c>
      <c r="D14" s="1">
        <v>14</v>
      </c>
      <c r="E14" s="1">
        <v>0</v>
      </c>
    </row>
    <row r="15" spans="1:5" x14ac:dyDescent="0.3">
      <c r="A15" s="1" t="s">
        <v>82</v>
      </c>
      <c r="B15" s="1">
        <v>2026</v>
      </c>
      <c r="C15" s="1">
        <v>2</v>
      </c>
      <c r="D15" s="1">
        <v>2</v>
      </c>
      <c r="E15" s="1">
        <v>12</v>
      </c>
    </row>
    <row r="16" spans="1:5" x14ac:dyDescent="0.3">
      <c r="A16" s="1" t="s">
        <v>86</v>
      </c>
      <c r="B16" s="1">
        <v>2026</v>
      </c>
      <c r="C16" s="1">
        <v>4</v>
      </c>
      <c r="D16" s="1">
        <v>60</v>
      </c>
      <c r="E16" s="1">
        <v>2</v>
      </c>
    </row>
    <row r="17" spans="1:5" x14ac:dyDescent="0.3">
      <c r="A17" s="1" t="s">
        <v>89</v>
      </c>
      <c r="B17" s="1">
        <v>2026</v>
      </c>
      <c r="C17" s="1">
        <v>2</v>
      </c>
      <c r="D17" s="1">
        <v>39</v>
      </c>
      <c r="E17" s="1">
        <v>1</v>
      </c>
    </row>
    <row r="18" spans="1:5" x14ac:dyDescent="0.3">
      <c r="A18" s="1" t="s">
        <v>93</v>
      </c>
      <c r="B18" s="1">
        <v>2026</v>
      </c>
      <c r="C18" s="1">
        <v>1</v>
      </c>
      <c r="D18" s="1">
        <v>60</v>
      </c>
      <c r="E18" s="1">
        <v>12</v>
      </c>
    </row>
    <row r="19" spans="1:5" x14ac:dyDescent="0.3">
      <c r="A19" s="1" t="s">
        <v>98</v>
      </c>
      <c r="B19" s="1">
        <v>2026</v>
      </c>
      <c r="C19" s="1">
        <v>4</v>
      </c>
      <c r="D19" s="1">
        <v>14</v>
      </c>
      <c r="E19" s="1">
        <v>8</v>
      </c>
    </row>
    <row r="20" spans="1:5" x14ac:dyDescent="0.3">
      <c r="A20" s="1" t="s">
        <v>101</v>
      </c>
      <c r="B20" s="1">
        <v>2026</v>
      </c>
      <c r="C20" s="1">
        <v>5</v>
      </c>
      <c r="D20" s="1">
        <v>43</v>
      </c>
      <c r="E20" s="1">
        <v>10</v>
      </c>
    </row>
    <row r="21" spans="1:5" x14ac:dyDescent="0.3">
      <c r="A21" s="1" t="s">
        <v>104</v>
      </c>
      <c r="B21" s="1">
        <v>2026</v>
      </c>
      <c r="C21" s="1">
        <v>5</v>
      </c>
      <c r="D21" s="1">
        <v>45</v>
      </c>
      <c r="E21" s="1">
        <v>8</v>
      </c>
    </row>
    <row r="22" spans="1:5" x14ac:dyDescent="0.3">
      <c r="A22" s="1" t="s">
        <v>107</v>
      </c>
      <c r="B22" s="1">
        <v>2026</v>
      </c>
      <c r="C22" s="1">
        <v>1</v>
      </c>
      <c r="D22" s="1">
        <v>1</v>
      </c>
      <c r="E22" s="1">
        <v>7</v>
      </c>
    </row>
    <row r="23" spans="1:5" x14ac:dyDescent="0.3">
      <c r="A23" s="1" t="s">
        <v>111</v>
      </c>
      <c r="B23" s="1">
        <v>2026</v>
      </c>
      <c r="C23" s="1">
        <v>5</v>
      </c>
      <c r="D23" s="1">
        <v>45</v>
      </c>
      <c r="E23" s="1">
        <v>8</v>
      </c>
    </row>
    <row r="24" spans="1:5" x14ac:dyDescent="0.3">
      <c r="A24" s="1" t="s">
        <v>114</v>
      </c>
      <c r="B24" s="1">
        <v>2026</v>
      </c>
      <c r="C24" s="1">
        <v>3</v>
      </c>
      <c r="D24" s="1">
        <v>16</v>
      </c>
      <c r="E24" s="1">
        <v>3</v>
      </c>
    </row>
    <row r="25" spans="1:5" x14ac:dyDescent="0.3">
      <c r="A25" s="1" t="s">
        <v>117</v>
      </c>
      <c r="B25" s="1">
        <v>2026</v>
      </c>
      <c r="C25" s="1">
        <v>4</v>
      </c>
      <c r="D25" s="1">
        <v>34</v>
      </c>
      <c r="E25" s="1">
        <v>0</v>
      </c>
    </row>
    <row r="26" spans="1:5" x14ac:dyDescent="0.3">
      <c r="A26" s="1" t="s">
        <v>120</v>
      </c>
      <c r="B26" s="1">
        <v>2026</v>
      </c>
      <c r="C26" s="1">
        <v>4</v>
      </c>
      <c r="D26" s="1">
        <v>3</v>
      </c>
      <c r="E26" s="1">
        <v>1</v>
      </c>
    </row>
    <row r="27" spans="1:5" x14ac:dyDescent="0.3">
      <c r="A27" s="1" t="s">
        <v>123</v>
      </c>
      <c r="B27" s="1">
        <v>2026</v>
      </c>
      <c r="C27" s="1">
        <v>1</v>
      </c>
      <c r="D27" s="1">
        <v>12</v>
      </c>
      <c r="E27" s="1">
        <v>0</v>
      </c>
    </row>
    <row r="28" spans="1:5" x14ac:dyDescent="0.3">
      <c r="A28" s="1" t="s">
        <v>126</v>
      </c>
      <c r="B28" s="1">
        <v>2026</v>
      </c>
      <c r="C28" s="1">
        <v>1</v>
      </c>
      <c r="D28" s="1">
        <v>38</v>
      </c>
      <c r="E28" s="1">
        <v>8</v>
      </c>
    </row>
    <row r="29" spans="1:5" x14ac:dyDescent="0.3">
      <c r="A29" s="1" t="s">
        <v>129</v>
      </c>
      <c r="B29" s="1">
        <v>2026</v>
      </c>
      <c r="C29" s="1">
        <v>4</v>
      </c>
      <c r="D29" s="1">
        <v>32</v>
      </c>
      <c r="E29" s="1">
        <v>3</v>
      </c>
    </row>
    <row r="30" spans="1:5" x14ac:dyDescent="0.3">
      <c r="A30" s="1" t="s">
        <v>133</v>
      </c>
      <c r="B30" s="1">
        <v>2026</v>
      </c>
      <c r="C30" s="1">
        <v>5</v>
      </c>
      <c r="D30" s="1">
        <v>17</v>
      </c>
      <c r="E30" s="1">
        <v>9</v>
      </c>
    </row>
    <row r="31" spans="1:5" x14ac:dyDescent="0.3">
      <c r="A31" s="1" t="s">
        <v>136</v>
      </c>
      <c r="B31" s="1">
        <v>2026</v>
      </c>
      <c r="C31" s="1">
        <v>2</v>
      </c>
      <c r="D31" s="1">
        <v>25</v>
      </c>
      <c r="E31" s="1">
        <v>12</v>
      </c>
    </row>
    <row r="32" spans="1:5" x14ac:dyDescent="0.3">
      <c r="A32" s="1" t="s">
        <v>139</v>
      </c>
      <c r="B32" s="1">
        <v>2026</v>
      </c>
      <c r="C32" s="1">
        <v>1</v>
      </c>
      <c r="D32" s="1">
        <v>37</v>
      </c>
      <c r="E32" s="1">
        <v>11</v>
      </c>
    </row>
    <row r="33" spans="1:5" x14ac:dyDescent="0.3">
      <c r="A33" s="1" t="s">
        <v>142</v>
      </c>
      <c r="B33" s="1">
        <v>2026</v>
      </c>
      <c r="C33" s="1">
        <v>4</v>
      </c>
      <c r="D33" s="1">
        <v>9</v>
      </c>
      <c r="E33" s="1">
        <v>11</v>
      </c>
    </row>
    <row r="34" spans="1:5" x14ac:dyDescent="0.3">
      <c r="A34" s="1" t="s">
        <v>146</v>
      </c>
      <c r="B34" s="1">
        <v>2026</v>
      </c>
      <c r="C34" s="1">
        <v>5</v>
      </c>
      <c r="D34" s="1">
        <v>56</v>
      </c>
      <c r="E34" s="1">
        <v>9</v>
      </c>
    </row>
    <row r="35" spans="1:5" x14ac:dyDescent="0.3">
      <c r="A35" s="1" t="s">
        <v>149</v>
      </c>
      <c r="B35" s="1">
        <v>2026</v>
      </c>
      <c r="C35" s="1">
        <v>1</v>
      </c>
      <c r="D35" s="1">
        <v>31</v>
      </c>
      <c r="E35" s="1">
        <v>8</v>
      </c>
    </row>
    <row r="36" spans="1:5" x14ac:dyDescent="0.3">
      <c r="A36" s="1" t="s">
        <v>152</v>
      </c>
      <c r="B36" s="1">
        <v>2026</v>
      </c>
      <c r="C36" s="1">
        <v>5</v>
      </c>
      <c r="D36" s="1">
        <v>25</v>
      </c>
      <c r="E36" s="1">
        <v>3</v>
      </c>
    </row>
    <row r="37" spans="1:5" x14ac:dyDescent="0.3">
      <c r="A37" s="1" t="s">
        <v>155</v>
      </c>
      <c r="B37" s="1">
        <v>2026</v>
      </c>
      <c r="C37" s="1">
        <v>1</v>
      </c>
      <c r="D37" s="1">
        <v>58</v>
      </c>
      <c r="E37" s="1">
        <v>11</v>
      </c>
    </row>
    <row r="38" spans="1:5" x14ac:dyDescent="0.3">
      <c r="A38" s="1" t="s">
        <v>158</v>
      </c>
      <c r="B38" s="1">
        <v>2026</v>
      </c>
      <c r="C38" s="1">
        <v>4</v>
      </c>
      <c r="D38" s="1">
        <v>25</v>
      </c>
      <c r="E38" s="1">
        <v>10</v>
      </c>
    </row>
    <row r="39" spans="1:5" x14ac:dyDescent="0.3">
      <c r="A39" s="1" t="s">
        <v>161</v>
      </c>
      <c r="B39" s="1">
        <v>2026</v>
      </c>
      <c r="C39" s="1">
        <v>4</v>
      </c>
      <c r="D39" s="1">
        <v>41</v>
      </c>
      <c r="E39" s="1">
        <v>4</v>
      </c>
    </row>
    <row r="40" spans="1:5" x14ac:dyDescent="0.3">
      <c r="A40" s="1" t="s">
        <v>164</v>
      </c>
      <c r="B40" s="1">
        <v>2026</v>
      </c>
      <c r="C40" s="1">
        <v>3</v>
      </c>
      <c r="D40" s="1">
        <v>7</v>
      </c>
      <c r="E40" s="1">
        <v>9</v>
      </c>
    </row>
    <row r="41" spans="1:5" x14ac:dyDescent="0.3">
      <c r="A41" s="1" t="s">
        <v>168</v>
      </c>
      <c r="B41" s="1">
        <v>2026</v>
      </c>
      <c r="C41" s="1">
        <v>2</v>
      </c>
      <c r="D41" s="1">
        <v>14</v>
      </c>
      <c r="E41" s="1">
        <v>3</v>
      </c>
    </row>
    <row r="42" spans="1:5" x14ac:dyDescent="0.3">
      <c r="A42" s="1" t="s">
        <v>171</v>
      </c>
      <c r="B42" s="1">
        <v>2026</v>
      </c>
      <c r="C42" s="1">
        <v>4</v>
      </c>
      <c r="D42" s="1">
        <v>49</v>
      </c>
      <c r="E42" s="1">
        <v>12</v>
      </c>
    </row>
    <row r="43" spans="1:5" x14ac:dyDescent="0.3">
      <c r="A43" s="1" t="s">
        <v>174</v>
      </c>
      <c r="B43" s="1">
        <v>2026</v>
      </c>
      <c r="C43" s="1">
        <v>3</v>
      </c>
      <c r="D43" s="1">
        <v>11</v>
      </c>
      <c r="E43" s="1">
        <v>11</v>
      </c>
    </row>
    <row r="44" spans="1:5" x14ac:dyDescent="0.3">
      <c r="A44" s="1" t="s">
        <v>177</v>
      </c>
      <c r="B44" s="1">
        <v>2026</v>
      </c>
      <c r="C44" s="1">
        <v>5</v>
      </c>
      <c r="D44" s="1">
        <v>42</v>
      </c>
      <c r="E44" s="1">
        <v>7</v>
      </c>
    </row>
    <row r="45" spans="1:5" x14ac:dyDescent="0.3">
      <c r="A45" s="1" t="s">
        <v>180</v>
      </c>
      <c r="B45" s="1">
        <v>2026</v>
      </c>
      <c r="C45" s="1">
        <v>3</v>
      </c>
      <c r="D45" s="1">
        <v>49</v>
      </c>
      <c r="E45" s="1">
        <v>8</v>
      </c>
    </row>
    <row r="46" spans="1:5" x14ac:dyDescent="0.3">
      <c r="A46" s="1" t="s">
        <v>183</v>
      </c>
      <c r="B46" s="1">
        <v>2026</v>
      </c>
      <c r="C46" s="1">
        <v>1</v>
      </c>
      <c r="D46" s="1">
        <v>27</v>
      </c>
      <c r="E46" s="1">
        <v>9</v>
      </c>
    </row>
    <row r="47" spans="1:5" x14ac:dyDescent="0.3">
      <c r="A47" s="1" t="s">
        <v>186</v>
      </c>
      <c r="B47" s="1">
        <v>2026</v>
      </c>
      <c r="C47" s="1">
        <v>4</v>
      </c>
      <c r="D47" s="1">
        <v>34</v>
      </c>
      <c r="E47" s="1">
        <v>1</v>
      </c>
    </row>
    <row r="48" spans="1:5" x14ac:dyDescent="0.3">
      <c r="A48" s="1" t="s">
        <v>189</v>
      </c>
      <c r="B48" s="1">
        <v>2026</v>
      </c>
      <c r="C48" s="1">
        <v>5</v>
      </c>
      <c r="D48" s="1">
        <v>8</v>
      </c>
      <c r="E48" s="1">
        <v>3</v>
      </c>
    </row>
    <row r="49" spans="1:5" x14ac:dyDescent="0.3">
      <c r="A49" s="1" t="s">
        <v>192</v>
      </c>
      <c r="B49" s="1">
        <v>2026</v>
      </c>
      <c r="C49" s="1">
        <v>5</v>
      </c>
      <c r="D49" s="1">
        <v>58</v>
      </c>
      <c r="E49" s="1">
        <v>1</v>
      </c>
    </row>
    <row r="50" spans="1:5" x14ac:dyDescent="0.3">
      <c r="A50" s="1" t="s">
        <v>195</v>
      </c>
      <c r="B50" s="1">
        <v>2026</v>
      </c>
      <c r="C50" s="1">
        <v>2</v>
      </c>
      <c r="D50" s="1">
        <v>11</v>
      </c>
      <c r="E50" s="1">
        <v>6</v>
      </c>
    </row>
    <row r="51" spans="1:5" x14ac:dyDescent="0.3">
      <c r="A51" s="1" t="s">
        <v>198</v>
      </c>
      <c r="B51" s="1">
        <v>2026</v>
      </c>
      <c r="C51" s="1">
        <v>1</v>
      </c>
      <c r="D51" s="1">
        <v>12</v>
      </c>
      <c r="E51" s="1">
        <v>4</v>
      </c>
    </row>
    <row r="52" spans="1:5" x14ac:dyDescent="0.3">
      <c r="A52" s="1" t="s">
        <v>200</v>
      </c>
      <c r="B52" s="1">
        <v>2026</v>
      </c>
      <c r="C52" s="1">
        <v>5</v>
      </c>
      <c r="D52" s="1">
        <v>54</v>
      </c>
      <c r="E52" s="1">
        <v>5</v>
      </c>
    </row>
    <row r="53" spans="1:5" x14ac:dyDescent="0.3">
      <c r="A53" s="1" t="s">
        <v>203</v>
      </c>
      <c r="B53" s="1">
        <v>2026</v>
      </c>
      <c r="C53" s="1">
        <v>4</v>
      </c>
      <c r="D53" s="1">
        <v>38</v>
      </c>
      <c r="E53" s="1">
        <v>4</v>
      </c>
    </row>
    <row r="54" spans="1:5" x14ac:dyDescent="0.3">
      <c r="A54" s="1" t="s">
        <v>206</v>
      </c>
      <c r="B54" s="1">
        <v>2026</v>
      </c>
      <c r="C54" s="1">
        <v>4</v>
      </c>
      <c r="D54" s="1">
        <v>47</v>
      </c>
      <c r="E54" s="1">
        <v>1</v>
      </c>
    </row>
    <row r="55" spans="1:5" x14ac:dyDescent="0.3">
      <c r="A55" s="1" t="s">
        <v>209</v>
      </c>
      <c r="B55" s="1">
        <v>2026</v>
      </c>
      <c r="C55" s="1">
        <v>2</v>
      </c>
      <c r="D55" s="1">
        <v>41</v>
      </c>
      <c r="E55" s="1">
        <v>5</v>
      </c>
    </row>
    <row r="56" spans="1:5" x14ac:dyDescent="0.3">
      <c r="A56" s="1" t="s">
        <v>212</v>
      </c>
      <c r="B56" s="1">
        <v>2026</v>
      </c>
      <c r="C56" s="1">
        <v>1</v>
      </c>
      <c r="D56" s="1">
        <v>59</v>
      </c>
      <c r="E56" s="1">
        <v>8</v>
      </c>
    </row>
    <row r="57" spans="1:5" x14ac:dyDescent="0.3">
      <c r="A57" s="1" t="s">
        <v>215</v>
      </c>
      <c r="B57" s="1">
        <v>2026</v>
      </c>
      <c r="C57" s="1">
        <v>3</v>
      </c>
      <c r="D57" s="1">
        <v>13</v>
      </c>
      <c r="E57" s="1">
        <v>12</v>
      </c>
    </row>
    <row r="58" spans="1:5" x14ac:dyDescent="0.3">
      <c r="A58" s="1" t="s">
        <v>218</v>
      </c>
      <c r="B58" s="1">
        <v>2026</v>
      </c>
      <c r="C58" s="1">
        <v>4</v>
      </c>
      <c r="D58" s="1">
        <v>22</v>
      </c>
      <c r="E58" s="1">
        <v>9</v>
      </c>
    </row>
    <row r="59" spans="1:5" x14ac:dyDescent="0.3">
      <c r="A59" s="1" t="s">
        <v>221</v>
      </c>
      <c r="B59" s="1">
        <v>2026</v>
      </c>
      <c r="C59" s="1">
        <v>2</v>
      </c>
      <c r="D59" s="1">
        <v>5</v>
      </c>
      <c r="E59" s="1">
        <v>4</v>
      </c>
    </row>
    <row r="60" spans="1:5" x14ac:dyDescent="0.3">
      <c r="A60" s="1" t="s">
        <v>224</v>
      </c>
      <c r="B60" s="1">
        <v>2026</v>
      </c>
      <c r="C60" s="1">
        <v>3</v>
      </c>
      <c r="D60" s="1">
        <v>38</v>
      </c>
      <c r="E60" s="1">
        <v>0</v>
      </c>
    </row>
    <row r="61" spans="1:5" x14ac:dyDescent="0.3">
      <c r="A61" s="1" t="s">
        <v>227</v>
      </c>
      <c r="B61" s="1">
        <v>2026</v>
      </c>
      <c r="C61" s="1">
        <v>3</v>
      </c>
      <c r="D61" s="1">
        <v>50</v>
      </c>
      <c r="E61" s="1">
        <v>5</v>
      </c>
    </row>
    <row r="62" spans="1:5" x14ac:dyDescent="0.3">
      <c r="A62" s="1" t="s">
        <v>230</v>
      </c>
      <c r="B62" s="1">
        <v>2026</v>
      </c>
      <c r="C62" s="1">
        <v>4</v>
      </c>
      <c r="D62" s="1">
        <v>2</v>
      </c>
      <c r="E62" s="1">
        <v>3</v>
      </c>
    </row>
    <row r="63" spans="1:5" x14ac:dyDescent="0.3">
      <c r="A63" s="1" t="s">
        <v>233</v>
      </c>
      <c r="B63" s="1">
        <v>2026</v>
      </c>
      <c r="C63" s="1">
        <v>5</v>
      </c>
      <c r="D63" s="1">
        <v>38</v>
      </c>
      <c r="E63" s="1">
        <v>12</v>
      </c>
    </row>
    <row r="64" spans="1:5" x14ac:dyDescent="0.3">
      <c r="A64" s="1" t="s">
        <v>236</v>
      </c>
      <c r="B64" s="1">
        <v>2026</v>
      </c>
      <c r="C64" s="1">
        <v>1</v>
      </c>
      <c r="D64" s="1">
        <v>41</v>
      </c>
      <c r="E64" s="1">
        <v>1</v>
      </c>
    </row>
    <row r="65" spans="1:5" x14ac:dyDescent="0.3">
      <c r="A65" s="1" t="s">
        <v>239</v>
      </c>
      <c r="B65" s="1">
        <v>2026</v>
      </c>
      <c r="C65" s="1">
        <v>3</v>
      </c>
      <c r="D65" s="1">
        <v>12</v>
      </c>
      <c r="E65" s="1">
        <v>10</v>
      </c>
    </row>
    <row r="66" spans="1:5" x14ac:dyDescent="0.3">
      <c r="A66" s="1" t="s">
        <v>242</v>
      </c>
      <c r="B66" s="1">
        <v>2026</v>
      </c>
      <c r="C66" s="1">
        <v>3</v>
      </c>
      <c r="D66" s="1">
        <v>21</v>
      </c>
      <c r="E66" s="1">
        <v>11</v>
      </c>
    </row>
    <row r="67" spans="1:5" x14ac:dyDescent="0.3">
      <c r="A67" s="1" t="s">
        <v>245</v>
      </c>
      <c r="B67" s="1">
        <v>2026</v>
      </c>
      <c r="C67" s="1">
        <v>5</v>
      </c>
      <c r="D67" s="1">
        <v>7</v>
      </c>
      <c r="E67" s="1">
        <v>11</v>
      </c>
    </row>
    <row r="68" spans="1:5" x14ac:dyDescent="0.3">
      <c r="A68" s="1" t="s">
        <v>248</v>
      </c>
      <c r="B68" s="1">
        <v>2026</v>
      </c>
      <c r="C68" s="1">
        <v>3</v>
      </c>
      <c r="D68" s="1">
        <v>7</v>
      </c>
      <c r="E68" s="1">
        <v>5</v>
      </c>
    </row>
    <row r="69" spans="1:5" x14ac:dyDescent="0.3">
      <c r="A69" s="1" t="s">
        <v>251</v>
      </c>
      <c r="B69" s="1">
        <v>2026</v>
      </c>
      <c r="C69" s="1">
        <v>2</v>
      </c>
      <c r="D69" s="1">
        <v>42</v>
      </c>
      <c r="E69" s="1">
        <v>12</v>
      </c>
    </row>
    <row r="70" spans="1:5" x14ac:dyDescent="0.3">
      <c r="A70" s="1" t="s">
        <v>254</v>
      </c>
      <c r="B70" s="1">
        <v>2026</v>
      </c>
      <c r="C70" s="1">
        <v>4</v>
      </c>
      <c r="D70" s="1">
        <v>11</v>
      </c>
      <c r="E70" s="1">
        <v>5</v>
      </c>
    </row>
    <row r="71" spans="1:5" x14ac:dyDescent="0.3">
      <c r="A71" s="1" t="s">
        <v>257</v>
      </c>
      <c r="B71" s="1">
        <v>2026</v>
      </c>
      <c r="C71" s="1">
        <v>4</v>
      </c>
      <c r="D71" s="1">
        <v>6</v>
      </c>
      <c r="E71" s="1">
        <v>7</v>
      </c>
    </row>
    <row r="72" spans="1:5" x14ac:dyDescent="0.3">
      <c r="A72" s="1" t="s">
        <v>260</v>
      </c>
      <c r="B72" s="1">
        <v>2026</v>
      </c>
      <c r="C72" s="1">
        <v>2</v>
      </c>
      <c r="D72" s="1">
        <v>6</v>
      </c>
      <c r="E72" s="1">
        <v>0</v>
      </c>
    </row>
    <row r="73" spans="1:5" x14ac:dyDescent="0.3">
      <c r="A73" s="1" t="s">
        <v>263</v>
      </c>
      <c r="B73" s="1">
        <v>2026</v>
      </c>
      <c r="C73" s="1">
        <v>4</v>
      </c>
      <c r="D73" s="1">
        <v>38</v>
      </c>
      <c r="E73" s="1">
        <v>6</v>
      </c>
    </row>
    <row r="74" spans="1:5" x14ac:dyDescent="0.3">
      <c r="A74" s="1" t="s">
        <v>266</v>
      </c>
      <c r="B74" s="1">
        <v>2026</v>
      </c>
      <c r="C74" s="1">
        <v>3</v>
      </c>
      <c r="D74" s="1">
        <v>37</v>
      </c>
      <c r="E74" s="1">
        <v>2</v>
      </c>
    </row>
    <row r="75" spans="1:5" x14ac:dyDescent="0.3">
      <c r="A75" s="1" t="s">
        <v>269</v>
      </c>
      <c r="B75" s="1">
        <v>2026</v>
      </c>
      <c r="C75" s="1">
        <v>3</v>
      </c>
      <c r="D75" s="1">
        <v>1</v>
      </c>
      <c r="E75" s="1">
        <v>6</v>
      </c>
    </row>
    <row r="76" spans="1:5" x14ac:dyDescent="0.3">
      <c r="A76" s="1" t="s">
        <v>272</v>
      </c>
      <c r="B76" s="1">
        <v>2026</v>
      </c>
      <c r="C76" s="1">
        <v>5</v>
      </c>
      <c r="D76" s="1">
        <v>9</v>
      </c>
      <c r="E76" s="1">
        <v>8</v>
      </c>
    </row>
    <row r="77" spans="1:5" x14ac:dyDescent="0.3">
      <c r="A77" s="1" t="s">
        <v>275</v>
      </c>
      <c r="B77" s="1">
        <v>2026</v>
      </c>
      <c r="C77" s="1">
        <v>3</v>
      </c>
      <c r="D77" s="1">
        <v>29</v>
      </c>
      <c r="E77" s="1">
        <v>1</v>
      </c>
    </row>
    <row r="78" spans="1:5" x14ac:dyDescent="0.3">
      <c r="A78" s="1" t="s">
        <v>278</v>
      </c>
      <c r="B78" s="1">
        <v>2026</v>
      </c>
      <c r="C78" s="1">
        <v>1</v>
      </c>
      <c r="D78" s="1">
        <v>14</v>
      </c>
      <c r="E78" s="1">
        <v>3</v>
      </c>
    </row>
    <row r="79" spans="1:5" x14ac:dyDescent="0.3">
      <c r="A79" s="1" t="s">
        <v>281</v>
      </c>
      <c r="B79" s="1">
        <v>2026</v>
      </c>
      <c r="C79" s="1">
        <v>4</v>
      </c>
      <c r="D79" s="1">
        <v>19</v>
      </c>
      <c r="E79" s="1">
        <v>5</v>
      </c>
    </row>
    <row r="80" spans="1:5" x14ac:dyDescent="0.3">
      <c r="A80" s="1" t="s">
        <v>284</v>
      </c>
      <c r="B80" s="1">
        <v>2026</v>
      </c>
      <c r="C80" s="1">
        <v>1</v>
      </c>
      <c r="D80" s="1">
        <v>40</v>
      </c>
      <c r="E80" s="1">
        <v>12</v>
      </c>
    </row>
    <row r="81" spans="1:5" x14ac:dyDescent="0.3">
      <c r="A81" s="1" t="s">
        <v>287</v>
      </c>
      <c r="B81" s="1">
        <v>2026</v>
      </c>
      <c r="C81" s="1">
        <v>2</v>
      </c>
      <c r="D81" s="1">
        <v>30</v>
      </c>
      <c r="E81" s="1">
        <v>12</v>
      </c>
    </row>
    <row r="82" spans="1:5" x14ac:dyDescent="0.3">
      <c r="A82" s="1" t="s">
        <v>290</v>
      </c>
      <c r="B82" s="1">
        <v>2026</v>
      </c>
      <c r="C82" s="1">
        <v>4</v>
      </c>
      <c r="D82" s="1">
        <v>17</v>
      </c>
      <c r="E82" s="1">
        <v>3</v>
      </c>
    </row>
    <row r="83" spans="1:5" x14ac:dyDescent="0.3">
      <c r="A83" s="1" t="s">
        <v>293</v>
      </c>
      <c r="B83" s="1">
        <v>2026</v>
      </c>
      <c r="C83" s="1">
        <v>1</v>
      </c>
      <c r="D83" s="1">
        <v>29</v>
      </c>
      <c r="E83" s="1">
        <v>4</v>
      </c>
    </row>
    <row r="84" spans="1:5" x14ac:dyDescent="0.3">
      <c r="A84" s="1" t="s">
        <v>296</v>
      </c>
      <c r="B84" s="1">
        <v>2026</v>
      </c>
      <c r="C84" s="1">
        <v>3</v>
      </c>
      <c r="D84" s="1">
        <v>54</v>
      </c>
      <c r="E84" s="1">
        <v>5</v>
      </c>
    </row>
    <row r="85" spans="1:5" x14ac:dyDescent="0.3">
      <c r="A85" s="1" t="s">
        <v>299</v>
      </c>
      <c r="B85" s="1">
        <v>2026</v>
      </c>
      <c r="C85" s="1">
        <v>2</v>
      </c>
      <c r="D85" s="1">
        <v>1</v>
      </c>
      <c r="E85" s="1">
        <v>10</v>
      </c>
    </row>
    <row r="86" spans="1:5" x14ac:dyDescent="0.3">
      <c r="A86" s="1" t="s">
        <v>302</v>
      </c>
      <c r="B86" s="1">
        <v>2026</v>
      </c>
      <c r="C86" s="1">
        <v>4</v>
      </c>
      <c r="D86" s="1">
        <v>60</v>
      </c>
      <c r="E86" s="1">
        <v>3</v>
      </c>
    </row>
    <row r="87" spans="1:5" x14ac:dyDescent="0.3">
      <c r="A87" s="1" t="s">
        <v>305</v>
      </c>
      <c r="B87" s="1">
        <v>2026</v>
      </c>
      <c r="C87" s="1">
        <v>3</v>
      </c>
      <c r="D87" s="1">
        <v>14</v>
      </c>
      <c r="E87" s="1">
        <v>0</v>
      </c>
    </row>
    <row r="88" spans="1:5" x14ac:dyDescent="0.3">
      <c r="A88" s="1" t="s">
        <v>307</v>
      </c>
      <c r="B88" s="1">
        <v>2026</v>
      </c>
      <c r="C88" s="1">
        <v>5</v>
      </c>
      <c r="D88" s="1">
        <v>23</v>
      </c>
      <c r="E88" s="1">
        <v>10</v>
      </c>
    </row>
    <row r="89" spans="1:5" x14ac:dyDescent="0.3">
      <c r="A89" s="1" t="s">
        <v>310</v>
      </c>
      <c r="B89" s="1">
        <v>2026</v>
      </c>
      <c r="C89" s="1">
        <v>5</v>
      </c>
      <c r="D89" s="1">
        <v>5</v>
      </c>
      <c r="E89" s="1">
        <v>5</v>
      </c>
    </row>
    <row r="90" spans="1:5" x14ac:dyDescent="0.3">
      <c r="A90" s="1" t="s">
        <v>313</v>
      </c>
      <c r="B90" s="1">
        <v>2026</v>
      </c>
      <c r="C90" s="1">
        <v>1</v>
      </c>
      <c r="D90" s="1">
        <v>31</v>
      </c>
      <c r="E90" s="1">
        <v>2</v>
      </c>
    </row>
    <row r="91" spans="1:5" x14ac:dyDescent="0.3">
      <c r="A91" s="1" t="s">
        <v>316</v>
      </c>
      <c r="B91" s="1">
        <v>2026</v>
      </c>
      <c r="C91" s="1">
        <v>3</v>
      </c>
      <c r="D91" s="1">
        <v>25</v>
      </c>
      <c r="E91" s="1">
        <v>2</v>
      </c>
    </row>
    <row r="92" spans="1:5" x14ac:dyDescent="0.3">
      <c r="A92" s="1" t="s">
        <v>319</v>
      </c>
      <c r="B92" s="1">
        <v>2026</v>
      </c>
      <c r="C92" s="1">
        <v>1</v>
      </c>
      <c r="D92" s="1">
        <v>9</v>
      </c>
      <c r="E92" s="1">
        <v>2</v>
      </c>
    </row>
    <row r="93" spans="1:5" x14ac:dyDescent="0.3">
      <c r="A93" s="1" t="s">
        <v>322</v>
      </c>
      <c r="B93" s="1">
        <v>2026</v>
      </c>
      <c r="C93" s="1">
        <v>3</v>
      </c>
      <c r="D93" s="1">
        <v>7</v>
      </c>
      <c r="E93" s="1">
        <v>4</v>
      </c>
    </row>
    <row r="94" spans="1:5" x14ac:dyDescent="0.3">
      <c r="A94" s="1" t="s">
        <v>325</v>
      </c>
      <c r="B94" s="1">
        <v>2026</v>
      </c>
      <c r="C94" s="1">
        <v>2</v>
      </c>
      <c r="D94" s="1">
        <v>5</v>
      </c>
      <c r="E94" s="1">
        <v>4</v>
      </c>
    </row>
    <row r="95" spans="1:5" x14ac:dyDescent="0.3">
      <c r="A95" s="1" t="s">
        <v>328</v>
      </c>
      <c r="B95" s="1">
        <v>2026</v>
      </c>
      <c r="C95" s="1">
        <v>1</v>
      </c>
      <c r="D95" s="1">
        <v>28</v>
      </c>
      <c r="E95" s="1">
        <v>10</v>
      </c>
    </row>
    <row r="96" spans="1:5" x14ac:dyDescent="0.3">
      <c r="A96" s="1" t="s">
        <v>331</v>
      </c>
      <c r="B96" s="1">
        <v>2026</v>
      </c>
      <c r="C96" s="1">
        <v>2</v>
      </c>
      <c r="D96" s="1">
        <v>44</v>
      </c>
      <c r="E96" s="1">
        <v>5</v>
      </c>
    </row>
    <row r="97" spans="1:5" x14ac:dyDescent="0.3">
      <c r="A97" s="1" t="s">
        <v>334</v>
      </c>
      <c r="B97" s="1">
        <v>2026</v>
      </c>
      <c r="C97" s="1">
        <v>4</v>
      </c>
      <c r="D97" s="1">
        <v>41</v>
      </c>
      <c r="E97" s="1">
        <v>5</v>
      </c>
    </row>
    <row r="98" spans="1:5" x14ac:dyDescent="0.3">
      <c r="A98" s="1" t="s">
        <v>337</v>
      </c>
      <c r="B98" s="1">
        <v>2026</v>
      </c>
      <c r="C98" s="1">
        <v>2</v>
      </c>
      <c r="D98" s="1">
        <v>10</v>
      </c>
      <c r="E98" s="1">
        <v>5</v>
      </c>
    </row>
    <row r="99" spans="1:5" x14ac:dyDescent="0.3">
      <c r="A99" s="1" t="s">
        <v>340</v>
      </c>
      <c r="B99" s="1">
        <v>2026</v>
      </c>
      <c r="C99" s="1">
        <v>2</v>
      </c>
      <c r="D99" s="1">
        <v>15</v>
      </c>
      <c r="E99" s="1">
        <v>7</v>
      </c>
    </row>
    <row r="100" spans="1:5" x14ac:dyDescent="0.3">
      <c r="A100" s="1" t="s">
        <v>343</v>
      </c>
      <c r="B100" s="1">
        <v>2026</v>
      </c>
      <c r="C100" s="1">
        <v>4</v>
      </c>
      <c r="D100" s="1">
        <v>59</v>
      </c>
      <c r="E100" s="1">
        <v>11</v>
      </c>
    </row>
    <row r="101" spans="1:5" x14ac:dyDescent="0.3">
      <c r="A101" s="1" t="s">
        <v>346</v>
      </c>
      <c r="B101" s="1">
        <v>2026</v>
      </c>
      <c r="C101" s="1">
        <v>1</v>
      </c>
      <c r="D101" s="1">
        <v>23</v>
      </c>
      <c r="E101" s="1">
        <v>8</v>
      </c>
    </row>
    <row r="102" spans="1:5" x14ac:dyDescent="0.3">
      <c r="A102" s="1" t="s">
        <v>349</v>
      </c>
      <c r="B102" s="1">
        <v>2026</v>
      </c>
      <c r="C102" s="1">
        <v>5</v>
      </c>
      <c r="D102" s="1">
        <v>31</v>
      </c>
      <c r="E102" s="1">
        <v>12</v>
      </c>
    </row>
    <row r="103" spans="1:5" x14ac:dyDescent="0.3">
      <c r="A103" s="1" t="s">
        <v>352</v>
      </c>
      <c r="B103" s="1">
        <v>2026</v>
      </c>
      <c r="C103" s="1">
        <v>5</v>
      </c>
      <c r="D103" s="1">
        <v>3</v>
      </c>
      <c r="E103" s="1">
        <v>12</v>
      </c>
    </row>
    <row r="104" spans="1:5" x14ac:dyDescent="0.3">
      <c r="A104" s="1" t="s">
        <v>355</v>
      </c>
      <c r="B104" s="1">
        <v>2026</v>
      </c>
      <c r="C104" s="1">
        <v>5</v>
      </c>
      <c r="D104" s="1">
        <v>34</v>
      </c>
      <c r="E104" s="1">
        <v>9</v>
      </c>
    </row>
    <row r="105" spans="1:5" x14ac:dyDescent="0.3">
      <c r="A105" s="1" t="s">
        <v>358</v>
      </c>
      <c r="B105" s="1">
        <v>2026</v>
      </c>
      <c r="C105" s="1">
        <v>3</v>
      </c>
      <c r="D105" s="1">
        <v>57</v>
      </c>
      <c r="E105" s="1">
        <v>1</v>
      </c>
    </row>
    <row r="106" spans="1:5" x14ac:dyDescent="0.3">
      <c r="A106" s="1" t="s">
        <v>361</v>
      </c>
      <c r="B106" s="1">
        <v>2026</v>
      </c>
      <c r="C106" s="1">
        <v>3</v>
      </c>
      <c r="D106" s="1">
        <v>24</v>
      </c>
      <c r="E106" s="1">
        <v>9</v>
      </c>
    </row>
    <row r="107" spans="1:5" x14ac:dyDescent="0.3">
      <c r="A107" s="1" t="s">
        <v>364</v>
      </c>
      <c r="B107" s="1">
        <v>2026</v>
      </c>
      <c r="C107" s="1">
        <v>5</v>
      </c>
      <c r="D107" s="1">
        <v>6</v>
      </c>
      <c r="E107" s="1">
        <v>5</v>
      </c>
    </row>
    <row r="108" spans="1:5" x14ac:dyDescent="0.3">
      <c r="A108" s="1" t="s">
        <v>367</v>
      </c>
      <c r="B108" s="1">
        <v>2026</v>
      </c>
      <c r="C108" s="1">
        <v>1</v>
      </c>
      <c r="D108" s="1">
        <v>49</v>
      </c>
      <c r="E108" s="1">
        <v>9</v>
      </c>
    </row>
    <row r="109" spans="1:5" x14ac:dyDescent="0.3">
      <c r="A109" s="1" t="s">
        <v>370</v>
      </c>
      <c r="B109" s="1">
        <v>2026</v>
      </c>
      <c r="C109" s="1">
        <v>1</v>
      </c>
      <c r="D109" s="1">
        <v>23</v>
      </c>
      <c r="E109" s="1">
        <v>11</v>
      </c>
    </row>
    <row r="110" spans="1:5" x14ac:dyDescent="0.3">
      <c r="A110" s="1" t="s">
        <v>373</v>
      </c>
      <c r="B110" s="1">
        <v>2026</v>
      </c>
      <c r="C110" s="1">
        <v>3</v>
      </c>
      <c r="D110" s="1">
        <v>38</v>
      </c>
      <c r="E110" s="1">
        <v>3</v>
      </c>
    </row>
    <row r="111" spans="1:5" x14ac:dyDescent="0.3">
      <c r="A111" s="1" t="s">
        <v>376</v>
      </c>
      <c r="B111" s="1">
        <v>2026</v>
      </c>
      <c r="C111" s="1">
        <v>4</v>
      </c>
      <c r="D111" s="1">
        <v>50</v>
      </c>
      <c r="E111" s="1">
        <v>7</v>
      </c>
    </row>
    <row r="112" spans="1:5" x14ac:dyDescent="0.3">
      <c r="A112" s="1" t="s">
        <v>379</v>
      </c>
      <c r="B112" s="1">
        <v>2026</v>
      </c>
      <c r="C112" s="1">
        <v>5</v>
      </c>
      <c r="D112" s="1">
        <v>12</v>
      </c>
      <c r="E112" s="1">
        <v>0</v>
      </c>
    </row>
    <row r="113" spans="1:5" x14ac:dyDescent="0.3">
      <c r="A113" s="1" t="s">
        <v>382</v>
      </c>
      <c r="B113" s="1">
        <v>2026</v>
      </c>
      <c r="C113" s="1">
        <v>2</v>
      </c>
      <c r="D113" s="1">
        <v>52</v>
      </c>
      <c r="E113" s="1">
        <v>12</v>
      </c>
    </row>
    <row r="114" spans="1:5" x14ac:dyDescent="0.3">
      <c r="A114" s="1" t="s">
        <v>385</v>
      </c>
      <c r="B114" s="1">
        <v>2026</v>
      </c>
      <c r="C114" s="1">
        <v>5</v>
      </c>
      <c r="D114" s="1">
        <v>32</v>
      </c>
      <c r="E114" s="1">
        <v>11</v>
      </c>
    </row>
    <row r="115" spans="1:5" x14ac:dyDescent="0.3">
      <c r="A115" s="1" t="s">
        <v>388</v>
      </c>
      <c r="B115" s="1">
        <v>2026</v>
      </c>
      <c r="C115" s="1">
        <v>3</v>
      </c>
      <c r="D115" s="1">
        <v>10</v>
      </c>
      <c r="E115" s="1">
        <v>8</v>
      </c>
    </row>
    <row r="116" spans="1:5" x14ac:dyDescent="0.3">
      <c r="A116" s="1" t="s">
        <v>391</v>
      </c>
      <c r="B116" s="1">
        <v>2026</v>
      </c>
      <c r="C116" s="1">
        <v>1</v>
      </c>
      <c r="D116" s="1">
        <v>47</v>
      </c>
      <c r="E116" s="1">
        <v>11</v>
      </c>
    </row>
    <row r="117" spans="1:5" x14ac:dyDescent="0.3">
      <c r="A117" s="1" t="s">
        <v>394</v>
      </c>
      <c r="B117" s="1">
        <v>2026</v>
      </c>
      <c r="C117" s="1">
        <v>5</v>
      </c>
      <c r="D117" s="1">
        <v>10</v>
      </c>
      <c r="E117" s="1">
        <v>1</v>
      </c>
    </row>
    <row r="118" spans="1:5" x14ac:dyDescent="0.3">
      <c r="A118" s="1" t="s">
        <v>397</v>
      </c>
      <c r="B118" s="1">
        <v>2026</v>
      </c>
      <c r="C118" s="1">
        <v>1</v>
      </c>
      <c r="D118" s="1">
        <v>54</v>
      </c>
      <c r="E118" s="1">
        <v>5</v>
      </c>
    </row>
    <row r="119" spans="1:5" x14ac:dyDescent="0.3">
      <c r="A119" s="1" t="s">
        <v>399</v>
      </c>
      <c r="B119" s="1">
        <v>2026</v>
      </c>
      <c r="C119" s="1">
        <v>5</v>
      </c>
      <c r="D119" s="1">
        <v>32</v>
      </c>
      <c r="E119" s="1">
        <v>12</v>
      </c>
    </row>
    <row r="120" spans="1:5" x14ac:dyDescent="0.3">
      <c r="A120" s="1" t="s">
        <v>402</v>
      </c>
      <c r="B120" s="1">
        <v>2026</v>
      </c>
      <c r="C120" s="1">
        <v>2</v>
      </c>
      <c r="D120" s="1">
        <v>60</v>
      </c>
      <c r="E120" s="1">
        <v>2</v>
      </c>
    </row>
    <row r="121" spans="1:5" x14ac:dyDescent="0.3">
      <c r="A121" s="1" t="s">
        <v>405</v>
      </c>
      <c r="B121" s="1">
        <v>2026</v>
      </c>
      <c r="C121" s="1">
        <v>2</v>
      </c>
      <c r="D121" s="1">
        <v>37</v>
      </c>
      <c r="E121" s="1">
        <v>11</v>
      </c>
    </row>
    <row r="122" spans="1:5" x14ac:dyDescent="0.3">
      <c r="A122" s="1" t="s">
        <v>408</v>
      </c>
      <c r="B122" s="1">
        <v>2026</v>
      </c>
      <c r="C122" s="1">
        <v>1</v>
      </c>
      <c r="D122" s="1">
        <v>4</v>
      </c>
      <c r="E122" s="1">
        <v>4</v>
      </c>
    </row>
    <row r="123" spans="1:5" x14ac:dyDescent="0.3">
      <c r="A123" s="1" t="s">
        <v>411</v>
      </c>
      <c r="B123" s="1">
        <v>2026</v>
      </c>
      <c r="C123" s="1">
        <v>5</v>
      </c>
      <c r="D123" s="1">
        <v>58</v>
      </c>
      <c r="E123" s="1">
        <v>8</v>
      </c>
    </row>
    <row r="124" spans="1:5" x14ac:dyDescent="0.3">
      <c r="A124" s="1" t="s">
        <v>414</v>
      </c>
      <c r="B124" s="1">
        <v>2026</v>
      </c>
      <c r="C124" s="1">
        <v>4</v>
      </c>
      <c r="D124" s="1">
        <v>17</v>
      </c>
      <c r="E124" s="1">
        <v>12</v>
      </c>
    </row>
    <row r="125" spans="1:5" x14ac:dyDescent="0.3">
      <c r="A125" s="1" t="s">
        <v>417</v>
      </c>
      <c r="B125" s="1">
        <v>2026</v>
      </c>
      <c r="C125" s="1">
        <v>4</v>
      </c>
      <c r="D125" s="1">
        <v>26</v>
      </c>
      <c r="E125" s="1">
        <v>9</v>
      </c>
    </row>
    <row r="126" spans="1:5" x14ac:dyDescent="0.3">
      <c r="A126" s="1" t="s">
        <v>420</v>
      </c>
      <c r="B126" s="1">
        <v>2026</v>
      </c>
      <c r="C126" s="1">
        <v>4</v>
      </c>
      <c r="D126" s="1">
        <v>60</v>
      </c>
      <c r="E126" s="1">
        <v>3</v>
      </c>
    </row>
    <row r="127" spans="1:5" x14ac:dyDescent="0.3">
      <c r="A127" s="1" t="s">
        <v>423</v>
      </c>
      <c r="B127" s="1">
        <v>2026</v>
      </c>
      <c r="C127" s="1">
        <v>2</v>
      </c>
      <c r="D127" s="1">
        <v>17</v>
      </c>
      <c r="E127" s="1">
        <v>7</v>
      </c>
    </row>
    <row r="128" spans="1:5" x14ac:dyDescent="0.3">
      <c r="A128" s="1" t="s">
        <v>426</v>
      </c>
      <c r="B128" s="1">
        <v>2026</v>
      </c>
      <c r="C128" s="1">
        <v>5</v>
      </c>
      <c r="D128" s="1">
        <v>56</v>
      </c>
      <c r="E128" s="1">
        <v>6</v>
      </c>
    </row>
    <row r="129" spans="1:5" x14ac:dyDescent="0.3">
      <c r="A129" s="1" t="s">
        <v>429</v>
      </c>
      <c r="B129" s="1">
        <v>2026</v>
      </c>
      <c r="C129" s="1">
        <v>1</v>
      </c>
      <c r="D129" s="1">
        <v>14</v>
      </c>
      <c r="E129" s="1">
        <v>6</v>
      </c>
    </row>
    <row r="130" spans="1:5" x14ac:dyDescent="0.3">
      <c r="A130" s="1" t="s">
        <v>432</v>
      </c>
      <c r="B130" s="1">
        <v>2026</v>
      </c>
      <c r="C130" s="1">
        <v>5</v>
      </c>
      <c r="D130" s="1">
        <v>54</v>
      </c>
      <c r="E130" s="1">
        <v>6</v>
      </c>
    </row>
    <row r="131" spans="1:5" x14ac:dyDescent="0.3">
      <c r="A131" s="1" t="s">
        <v>435</v>
      </c>
      <c r="B131" s="1">
        <v>2026</v>
      </c>
      <c r="C131" s="1">
        <v>1</v>
      </c>
      <c r="D131" s="1">
        <v>18</v>
      </c>
      <c r="E131" s="1">
        <v>9</v>
      </c>
    </row>
    <row r="132" spans="1:5" x14ac:dyDescent="0.3">
      <c r="A132" s="1" t="s">
        <v>438</v>
      </c>
      <c r="B132" s="1">
        <v>2026</v>
      </c>
      <c r="C132" s="1">
        <v>5</v>
      </c>
      <c r="D132" s="1">
        <v>13</v>
      </c>
      <c r="E132" s="1">
        <v>1</v>
      </c>
    </row>
    <row r="133" spans="1:5" x14ac:dyDescent="0.3">
      <c r="A133" s="1" t="s">
        <v>441</v>
      </c>
      <c r="B133" s="1">
        <v>2026</v>
      </c>
      <c r="C133" s="1">
        <v>5</v>
      </c>
      <c r="D133" s="1">
        <v>36</v>
      </c>
      <c r="E133" s="1">
        <v>11</v>
      </c>
    </row>
    <row r="134" spans="1:5" x14ac:dyDescent="0.3">
      <c r="A134" s="1" t="s">
        <v>444</v>
      </c>
      <c r="B134" s="1">
        <v>2026</v>
      </c>
      <c r="C134" s="1">
        <v>4</v>
      </c>
      <c r="D134" s="1">
        <v>26</v>
      </c>
      <c r="E134" s="1">
        <v>3</v>
      </c>
    </row>
    <row r="135" spans="1:5" x14ac:dyDescent="0.3">
      <c r="A135" s="1" t="s">
        <v>447</v>
      </c>
      <c r="B135" s="1">
        <v>2026</v>
      </c>
      <c r="C135" s="1">
        <v>2</v>
      </c>
      <c r="D135" s="1">
        <v>50</v>
      </c>
      <c r="E135" s="1">
        <v>8</v>
      </c>
    </row>
    <row r="136" spans="1:5" x14ac:dyDescent="0.3">
      <c r="A136" s="1" t="s">
        <v>450</v>
      </c>
      <c r="B136" s="1">
        <v>2026</v>
      </c>
      <c r="C136" s="1">
        <v>1</v>
      </c>
      <c r="D136" s="1">
        <v>13</v>
      </c>
      <c r="E136" s="1">
        <v>11</v>
      </c>
    </row>
    <row r="137" spans="1:5" x14ac:dyDescent="0.3">
      <c r="A137" s="1" t="s">
        <v>453</v>
      </c>
      <c r="B137" s="1">
        <v>2026</v>
      </c>
      <c r="C137" s="1">
        <v>2</v>
      </c>
      <c r="D137" s="1">
        <v>31</v>
      </c>
      <c r="E137" s="1">
        <v>6</v>
      </c>
    </row>
    <row r="138" spans="1:5" x14ac:dyDescent="0.3">
      <c r="A138" s="1" t="s">
        <v>456</v>
      </c>
      <c r="B138" s="1">
        <v>2026</v>
      </c>
      <c r="C138" s="1">
        <v>3</v>
      </c>
      <c r="D138" s="1">
        <v>41</v>
      </c>
      <c r="E138" s="1">
        <v>11</v>
      </c>
    </row>
    <row r="139" spans="1:5" x14ac:dyDescent="0.3">
      <c r="A139" s="1" t="s">
        <v>459</v>
      </c>
      <c r="B139" s="1">
        <v>2026</v>
      </c>
      <c r="C139" s="1">
        <v>1</v>
      </c>
      <c r="D139" s="1">
        <v>48</v>
      </c>
      <c r="E139" s="1">
        <v>1</v>
      </c>
    </row>
    <row r="140" spans="1:5" x14ac:dyDescent="0.3">
      <c r="A140" s="1" t="s">
        <v>462</v>
      </c>
      <c r="B140" s="1">
        <v>2026</v>
      </c>
      <c r="C140" s="1">
        <v>5</v>
      </c>
      <c r="D140" s="1">
        <v>14</v>
      </c>
      <c r="E140" s="1">
        <v>0</v>
      </c>
    </row>
    <row r="141" spans="1:5" x14ac:dyDescent="0.3">
      <c r="A141" s="1" t="s">
        <v>465</v>
      </c>
      <c r="B141" s="1">
        <v>2026</v>
      </c>
      <c r="C141" s="1">
        <v>2</v>
      </c>
      <c r="D141" s="1">
        <v>46</v>
      </c>
      <c r="E141" s="1">
        <v>4</v>
      </c>
    </row>
    <row r="142" spans="1:5" x14ac:dyDescent="0.3">
      <c r="A142" s="1" t="s">
        <v>468</v>
      </c>
      <c r="B142" s="1">
        <v>2026</v>
      </c>
      <c r="C142" s="1">
        <v>3</v>
      </c>
      <c r="D142" s="1">
        <v>51</v>
      </c>
      <c r="E142" s="1">
        <v>6</v>
      </c>
    </row>
    <row r="143" spans="1:5" x14ac:dyDescent="0.3">
      <c r="A143" s="1" t="s">
        <v>471</v>
      </c>
      <c r="B143" s="1">
        <v>2026</v>
      </c>
      <c r="C143" s="1">
        <v>1</v>
      </c>
      <c r="D143" s="1">
        <v>25</v>
      </c>
      <c r="E143" s="1">
        <v>7</v>
      </c>
    </row>
    <row r="144" spans="1:5" x14ac:dyDescent="0.3">
      <c r="A144" s="1" t="s">
        <v>474</v>
      </c>
      <c r="B144" s="1">
        <v>2026</v>
      </c>
      <c r="C144" s="1">
        <v>3</v>
      </c>
      <c r="D144" s="1">
        <v>36</v>
      </c>
      <c r="E144" s="1">
        <v>3</v>
      </c>
    </row>
    <row r="145" spans="1:5" x14ac:dyDescent="0.3">
      <c r="A145" s="1" t="s">
        <v>477</v>
      </c>
      <c r="B145" s="1">
        <v>2026</v>
      </c>
      <c r="C145" s="1">
        <v>1</v>
      </c>
      <c r="D145" s="1">
        <v>9</v>
      </c>
      <c r="E145" s="1">
        <v>12</v>
      </c>
    </row>
    <row r="146" spans="1:5" x14ac:dyDescent="0.3">
      <c r="A146" s="1" t="s">
        <v>480</v>
      </c>
      <c r="B146" s="1">
        <v>2026</v>
      </c>
      <c r="C146" s="1">
        <v>1</v>
      </c>
      <c r="D146" s="1">
        <v>31</v>
      </c>
      <c r="E146" s="1">
        <v>2</v>
      </c>
    </row>
    <row r="147" spans="1:5" x14ac:dyDescent="0.3">
      <c r="A147" s="1" t="s">
        <v>483</v>
      </c>
      <c r="B147" s="1">
        <v>2026</v>
      </c>
      <c r="C147" s="1">
        <v>3</v>
      </c>
      <c r="D147" s="1">
        <v>27</v>
      </c>
      <c r="E147" s="1">
        <v>11</v>
      </c>
    </row>
    <row r="148" spans="1:5" x14ac:dyDescent="0.3">
      <c r="A148" s="1" t="s">
        <v>486</v>
      </c>
      <c r="B148" s="1">
        <v>2026</v>
      </c>
      <c r="C148" s="1">
        <v>5</v>
      </c>
      <c r="D148" s="1">
        <v>18</v>
      </c>
      <c r="E148" s="1">
        <v>9</v>
      </c>
    </row>
    <row r="149" spans="1:5" x14ac:dyDescent="0.3">
      <c r="A149" s="1" t="s">
        <v>489</v>
      </c>
      <c r="B149" s="1">
        <v>2026</v>
      </c>
      <c r="C149" s="1">
        <v>5</v>
      </c>
      <c r="D149" s="1">
        <v>13</v>
      </c>
      <c r="E149" s="1">
        <v>3</v>
      </c>
    </row>
    <row r="150" spans="1:5" x14ac:dyDescent="0.3">
      <c r="A150" s="1" t="s">
        <v>492</v>
      </c>
      <c r="B150" s="1">
        <v>2026</v>
      </c>
      <c r="C150" s="1">
        <v>4</v>
      </c>
      <c r="D150" s="1">
        <v>12</v>
      </c>
      <c r="E150" s="1">
        <v>7</v>
      </c>
    </row>
    <row r="151" spans="1:5" x14ac:dyDescent="0.3">
      <c r="A151" s="1" t="s">
        <v>494</v>
      </c>
      <c r="B151" s="1">
        <v>2026</v>
      </c>
      <c r="C151" s="1">
        <v>1</v>
      </c>
      <c r="D151" s="1">
        <v>27</v>
      </c>
      <c r="E151" s="1">
        <v>0</v>
      </c>
    </row>
    <row r="152" spans="1:5" x14ac:dyDescent="0.3">
      <c r="A152" s="1" t="s">
        <v>497</v>
      </c>
      <c r="B152" s="1">
        <v>2026</v>
      </c>
      <c r="C152" s="1">
        <v>2</v>
      </c>
      <c r="D152" s="1">
        <v>3</v>
      </c>
      <c r="E152" s="1">
        <v>8</v>
      </c>
    </row>
    <row r="153" spans="1:5" x14ac:dyDescent="0.3">
      <c r="A153" s="1" t="s">
        <v>500</v>
      </c>
      <c r="B153" s="1">
        <v>2026</v>
      </c>
      <c r="C153" s="1">
        <v>5</v>
      </c>
      <c r="D153" s="1">
        <v>55</v>
      </c>
      <c r="E153" s="1">
        <v>6</v>
      </c>
    </row>
    <row r="154" spans="1:5" x14ac:dyDescent="0.3">
      <c r="A154" s="1" t="s">
        <v>503</v>
      </c>
      <c r="B154" s="1">
        <v>2026</v>
      </c>
      <c r="C154" s="1">
        <v>5</v>
      </c>
      <c r="D154" s="1">
        <v>16</v>
      </c>
      <c r="E154" s="1">
        <v>3</v>
      </c>
    </row>
    <row r="155" spans="1:5" x14ac:dyDescent="0.3">
      <c r="A155" s="1" t="s">
        <v>506</v>
      </c>
      <c r="B155" s="1">
        <v>2026</v>
      </c>
      <c r="C155" s="1">
        <v>2</v>
      </c>
      <c r="D155" s="1">
        <v>29</v>
      </c>
      <c r="E155" s="1">
        <v>9</v>
      </c>
    </row>
    <row r="156" spans="1:5" x14ac:dyDescent="0.3">
      <c r="A156" s="1" t="s">
        <v>509</v>
      </c>
      <c r="B156" s="1">
        <v>2026</v>
      </c>
      <c r="C156" s="1">
        <v>2</v>
      </c>
      <c r="D156" s="1">
        <v>3</v>
      </c>
      <c r="E156" s="1">
        <v>10</v>
      </c>
    </row>
    <row r="157" spans="1:5" x14ac:dyDescent="0.3">
      <c r="A157" s="1" t="s">
        <v>512</v>
      </c>
      <c r="B157" s="1">
        <v>2026</v>
      </c>
      <c r="C157" s="1">
        <v>3</v>
      </c>
      <c r="D157" s="1">
        <v>59</v>
      </c>
      <c r="E157" s="1">
        <v>1</v>
      </c>
    </row>
    <row r="158" spans="1:5" x14ac:dyDescent="0.3">
      <c r="A158" s="1" t="s">
        <v>515</v>
      </c>
      <c r="B158" s="1">
        <v>2026</v>
      </c>
      <c r="C158" s="1">
        <v>5</v>
      </c>
      <c r="D158" s="1">
        <v>29</v>
      </c>
      <c r="E158" s="1">
        <v>11</v>
      </c>
    </row>
    <row r="159" spans="1:5" x14ac:dyDescent="0.3">
      <c r="A159" s="1" t="s">
        <v>518</v>
      </c>
      <c r="B159" s="1">
        <v>2026</v>
      </c>
      <c r="C159" s="1">
        <v>3</v>
      </c>
      <c r="D159" s="1">
        <v>8</v>
      </c>
      <c r="E159" s="1">
        <v>11</v>
      </c>
    </row>
    <row r="160" spans="1:5" x14ac:dyDescent="0.3">
      <c r="A160" s="1" t="s">
        <v>521</v>
      </c>
      <c r="B160" s="1">
        <v>2026</v>
      </c>
      <c r="C160" s="1">
        <v>5</v>
      </c>
      <c r="D160" s="1">
        <v>42</v>
      </c>
      <c r="E160" s="1">
        <v>4</v>
      </c>
    </row>
    <row r="161" spans="1:5" x14ac:dyDescent="0.3">
      <c r="A161" s="1" t="s">
        <v>524</v>
      </c>
      <c r="B161" s="1">
        <v>2026</v>
      </c>
      <c r="C161" s="1">
        <v>4</v>
      </c>
      <c r="D161" s="1">
        <v>57</v>
      </c>
      <c r="E161" s="1">
        <v>4</v>
      </c>
    </row>
    <row r="162" spans="1:5" x14ac:dyDescent="0.3">
      <c r="A162" s="1" t="s">
        <v>527</v>
      </c>
      <c r="B162" s="1">
        <v>2026</v>
      </c>
      <c r="C162" s="1">
        <v>3</v>
      </c>
      <c r="D162" s="1">
        <v>4</v>
      </c>
      <c r="E162" s="1">
        <v>7</v>
      </c>
    </row>
    <row r="163" spans="1:5" x14ac:dyDescent="0.3">
      <c r="A163" s="1" t="s">
        <v>530</v>
      </c>
      <c r="B163" s="1">
        <v>2026</v>
      </c>
      <c r="C163" s="1">
        <v>4</v>
      </c>
      <c r="D163" s="1">
        <v>14</v>
      </c>
      <c r="E163" s="1">
        <v>9</v>
      </c>
    </row>
    <row r="164" spans="1:5" x14ac:dyDescent="0.3">
      <c r="A164" s="1" t="s">
        <v>532</v>
      </c>
      <c r="B164" s="1">
        <v>2026</v>
      </c>
      <c r="C164" s="1">
        <v>4</v>
      </c>
      <c r="D164" s="1">
        <v>20</v>
      </c>
      <c r="E164" s="1">
        <v>7</v>
      </c>
    </row>
    <row r="165" spans="1:5" x14ac:dyDescent="0.3">
      <c r="A165" s="1" t="s">
        <v>535</v>
      </c>
      <c r="B165" s="1">
        <v>2026</v>
      </c>
      <c r="C165" s="1">
        <v>3</v>
      </c>
      <c r="D165" s="1">
        <v>20</v>
      </c>
      <c r="E165" s="1">
        <v>1</v>
      </c>
    </row>
    <row r="166" spans="1:5" x14ac:dyDescent="0.3">
      <c r="A166" s="1" t="s">
        <v>538</v>
      </c>
      <c r="B166" s="1">
        <v>2026</v>
      </c>
      <c r="C166" s="1">
        <v>5</v>
      </c>
      <c r="D166" s="1">
        <v>16</v>
      </c>
      <c r="E166" s="1">
        <v>1</v>
      </c>
    </row>
    <row r="167" spans="1:5" x14ac:dyDescent="0.3">
      <c r="A167" s="1" t="s">
        <v>541</v>
      </c>
      <c r="B167" s="1">
        <v>2026</v>
      </c>
      <c r="C167" s="1">
        <v>2</v>
      </c>
      <c r="D167" s="1">
        <v>18</v>
      </c>
      <c r="E167" s="1">
        <v>6</v>
      </c>
    </row>
    <row r="168" spans="1:5" x14ac:dyDescent="0.3">
      <c r="A168" s="1" t="s">
        <v>544</v>
      </c>
      <c r="B168" s="1">
        <v>2026</v>
      </c>
      <c r="C168" s="1">
        <v>1</v>
      </c>
      <c r="D168" s="1">
        <v>60</v>
      </c>
      <c r="E168" s="1">
        <v>3</v>
      </c>
    </row>
    <row r="169" spans="1:5" x14ac:dyDescent="0.3">
      <c r="A169" s="1" t="s">
        <v>547</v>
      </c>
      <c r="B169" s="1">
        <v>2026</v>
      </c>
      <c r="C169" s="1">
        <v>2</v>
      </c>
      <c r="D169" s="1">
        <v>21</v>
      </c>
      <c r="E169" s="1">
        <v>2</v>
      </c>
    </row>
    <row r="170" spans="1:5" x14ac:dyDescent="0.3">
      <c r="A170" s="1" t="s">
        <v>550</v>
      </c>
      <c r="B170" s="1">
        <v>2026</v>
      </c>
      <c r="C170" s="1">
        <v>2</v>
      </c>
      <c r="D170" s="1">
        <v>21</v>
      </c>
      <c r="E170" s="1">
        <v>1</v>
      </c>
    </row>
    <row r="171" spans="1:5" x14ac:dyDescent="0.3">
      <c r="A171" s="1" t="s">
        <v>553</v>
      </c>
      <c r="B171" s="1">
        <v>2026</v>
      </c>
      <c r="C171" s="1">
        <v>1</v>
      </c>
      <c r="D171" s="1">
        <v>16</v>
      </c>
      <c r="E171" s="1">
        <v>10</v>
      </c>
    </row>
    <row r="172" spans="1:5" x14ac:dyDescent="0.3">
      <c r="A172" s="1" t="s">
        <v>556</v>
      </c>
      <c r="B172" s="1">
        <v>2026</v>
      </c>
      <c r="C172" s="1">
        <v>5</v>
      </c>
      <c r="D172" s="1">
        <v>43</v>
      </c>
      <c r="E172" s="1">
        <v>4</v>
      </c>
    </row>
    <row r="173" spans="1:5" x14ac:dyDescent="0.3">
      <c r="A173" s="1" t="s">
        <v>559</v>
      </c>
      <c r="B173" s="1">
        <v>2026</v>
      </c>
      <c r="C173" s="1">
        <v>5</v>
      </c>
      <c r="D173" s="1">
        <v>10</v>
      </c>
      <c r="E173" s="1">
        <v>11</v>
      </c>
    </row>
    <row r="174" spans="1:5" x14ac:dyDescent="0.3">
      <c r="A174" s="1" t="s">
        <v>562</v>
      </c>
      <c r="B174" s="1">
        <v>2026</v>
      </c>
      <c r="C174" s="1">
        <v>3</v>
      </c>
      <c r="D174" s="1">
        <v>52</v>
      </c>
      <c r="E174" s="1">
        <v>0</v>
      </c>
    </row>
    <row r="175" spans="1:5" x14ac:dyDescent="0.3">
      <c r="A175" s="1" t="s">
        <v>565</v>
      </c>
      <c r="B175" s="1">
        <v>2026</v>
      </c>
      <c r="C175" s="1">
        <v>1</v>
      </c>
      <c r="D175" s="1">
        <v>36</v>
      </c>
      <c r="E175" s="1">
        <v>11</v>
      </c>
    </row>
    <row r="176" spans="1:5" x14ac:dyDescent="0.3">
      <c r="A176" s="1" t="s">
        <v>568</v>
      </c>
      <c r="B176" s="1">
        <v>2026</v>
      </c>
      <c r="C176" s="1">
        <v>1</v>
      </c>
      <c r="D176" s="1">
        <v>45</v>
      </c>
      <c r="E176" s="1">
        <v>9</v>
      </c>
    </row>
    <row r="177" spans="1:5" x14ac:dyDescent="0.3">
      <c r="A177" s="1" t="s">
        <v>571</v>
      </c>
      <c r="B177" s="1">
        <v>2026</v>
      </c>
      <c r="C177" s="1">
        <v>5</v>
      </c>
      <c r="D177" s="1">
        <v>22</v>
      </c>
      <c r="E177" s="1">
        <v>0</v>
      </c>
    </row>
    <row r="178" spans="1:5" x14ac:dyDescent="0.3">
      <c r="A178" s="1" t="s">
        <v>574</v>
      </c>
      <c r="B178" s="1">
        <v>2026</v>
      </c>
      <c r="C178" s="1">
        <v>4</v>
      </c>
      <c r="D178" s="1">
        <v>49</v>
      </c>
      <c r="E178" s="1">
        <v>7</v>
      </c>
    </row>
    <row r="179" spans="1:5" x14ac:dyDescent="0.3">
      <c r="A179" s="1" t="s">
        <v>577</v>
      </c>
      <c r="B179" s="1">
        <v>2026</v>
      </c>
      <c r="C179" s="1">
        <v>3</v>
      </c>
      <c r="D179" s="1">
        <v>9</v>
      </c>
      <c r="E179" s="1">
        <v>2</v>
      </c>
    </row>
    <row r="180" spans="1:5" x14ac:dyDescent="0.3">
      <c r="A180" s="1" t="s">
        <v>580</v>
      </c>
      <c r="B180" s="1">
        <v>2026</v>
      </c>
      <c r="C180" s="1">
        <v>4</v>
      </c>
      <c r="D180" s="1">
        <v>39</v>
      </c>
      <c r="E180" s="1">
        <v>6</v>
      </c>
    </row>
    <row r="181" spans="1:5" x14ac:dyDescent="0.3">
      <c r="A181" s="1" t="s">
        <v>583</v>
      </c>
      <c r="B181" s="1">
        <v>2026</v>
      </c>
      <c r="C181" s="1">
        <v>2</v>
      </c>
      <c r="D181" s="1">
        <v>35</v>
      </c>
      <c r="E181" s="1">
        <v>9</v>
      </c>
    </row>
    <row r="182" spans="1:5" x14ac:dyDescent="0.3">
      <c r="A182" s="1" t="s">
        <v>586</v>
      </c>
      <c r="B182" s="1">
        <v>2026</v>
      </c>
      <c r="C182" s="1">
        <v>2</v>
      </c>
      <c r="D182" s="1">
        <v>24</v>
      </c>
      <c r="E182" s="1">
        <v>9</v>
      </c>
    </row>
    <row r="183" spans="1:5" x14ac:dyDescent="0.3">
      <c r="A183" s="1" t="s">
        <v>589</v>
      </c>
      <c r="B183" s="1">
        <v>2026</v>
      </c>
      <c r="C183" s="1">
        <v>4</v>
      </c>
      <c r="D183" s="1">
        <v>45</v>
      </c>
      <c r="E183" s="1">
        <v>9</v>
      </c>
    </row>
    <row r="184" spans="1:5" x14ac:dyDescent="0.3">
      <c r="A184" s="1" t="s">
        <v>592</v>
      </c>
      <c r="B184" s="1">
        <v>2026</v>
      </c>
      <c r="C184" s="1">
        <v>4</v>
      </c>
      <c r="D184" s="1">
        <v>40</v>
      </c>
      <c r="E184" s="1">
        <v>7</v>
      </c>
    </row>
    <row r="185" spans="1:5" x14ac:dyDescent="0.3">
      <c r="A185" s="1" t="s">
        <v>595</v>
      </c>
      <c r="B185" s="1">
        <v>2026</v>
      </c>
      <c r="C185" s="1">
        <v>1</v>
      </c>
      <c r="D185" s="1">
        <v>11</v>
      </c>
      <c r="E185" s="1">
        <v>9</v>
      </c>
    </row>
    <row r="186" spans="1:5" x14ac:dyDescent="0.3">
      <c r="A186" s="1" t="s">
        <v>598</v>
      </c>
      <c r="B186" s="1">
        <v>2026</v>
      </c>
      <c r="C186" s="1">
        <v>4</v>
      </c>
      <c r="D186" s="1">
        <v>19</v>
      </c>
      <c r="E186" s="1">
        <v>9</v>
      </c>
    </row>
    <row r="187" spans="1:5" x14ac:dyDescent="0.3">
      <c r="A187" s="1" t="s">
        <v>600</v>
      </c>
      <c r="B187" s="1">
        <v>2026</v>
      </c>
      <c r="C187" s="1">
        <v>2</v>
      </c>
      <c r="D187" s="1">
        <v>36</v>
      </c>
      <c r="E187" s="1">
        <v>0</v>
      </c>
    </row>
    <row r="188" spans="1:5" x14ac:dyDescent="0.3">
      <c r="A188" s="1" t="s">
        <v>603</v>
      </c>
      <c r="B188" s="1">
        <v>2026</v>
      </c>
      <c r="C188" s="1">
        <v>3</v>
      </c>
      <c r="D188" s="1">
        <v>39</v>
      </c>
      <c r="E188" s="1">
        <v>8</v>
      </c>
    </row>
    <row r="189" spans="1:5" x14ac:dyDescent="0.3">
      <c r="A189" s="1" t="s">
        <v>605</v>
      </c>
      <c r="B189" s="1">
        <v>2026</v>
      </c>
      <c r="C189" s="1">
        <v>3</v>
      </c>
      <c r="D189" s="1">
        <v>54</v>
      </c>
      <c r="E189" s="1">
        <v>11</v>
      </c>
    </row>
    <row r="190" spans="1:5" x14ac:dyDescent="0.3">
      <c r="A190" s="1" t="s">
        <v>608</v>
      </c>
      <c r="B190" s="1">
        <v>2026</v>
      </c>
      <c r="C190" s="1">
        <v>5</v>
      </c>
      <c r="D190" s="1">
        <v>47</v>
      </c>
      <c r="E190" s="1">
        <v>5</v>
      </c>
    </row>
    <row r="191" spans="1:5" x14ac:dyDescent="0.3">
      <c r="A191" s="1" t="s">
        <v>611</v>
      </c>
      <c r="B191" s="1">
        <v>2026</v>
      </c>
      <c r="C191" s="1">
        <v>5</v>
      </c>
      <c r="D191" s="1">
        <v>43</v>
      </c>
      <c r="E191" s="1">
        <v>5</v>
      </c>
    </row>
    <row r="192" spans="1:5" x14ac:dyDescent="0.3">
      <c r="A192" s="1" t="s">
        <v>614</v>
      </c>
      <c r="B192" s="1">
        <v>2026</v>
      </c>
      <c r="C192" s="1">
        <v>2</v>
      </c>
      <c r="D192" s="1">
        <v>31</v>
      </c>
      <c r="E192" s="1">
        <v>3</v>
      </c>
    </row>
    <row r="193" spans="1:5" x14ac:dyDescent="0.3">
      <c r="A193" s="1" t="s">
        <v>617</v>
      </c>
      <c r="B193" s="1">
        <v>2026</v>
      </c>
      <c r="C193" s="1">
        <v>3</v>
      </c>
      <c r="D193" s="1">
        <v>16</v>
      </c>
      <c r="E193" s="1">
        <v>11</v>
      </c>
    </row>
    <row r="194" spans="1:5" x14ac:dyDescent="0.3">
      <c r="A194" s="1" t="s">
        <v>620</v>
      </c>
      <c r="B194" s="1">
        <v>2026</v>
      </c>
      <c r="C194" s="1">
        <v>3</v>
      </c>
      <c r="D194" s="1">
        <v>9</v>
      </c>
      <c r="E194" s="1">
        <v>12</v>
      </c>
    </row>
    <row r="195" spans="1:5" x14ac:dyDescent="0.3">
      <c r="A195" s="1" t="s">
        <v>623</v>
      </c>
      <c r="B195" s="1">
        <v>2026</v>
      </c>
      <c r="C195" s="1">
        <v>3</v>
      </c>
      <c r="D195" s="1">
        <v>32</v>
      </c>
      <c r="E195" s="1">
        <v>9</v>
      </c>
    </row>
    <row r="196" spans="1:5" x14ac:dyDescent="0.3">
      <c r="A196" s="1" t="s">
        <v>626</v>
      </c>
      <c r="B196" s="1">
        <v>2026</v>
      </c>
      <c r="C196" s="1">
        <v>2</v>
      </c>
      <c r="D196" s="1">
        <v>51</v>
      </c>
      <c r="E196" s="1">
        <v>7</v>
      </c>
    </row>
    <row r="197" spans="1:5" x14ac:dyDescent="0.3">
      <c r="A197" s="1" t="s">
        <v>629</v>
      </c>
      <c r="B197" s="1">
        <v>2026</v>
      </c>
      <c r="C197" s="1">
        <v>3</v>
      </c>
      <c r="D197" s="1">
        <v>2</v>
      </c>
      <c r="E197" s="1">
        <v>4</v>
      </c>
    </row>
    <row r="198" spans="1:5" x14ac:dyDescent="0.3">
      <c r="A198" s="1" t="s">
        <v>632</v>
      </c>
      <c r="B198" s="1">
        <v>2026</v>
      </c>
      <c r="C198" s="1">
        <v>2</v>
      </c>
      <c r="D198" s="1">
        <v>42</v>
      </c>
      <c r="E198" s="1">
        <v>6</v>
      </c>
    </row>
    <row r="199" spans="1:5" x14ac:dyDescent="0.3">
      <c r="A199" s="1" t="s">
        <v>635</v>
      </c>
      <c r="B199" s="1">
        <v>2026</v>
      </c>
      <c r="C199" s="1">
        <v>2</v>
      </c>
      <c r="D199" s="1">
        <v>2</v>
      </c>
      <c r="E199" s="1">
        <v>9</v>
      </c>
    </row>
    <row r="200" spans="1:5" x14ac:dyDescent="0.3">
      <c r="A200" s="1" t="s">
        <v>637</v>
      </c>
      <c r="B200" s="1">
        <v>2026</v>
      </c>
      <c r="C200" s="1">
        <v>5</v>
      </c>
      <c r="D200" s="1">
        <v>44</v>
      </c>
      <c r="E200" s="1">
        <v>11</v>
      </c>
    </row>
    <row r="201" spans="1:5" x14ac:dyDescent="0.3">
      <c r="A201" s="1" t="s">
        <v>640</v>
      </c>
      <c r="B201" s="1">
        <v>2026</v>
      </c>
      <c r="C201" s="1">
        <v>1</v>
      </c>
      <c r="D201" s="1">
        <v>43</v>
      </c>
      <c r="E201" s="1">
        <v>9</v>
      </c>
    </row>
    <row r="202" spans="1:5" x14ac:dyDescent="0.3">
      <c r="A202" s="1" t="s">
        <v>643</v>
      </c>
      <c r="B202" s="1">
        <v>2026</v>
      </c>
      <c r="C202" s="1">
        <v>3</v>
      </c>
      <c r="D202" s="1">
        <v>28</v>
      </c>
      <c r="E202" s="1">
        <v>12</v>
      </c>
    </row>
    <row r="203" spans="1:5" x14ac:dyDescent="0.3">
      <c r="A203" s="1" t="s">
        <v>646</v>
      </c>
      <c r="B203" s="1">
        <v>2026</v>
      </c>
      <c r="C203" s="1">
        <v>2</v>
      </c>
      <c r="D203" s="1">
        <v>45</v>
      </c>
      <c r="E203" s="1">
        <v>3</v>
      </c>
    </row>
    <row r="204" spans="1:5" x14ac:dyDescent="0.3">
      <c r="A204" s="1" t="s">
        <v>649</v>
      </c>
      <c r="B204" s="1">
        <v>2026</v>
      </c>
      <c r="C204" s="1">
        <v>2</v>
      </c>
      <c r="D204" s="1">
        <v>15</v>
      </c>
      <c r="E204" s="1">
        <v>10</v>
      </c>
    </row>
    <row r="205" spans="1:5" x14ac:dyDescent="0.3">
      <c r="A205" s="1" t="s">
        <v>652</v>
      </c>
      <c r="B205" s="1">
        <v>2026</v>
      </c>
      <c r="C205" s="1">
        <v>4</v>
      </c>
      <c r="D205" s="1">
        <v>50</v>
      </c>
      <c r="E205" s="1">
        <v>12</v>
      </c>
    </row>
    <row r="206" spans="1:5" x14ac:dyDescent="0.3">
      <c r="A206" s="1" t="s">
        <v>655</v>
      </c>
      <c r="B206" s="1">
        <v>2026</v>
      </c>
      <c r="C206" s="1">
        <v>4</v>
      </c>
      <c r="D206" s="1">
        <v>32</v>
      </c>
      <c r="E206" s="1">
        <v>8</v>
      </c>
    </row>
    <row r="207" spans="1:5" x14ac:dyDescent="0.3">
      <c r="A207" s="1" t="s">
        <v>658</v>
      </c>
      <c r="B207" s="1">
        <v>2026</v>
      </c>
      <c r="C207" s="1">
        <v>1</v>
      </c>
      <c r="D207" s="1">
        <v>34</v>
      </c>
      <c r="E207" s="1">
        <v>5</v>
      </c>
    </row>
    <row r="208" spans="1:5" x14ac:dyDescent="0.3">
      <c r="A208" s="1" t="s">
        <v>660</v>
      </c>
      <c r="B208" s="1">
        <v>2026</v>
      </c>
      <c r="C208" s="1">
        <v>3</v>
      </c>
      <c r="D208" s="1">
        <v>45</v>
      </c>
      <c r="E208" s="1">
        <v>11</v>
      </c>
    </row>
    <row r="209" spans="1:5" x14ac:dyDescent="0.3">
      <c r="A209" s="1" t="s">
        <v>663</v>
      </c>
      <c r="B209" s="1">
        <v>2026</v>
      </c>
      <c r="C209" s="1">
        <v>3</v>
      </c>
      <c r="D209" s="1">
        <v>52</v>
      </c>
      <c r="E209" s="1">
        <v>9</v>
      </c>
    </row>
    <row r="210" spans="1:5" x14ac:dyDescent="0.3">
      <c r="A210" s="1" t="s">
        <v>666</v>
      </c>
      <c r="B210" s="1">
        <v>2026</v>
      </c>
      <c r="C210" s="1">
        <v>2</v>
      </c>
      <c r="D210" s="1">
        <v>56</v>
      </c>
      <c r="E210" s="1">
        <v>5</v>
      </c>
    </row>
    <row r="211" spans="1:5" x14ac:dyDescent="0.3">
      <c r="A211" s="1" t="s">
        <v>668</v>
      </c>
      <c r="B211" s="1">
        <v>2026</v>
      </c>
      <c r="C211" s="1">
        <v>5</v>
      </c>
      <c r="D211" s="1">
        <v>57</v>
      </c>
      <c r="E211" s="1">
        <v>5</v>
      </c>
    </row>
    <row r="212" spans="1:5" x14ac:dyDescent="0.3">
      <c r="A212" s="1" t="s">
        <v>671</v>
      </c>
      <c r="B212" s="1">
        <v>2026</v>
      </c>
      <c r="C212" s="1">
        <v>1</v>
      </c>
      <c r="D212" s="1">
        <v>44</v>
      </c>
      <c r="E212" s="1">
        <v>12</v>
      </c>
    </row>
    <row r="213" spans="1:5" x14ac:dyDescent="0.3">
      <c r="A213" s="1" t="s">
        <v>674</v>
      </c>
      <c r="B213" s="1">
        <v>2026</v>
      </c>
      <c r="C213" s="1">
        <v>4</v>
      </c>
      <c r="D213" s="1">
        <v>0</v>
      </c>
      <c r="E213" s="1">
        <v>5</v>
      </c>
    </row>
    <row r="214" spans="1:5" x14ac:dyDescent="0.3">
      <c r="A214" s="1" t="s">
        <v>677</v>
      </c>
      <c r="B214" s="1">
        <v>2026</v>
      </c>
      <c r="C214" s="1">
        <v>3</v>
      </c>
      <c r="D214" s="1">
        <v>2</v>
      </c>
      <c r="E214" s="1">
        <v>10</v>
      </c>
    </row>
    <row r="215" spans="1:5" x14ac:dyDescent="0.3">
      <c r="A215" s="1" t="s">
        <v>680</v>
      </c>
      <c r="B215" s="1">
        <v>2026</v>
      </c>
      <c r="C215" s="1">
        <v>3</v>
      </c>
      <c r="D215" s="1">
        <v>32</v>
      </c>
      <c r="E215" s="1">
        <v>4</v>
      </c>
    </row>
    <row r="216" spans="1:5" x14ac:dyDescent="0.3">
      <c r="A216" s="1" t="s">
        <v>683</v>
      </c>
      <c r="B216" s="1">
        <v>2026</v>
      </c>
      <c r="C216" s="1">
        <v>5</v>
      </c>
      <c r="D216" s="1">
        <v>45</v>
      </c>
      <c r="E216" s="1">
        <v>8</v>
      </c>
    </row>
    <row r="217" spans="1:5" x14ac:dyDescent="0.3">
      <c r="A217" s="1" t="s">
        <v>686</v>
      </c>
      <c r="B217" s="1">
        <v>2026</v>
      </c>
      <c r="C217" s="1">
        <v>3</v>
      </c>
      <c r="D217" s="1">
        <v>32</v>
      </c>
      <c r="E217" s="1">
        <v>9</v>
      </c>
    </row>
    <row r="218" spans="1:5" x14ac:dyDescent="0.3">
      <c r="A218" s="1" t="s">
        <v>689</v>
      </c>
      <c r="B218" s="1">
        <v>2026</v>
      </c>
      <c r="C218" s="1">
        <v>1</v>
      </c>
      <c r="D218" s="1">
        <v>47</v>
      </c>
      <c r="E218" s="1">
        <v>9</v>
      </c>
    </row>
    <row r="219" spans="1:5" x14ac:dyDescent="0.3">
      <c r="A219" s="1" t="s">
        <v>691</v>
      </c>
      <c r="B219" s="1">
        <v>2026</v>
      </c>
      <c r="C219" s="1">
        <v>3</v>
      </c>
      <c r="D219" s="1">
        <v>30</v>
      </c>
      <c r="E219" s="1">
        <v>9</v>
      </c>
    </row>
    <row r="220" spans="1:5" x14ac:dyDescent="0.3">
      <c r="A220" s="1" t="s">
        <v>694</v>
      </c>
      <c r="B220" s="1">
        <v>2026</v>
      </c>
      <c r="C220" s="1">
        <v>5</v>
      </c>
      <c r="D220" s="1">
        <v>48</v>
      </c>
      <c r="E220" s="1">
        <v>11</v>
      </c>
    </row>
    <row r="221" spans="1:5" x14ac:dyDescent="0.3">
      <c r="A221" s="1" t="s">
        <v>697</v>
      </c>
      <c r="B221" s="1">
        <v>2026</v>
      </c>
      <c r="C221" s="1">
        <v>2</v>
      </c>
      <c r="D221" s="1">
        <v>46</v>
      </c>
      <c r="E221" s="1">
        <v>7</v>
      </c>
    </row>
    <row r="222" spans="1:5" x14ac:dyDescent="0.3">
      <c r="A222" s="1" t="s">
        <v>699</v>
      </c>
      <c r="B222" s="1">
        <v>2026</v>
      </c>
      <c r="C222" s="1">
        <v>5</v>
      </c>
      <c r="D222" s="1">
        <v>59</v>
      </c>
      <c r="E222" s="1">
        <v>3</v>
      </c>
    </row>
    <row r="223" spans="1:5" x14ac:dyDescent="0.3">
      <c r="A223" s="1" t="s">
        <v>701</v>
      </c>
      <c r="B223" s="1">
        <v>2026</v>
      </c>
      <c r="C223" s="1">
        <v>5</v>
      </c>
      <c r="D223" s="1">
        <v>0</v>
      </c>
      <c r="E223" s="1">
        <v>3</v>
      </c>
    </row>
    <row r="224" spans="1:5" x14ac:dyDescent="0.3">
      <c r="A224" s="1" t="s">
        <v>704</v>
      </c>
      <c r="B224" s="1">
        <v>2026</v>
      </c>
      <c r="C224" s="1">
        <v>5</v>
      </c>
      <c r="D224" s="1">
        <v>40</v>
      </c>
      <c r="E224" s="1">
        <v>2</v>
      </c>
    </row>
    <row r="225" spans="1:5" x14ac:dyDescent="0.3">
      <c r="A225" s="1" t="s">
        <v>707</v>
      </c>
      <c r="B225" s="1">
        <v>2026</v>
      </c>
      <c r="C225" s="1">
        <v>1</v>
      </c>
      <c r="D225" s="1">
        <v>54</v>
      </c>
      <c r="E225" s="1">
        <v>6</v>
      </c>
    </row>
    <row r="226" spans="1:5" x14ac:dyDescent="0.3">
      <c r="A226" s="1" t="s">
        <v>710</v>
      </c>
      <c r="B226" s="1">
        <v>2026</v>
      </c>
      <c r="C226" s="1">
        <v>5</v>
      </c>
      <c r="D226" s="1">
        <v>51</v>
      </c>
      <c r="E226" s="1">
        <v>3</v>
      </c>
    </row>
    <row r="227" spans="1:5" x14ac:dyDescent="0.3">
      <c r="A227" s="1" t="s">
        <v>713</v>
      </c>
      <c r="B227" s="1">
        <v>2026</v>
      </c>
      <c r="C227" s="1">
        <v>2</v>
      </c>
      <c r="D227" s="1">
        <v>60</v>
      </c>
      <c r="E227" s="1">
        <v>2</v>
      </c>
    </row>
    <row r="228" spans="1:5" x14ac:dyDescent="0.3">
      <c r="A228" s="1" t="s">
        <v>716</v>
      </c>
      <c r="B228" s="1">
        <v>2026</v>
      </c>
      <c r="C228" s="1">
        <v>4</v>
      </c>
      <c r="D228" s="1">
        <v>8</v>
      </c>
      <c r="E228" s="1">
        <v>0</v>
      </c>
    </row>
    <row r="229" spans="1:5" x14ac:dyDescent="0.3">
      <c r="A229" s="1" t="s">
        <v>719</v>
      </c>
      <c r="B229" s="1">
        <v>2026</v>
      </c>
      <c r="C229" s="1">
        <v>5</v>
      </c>
      <c r="D229" s="1">
        <v>32</v>
      </c>
      <c r="E229" s="1">
        <v>0</v>
      </c>
    </row>
    <row r="230" spans="1:5" x14ac:dyDescent="0.3">
      <c r="A230" s="1" t="s">
        <v>722</v>
      </c>
      <c r="B230" s="1">
        <v>2026</v>
      </c>
      <c r="C230" s="1">
        <v>4</v>
      </c>
      <c r="D230" s="1">
        <v>1</v>
      </c>
      <c r="E230" s="1">
        <v>2</v>
      </c>
    </row>
    <row r="231" spans="1:5" x14ac:dyDescent="0.3">
      <c r="A231" s="1" t="s">
        <v>725</v>
      </c>
      <c r="B231" s="1">
        <v>2026</v>
      </c>
      <c r="C231" s="1">
        <v>5</v>
      </c>
      <c r="D231" s="1">
        <v>46</v>
      </c>
      <c r="E231" s="1">
        <v>8</v>
      </c>
    </row>
    <row r="232" spans="1:5" x14ac:dyDescent="0.3">
      <c r="A232" s="1" t="s">
        <v>728</v>
      </c>
      <c r="B232" s="1">
        <v>2026</v>
      </c>
      <c r="C232" s="1">
        <v>2</v>
      </c>
      <c r="D232" s="1">
        <v>60</v>
      </c>
      <c r="E232" s="1">
        <v>3</v>
      </c>
    </row>
    <row r="233" spans="1:5" x14ac:dyDescent="0.3">
      <c r="A233" s="1" t="s">
        <v>731</v>
      </c>
      <c r="B233" s="1">
        <v>2026</v>
      </c>
      <c r="C233" s="1">
        <v>2</v>
      </c>
      <c r="D233" s="1">
        <v>28</v>
      </c>
      <c r="E233" s="1">
        <v>0</v>
      </c>
    </row>
    <row r="234" spans="1:5" x14ac:dyDescent="0.3">
      <c r="A234" s="1" t="s">
        <v>734</v>
      </c>
      <c r="B234" s="1">
        <v>2026</v>
      </c>
      <c r="C234" s="1">
        <v>2</v>
      </c>
      <c r="D234" s="1">
        <v>18</v>
      </c>
      <c r="E234" s="1">
        <v>9</v>
      </c>
    </row>
    <row r="235" spans="1:5" x14ac:dyDescent="0.3">
      <c r="A235" s="1" t="s">
        <v>737</v>
      </c>
      <c r="B235" s="1">
        <v>2026</v>
      </c>
      <c r="C235" s="1">
        <v>4</v>
      </c>
      <c r="D235" s="1">
        <v>11</v>
      </c>
      <c r="E235" s="1">
        <v>10</v>
      </c>
    </row>
    <row r="236" spans="1:5" x14ac:dyDescent="0.3">
      <c r="A236" s="1" t="s">
        <v>740</v>
      </c>
      <c r="B236" s="1">
        <v>2026</v>
      </c>
      <c r="C236" s="1">
        <v>5</v>
      </c>
      <c r="D236" s="1">
        <v>55</v>
      </c>
      <c r="E236" s="1">
        <v>0</v>
      </c>
    </row>
    <row r="237" spans="1:5" x14ac:dyDescent="0.3">
      <c r="A237" s="1" t="s">
        <v>743</v>
      </c>
      <c r="B237" s="1">
        <v>2026</v>
      </c>
      <c r="C237" s="1">
        <v>4</v>
      </c>
      <c r="D237" s="1">
        <v>26</v>
      </c>
      <c r="E237" s="1">
        <v>11</v>
      </c>
    </row>
    <row r="238" spans="1:5" x14ac:dyDescent="0.3">
      <c r="A238" s="1" t="s">
        <v>746</v>
      </c>
      <c r="B238" s="1">
        <v>2026</v>
      </c>
      <c r="C238" s="1">
        <v>4</v>
      </c>
      <c r="D238" s="1">
        <v>9</v>
      </c>
      <c r="E238" s="1">
        <v>2</v>
      </c>
    </row>
    <row r="239" spans="1:5" x14ac:dyDescent="0.3">
      <c r="A239" s="1" t="s">
        <v>749</v>
      </c>
      <c r="B239" s="1">
        <v>2026</v>
      </c>
      <c r="C239" s="1">
        <v>4</v>
      </c>
      <c r="D239" s="1">
        <v>53</v>
      </c>
      <c r="E239" s="1">
        <v>12</v>
      </c>
    </row>
    <row r="240" spans="1:5" x14ac:dyDescent="0.3">
      <c r="A240" s="1" t="s">
        <v>752</v>
      </c>
      <c r="B240" s="1">
        <v>2026</v>
      </c>
      <c r="C240" s="1">
        <v>2</v>
      </c>
      <c r="D240" s="1">
        <v>10</v>
      </c>
      <c r="E240" s="1">
        <v>4</v>
      </c>
    </row>
    <row r="241" spans="1:5" x14ac:dyDescent="0.3">
      <c r="A241" s="1" t="s">
        <v>755</v>
      </c>
      <c r="B241" s="1">
        <v>2026</v>
      </c>
      <c r="C241" s="1">
        <v>2</v>
      </c>
      <c r="D241" s="1">
        <v>9</v>
      </c>
      <c r="E241" s="1">
        <v>7</v>
      </c>
    </row>
    <row r="242" spans="1:5" x14ac:dyDescent="0.3">
      <c r="A242" s="1" t="s">
        <v>758</v>
      </c>
      <c r="B242" s="1">
        <v>2026</v>
      </c>
      <c r="C242" s="1">
        <v>2</v>
      </c>
      <c r="D242" s="1">
        <v>26</v>
      </c>
      <c r="E242" s="1">
        <v>1</v>
      </c>
    </row>
    <row r="243" spans="1:5" x14ac:dyDescent="0.3">
      <c r="A243" s="1" t="s">
        <v>761</v>
      </c>
      <c r="B243" s="1">
        <v>2026</v>
      </c>
      <c r="C243" s="1">
        <v>2</v>
      </c>
      <c r="D243" s="1">
        <v>6</v>
      </c>
      <c r="E243" s="1">
        <v>9</v>
      </c>
    </row>
    <row r="244" spans="1:5" x14ac:dyDescent="0.3">
      <c r="A244" s="1" t="s">
        <v>764</v>
      </c>
      <c r="B244" s="1">
        <v>2026</v>
      </c>
      <c r="C244" s="1">
        <v>1</v>
      </c>
      <c r="D244" s="1">
        <v>8</v>
      </c>
      <c r="E244" s="1">
        <v>3</v>
      </c>
    </row>
    <row r="245" spans="1:5" x14ac:dyDescent="0.3">
      <c r="A245" s="1" t="s">
        <v>767</v>
      </c>
      <c r="B245" s="1">
        <v>2026</v>
      </c>
      <c r="C245" s="1">
        <v>4</v>
      </c>
      <c r="D245" s="1">
        <v>50</v>
      </c>
      <c r="E245" s="1">
        <v>0</v>
      </c>
    </row>
    <row r="246" spans="1:5" x14ac:dyDescent="0.3">
      <c r="A246" s="1" t="s">
        <v>769</v>
      </c>
      <c r="B246" s="1">
        <v>2026</v>
      </c>
      <c r="C246" s="1">
        <v>1</v>
      </c>
      <c r="D246" s="1">
        <v>21</v>
      </c>
      <c r="E246" s="1">
        <v>3</v>
      </c>
    </row>
    <row r="247" spans="1:5" x14ac:dyDescent="0.3">
      <c r="A247" s="1" t="s">
        <v>771</v>
      </c>
      <c r="B247" s="1">
        <v>2026</v>
      </c>
      <c r="C247" s="1">
        <v>4</v>
      </c>
      <c r="D247" s="1">
        <v>13</v>
      </c>
      <c r="E247" s="1">
        <v>2</v>
      </c>
    </row>
    <row r="248" spans="1:5" x14ac:dyDescent="0.3">
      <c r="A248" s="1" t="s">
        <v>774</v>
      </c>
      <c r="B248" s="1">
        <v>2026</v>
      </c>
      <c r="C248" s="1">
        <v>3</v>
      </c>
      <c r="D248" s="1">
        <v>41</v>
      </c>
      <c r="E248" s="1">
        <v>12</v>
      </c>
    </row>
    <row r="249" spans="1:5" x14ac:dyDescent="0.3">
      <c r="A249" s="1" t="s">
        <v>777</v>
      </c>
      <c r="B249" s="1">
        <v>2026</v>
      </c>
      <c r="C249" s="1">
        <v>5</v>
      </c>
      <c r="D249" s="1">
        <v>58</v>
      </c>
      <c r="E249" s="1">
        <v>0</v>
      </c>
    </row>
    <row r="250" spans="1:5" x14ac:dyDescent="0.3">
      <c r="A250" s="1" t="s">
        <v>780</v>
      </c>
      <c r="B250" s="1">
        <v>2026</v>
      </c>
      <c r="C250" s="1">
        <v>5</v>
      </c>
      <c r="D250" s="1">
        <v>34</v>
      </c>
      <c r="E250" s="1">
        <v>6</v>
      </c>
    </row>
    <row r="251" spans="1:5" x14ac:dyDescent="0.3">
      <c r="A251" s="1" t="s">
        <v>782</v>
      </c>
      <c r="B251" s="1">
        <v>2026</v>
      </c>
      <c r="C251" s="1">
        <v>5</v>
      </c>
      <c r="D251" s="1">
        <v>11</v>
      </c>
      <c r="E251" s="1">
        <v>6</v>
      </c>
    </row>
    <row r="252" spans="1:5" x14ac:dyDescent="0.3">
      <c r="A252" s="1" t="s">
        <v>785</v>
      </c>
      <c r="B252" s="1">
        <v>2026</v>
      </c>
      <c r="C252" s="1">
        <v>4</v>
      </c>
      <c r="D252" s="1">
        <v>29</v>
      </c>
      <c r="E252" s="1">
        <v>3</v>
      </c>
    </row>
    <row r="253" spans="1:5" x14ac:dyDescent="0.3">
      <c r="A253" s="1" t="s">
        <v>788</v>
      </c>
      <c r="B253" s="1">
        <v>2026</v>
      </c>
      <c r="C253" s="1">
        <v>3</v>
      </c>
      <c r="D253" s="1">
        <v>20</v>
      </c>
      <c r="E253" s="1">
        <v>4</v>
      </c>
    </row>
    <row r="254" spans="1:5" x14ac:dyDescent="0.3">
      <c r="A254" s="1" t="s">
        <v>790</v>
      </c>
      <c r="B254" s="1">
        <v>2026</v>
      </c>
      <c r="C254" s="1">
        <v>1</v>
      </c>
      <c r="D254" s="1">
        <v>32</v>
      </c>
      <c r="E254" s="1">
        <v>5</v>
      </c>
    </row>
    <row r="255" spans="1:5" x14ac:dyDescent="0.3">
      <c r="A255" s="1" t="s">
        <v>793</v>
      </c>
      <c r="B255" s="1">
        <v>2026</v>
      </c>
      <c r="C255" s="1">
        <v>5</v>
      </c>
      <c r="D255" s="1">
        <v>2</v>
      </c>
      <c r="E255" s="1">
        <v>11</v>
      </c>
    </row>
    <row r="256" spans="1:5" x14ac:dyDescent="0.3">
      <c r="A256" s="1" t="s">
        <v>796</v>
      </c>
      <c r="B256" s="1">
        <v>2026</v>
      </c>
      <c r="C256" s="1">
        <v>1</v>
      </c>
      <c r="D256" s="1">
        <v>50</v>
      </c>
      <c r="E256" s="1">
        <v>7</v>
      </c>
    </row>
    <row r="257" spans="1:5" x14ac:dyDescent="0.3">
      <c r="A257" s="1" t="s">
        <v>799</v>
      </c>
      <c r="B257" s="1">
        <v>2026</v>
      </c>
      <c r="C257" s="1">
        <v>4</v>
      </c>
      <c r="D257" s="1">
        <v>43</v>
      </c>
      <c r="E257" s="1">
        <v>6</v>
      </c>
    </row>
    <row r="258" spans="1:5" x14ac:dyDescent="0.3">
      <c r="A258" s="1" t="s">
        <v>802</v>
      </c>
      <c r="B258" s="1">
        <v>2026</v>
      </c>
      <c r="C258" s="1">
        <v>3</v>
      </c>
      <c r="D258" s="1">
        <v>55</v>
      </c>
      <c r="E258" s="1">
        <v>5</v>
      </c>
    </row>
    <row r="259" spans="1:5" x14ac:dyDescent="0.3">
      <c r="A259" s="1" t="s">
        <v>805</v>
      </c>
      <c r="B259" s="1">
        <v>2026</v>
      </c>
      <c r="C259" s="1">
        <v>2</v>
      </c>
      <c r="D259" s="1">
        <v>56</v>
      </c>
      <c r="E259" s="1">
        <v>9</v>
      </c>
    </row>
    <row r="260" spans="1:5" x14ac:dyDescent="0.3">
      <c r="A260" s="1" t="s">
        <v>808</v>
      </c>
      <c r="B260" s="1">
        <v>2026</v>
      </c>
      <c r="C260" s="1">
        <v>1</v>
      </c>
      <c r="D260" s="1">
        <v>2</v>
      </c>
      <c r="E260" s="1">
        <v>4</v>
      </c>
    </row>
    <row r="261" spans="1:5" x14ac:dyDescent="0.3">
      <c r="A261" s="1" t="s">
        <v>811</v>
      </c>
      <c r="B261" s="1">
        <v>2026</v>
      </c>
      <c r="C261" s="1">
        <v>3</v>
      </c>
      <c r="D261" s="1">
        <v>12</v>
      </c>
      <c r="E261" s="1">
        <v>12</v>
      </c>
    </row>
    <row r="262" spans="1:5" x14ac:dyDescent="0.3">
      <c r="A262" s="1" t="s">
        <v>813</v>
      </c>
      <c r="B262" s="1">
        <v>2026</v>
      </c>
      <c r="C262" s="1">
        <v>4</v>
      </c>
      <c r="D262" s="1">
        <v>38</v>
      </c>
      <c r="E262" s="1">
        <v>3</v>
      </c>
    </row>
    <row r="263" spans="1:5" x14ac:dyDescent="0.3">
      <c r="A263" s="1" t="s">
        <v>816</v>
      </c>
      <c r="B263" s="1">
        <v>2026</v>
      </c>
      <c r="C263" s="1">
        <v>2</v>
      </c>
      <c r="D263" s="1">
        <v>29</v>
      </c>
      <c r="E263" s="1">
        <v>3</v>
      </c>
    </row>
    <row r="264" spans="1:5" x14ac:dyDescent="0.3">
      <c r="A264" s="1" t="s">
        <v>818</v>
      </c>
      <c r="B264" s="1">
        <v>2026</v>
      </c>
      <c r="C264" s="1">
        <v>5</v>
      </c>
      <c r="D264" s="1">
        <v>45</v>
      </c>
      <c r="E264" s="1">
        <v>3</v>
      </c>
    </row>
    <row r="265" spans="1:5" x14ac:dyDescent="0.3">
      <c r="A265" s="1" t="s">
        <v>821</v>
      </c>
      <c r="B265" s="1">
        <v>2026</v>
      </c>
      <c r="C265" s="1">
        <v>2</v>
      </c>
      <c r="D265" s="1">
        <v>57</v>
      </c>
      <c r="E265" s="1">
        <v>0</v>
      </c>
    </row>
    <row r="266" spans="1:5" x14ac:dyDescent="0.3">
      <c r="A266" s="1" t="s">
        <v>824</v>
      </c>
      <c r="B266" s="1">
        <v>2026</v>
      </c>
      <c r="C266" s="1">
        <v>2</v>
      </c>
      <c r="D266" s="1">
        <v>47</v>
      </c>
      <c r="E266" s="1">
        <v>6</v>
      </c>
    </row>
    <row r="267" spans="1:5" x14ac:dyDescent="0.3">
      <c r="A267" s="1" t="s">
        <v>827</v>
      </c>
      <c r="B267" s="1">
        <v>2026</v>
      </c>
      <c r="C267" s="1">
        <v>4</v>
      </c>
      <c r="D267" s="1">
        <v>52</v>
      </c>
      <c r="E267" s="1">
        <v>4</v>
      </c>
    </row>
    <row r="268" spans="1:5" x14ac:dyDescent="0.3">
      <c r="A268" s="1" t="s">
        <v>830</v>
      </c>
      <c r="B268" s="1">
        <v>2026</v>
      </c>
      <c r="C268" s="1">
        <v>4</v>
      </c>
      <c r="D268" s="1">
        <v>47</v>
      </c>
      <c r="E268" s="1">
        <v>0</v>
      </c>
    </row>
    <row r="269" spans="1:5" x14ac:dyDescent="0.3">
      <c r="A269" s="1" t="s">
        <v>833</v>
      </c>
      <c r="B269" s="1">
        <v>2026</v>
      </c>
      <c r="C269" s="1">
        <v>2</v>
      </c>
      <c r="D269" s="1">
        <v>23</v>
      </c>
      <c r="E269" s="1">
        <v>11</v>
      </c>
    </row>
    <row r="270" spans="1:5" x14ac:dyDescent="0.3">
      <c r="A270" s="1" t="s">
        <v>836</v>
      </c>
      <c r="B270" s="1">
        <v>2026</v>
      </c>
      <c r="C270" s="1">
        <v>1</v>
      </c>
      <c r="D270" s="1">
        <v>40</v>
      </c>
      <c r="E270" s="1">
        <v>6</v>
      </c>
    </row>
    <row r="271" spans="1:5" x14ac:dyDescent="0.3">
      <c r="A271" s="1" t="s">
        <v>839</v>
      </c>
      <c r="B271" s="1">
        <v>2026</v>
      </c>
      <c r="C271" s="1">
        <v>4</v>
      </c>
      <c r="D271" s="1">
        <v>19</v>
      </c>
      <c r="E271" s="1">
        <v>6</v>
      </c>
    </row>
    <row r="272" spans="1:5" x14ac:dyDescent="0.3">
      <c r="A272" s="1" t="s">
        <v>842</v>
      </c>
      <c r="B272" s="1">
        <v>2026</v>
      </c>
      <c r="C272" s="1">
        <v>5</v>
      </c>
      <c r="D272" s="1">
        <v>25</v>
      </c>
      <c r="E272" s="1">
        <v>6</v>
      </c>
    </row>
    <row r="273" spans="1:5" x14ac:dyDescent="0.3">
      <c r="A273" s="1" t="s">
        <v>845</v>
      </c>
      <c r="B273" s="1">
        <v>2026</v>
      </c>
      <c r="C273" s="1">
        <v>4</v>
      </c>
      <c r="D273" s="1">
        <v>5</v>
      </c>
      <c r="E273" s="1">
        <v>6</v>
      </c>
    </row>
    <row r="274" spans="1:5" x14ac:dyDescent="0.3">
      <c r="A274" s="1" t="s">
        <v>848</v>
      </c>
      <c r="B274" s="1">
        <v>2026</v>
      </c>
      <c r="C274" s="1">
        <v>2</v>
      </c>
      <c r="D274" s="1">
        <v>53</v>
      </c>
      <c r="E274" s="1">
        <v>11</v>
      </c>
    </row>
    <row r="275" spans="1:5" x14ac:dyDescent="0.3">
      <c r="A275" s="1" t="s">
        <v>851</v>
      </c>
      <c r="B275" s="1">
        <v>2026</v>
      </c>
      <c r="C275" s="1">
        <v>4</v>
      </c>
      <c r="D275" s="1">
        <v>6</v>
      </c>
      <c r="E275" s="1">
        <v>0</v>
      </c>
    </row>
    <row r="276" spans="1:5" x14ac:dyDescent="0.3">
      <c r="A276" s="1" t="s">
        <v>854</v>
      </c>
      <c r="B276" s="1">
        <v>2026</v>
      </c>
      <c r="C276" s="1">
        <v>4</v>
      </c>
      <c r="D276" s="1">
        <v>6</v>
      </c>
      <c r="E276" s="1">
        <v>4</v>
      </c>
    </row>
    <row r="277" spans="1:5" x14ac:dyDescent="0.3">
      <c r="A277" s="1" t="s">
        <v>857</v>
      </c>
      <c r="B277" s="1">
        <v>2026</v>
      </c>
      <c r="C277" s="1">
        <v>2</v>
      </c>
      <c r="D277" s="1">
        <v>8</v>
      </c>
      <c r="E277" s="1">
        <v>5</v>
      </c>
    </row>
    <row r="278" spans="1:5" x14ac:dyDescent="0.3">
      <c r="A278" s="1" t="s">
        <v>860</v>
      </c>
      <c r="B278" s="1">
        <v>2026</v>
      </c>
      <c r="C278" s="1">
        <v>2</v>
      </c>
      <c r="D278" s="1">
        <v>51</v>
      </c>
      <c r="E278" s="1">
        <v>7</v>
      </c>
    </row>
    <row r="279" spans="1:5" x14ac:dyDescent="0.3">
      <c r="A279" s="1" t="s">
        <v>863</v>
      </c>
      <c r="B279" s="1">
        <v>2026</v>
      </c>
      <c r="C279" s="1">
        <v>2</v>
      </c>
      <c r="D279" s="1">
        <v>33</v>
      </c>
      <c r="E279" s="1">
        <v>0</v>
      </c>
    </row>
    <row r="280" spans="1:5" x14ac:dyDescent="0.3">
      <c r="A280" s="1" t="s">
        <v>866</v>
      </c>
      <c r="B280" s="1">
        <v>2026</v>
      </c>
      <c r="C280" s="1">
        <v>2</v>
      </c>
      <c r="D280" s="1">
        <v>31</v>
      </c>
      <c r="E280" s="1">
        <v>3</v>
      </c>
    </row>
    <row r="281" spans="1:5" x14ac:dyDescent="0.3">
      <c r="A281" s="1" t="s">
        <v>869</v>
      </c>
      <c r="B281" s="1">
        <v>2026</v>
      </c>
      <c r="C281" s="1">
        <v>1</v>
      </c>
      <c r="D281" s="1">
        <v>13</v>
      </c>
      <c r="E281" s="1">
        <v>0</v>
      </c>
    </row>
    <row r="282" spans="1:5" x14ac:dyDescent="0.3">
      <c r="A282" s="1" t="s">
        <v>872</v>
      </c>
      <c r="B282" s="1">
        <v>2026</v>
      </c>
      <c r="C282" s="1">
        <v>1</v>
      </c>
      <c r="D282" s="1">
        <v>47</v>
      </c>
      <c r="E282" s="1">
        <v>4</v>
      </c>
    </row>
    <row r="283" spans="1:5" x14ac:dyDescent="0.3">
      <c r="A283" s="1" t="s">
        <v>875</v>
      </c>
      <c r="B283" s="1">
        <v>2026</v>
      </c>
      <c r="C283" s="1">
        <v>1</v>
      </c>
      <c r="D283" s="1">
        <v>17</v>
      </c>
      <c r="E283" s="1">
        <v>11</v>
      </c>
    </row>
    <row r="284" spans="1:5" x14ac:dyDescent="0.3">
      <c r="A284" s="1" t="s">
        <v>878</v>
      </c>
      <c r="B284" s="1">
        <v>2026</v>
      </c>
      <c r="C284" s="1">
        <v>5</v>
      </c>
      <c r="D284" s="1">
        <v>1</v>
      </c>
      <c r="E284" s="1">
        <v>8</v>
      </c>
    </row>
    <row r="285" spans="1:5" x14ac:dyDescent="0.3">
      <c r="A285" s="1" t="s">
        <v>881</v>
      </c>
      <c r="B285" s="1">
        <v>2026</v>
      </c>
      <c r="C285" s="1">
        <v>2</v>
      </c>
      <c r="D285" s="1">
        <v>58</v>
      </c>
      <c r="E285" s="1">
        <v>6</v>
      </c>
    </row>
    <row r="286" spans="1:5" x14ac:dyDescent="0.3">
      <c r="A286" s="1" t="s">
        <v>883</v>
      </c>
      <c r="B286" s="1">
        <v>2026</v>
      </c>
      <c r="C286" s="1">
        <v>3</v>
      </c>
      <c r="D286" s="1">
        <v>37</v>
      </c>
      <c r="E286" s="1">
        <v>3</v>
      </c>
    </row>
    <row r="287" spans="1:5" x14ac:dyDescent="0.3">
      <c r="A287" s="1" t="s">
        <v>886</v>
      </c>
      <c r="B287" s="1">
        <v>2026</v>
      </c>
      <c r="C287" s="1">
        <v>3</v>
      </c>
      <c r="D287" s="1">
        <v>14</v>
      </c>
      <c r="E287" s="1">
        <v>2</v>
      </c>
    </row>
    <row r="288" spans="1:5" x14ac:dyDescent="0.3">
      <c r="A288" s="1" t="s">
        <v>889</v>
      </c>
      <c r="B288" s="1">
        <v>2026</v>
      </c>
      <c r="C288" s="1">
        <v>1</v>
      </c>
      <c r="D288" s="1">
        <v>22</v>
      </c>
      <c r="E288" s="1">
        <v>10</v>
      </c>
    </row>
    <row r="289" spans="1:5" x14ac:dyDescent="0.3">
      <c r="A289" s="1" t="s">
        <v>892</v>
      </c>
      <c r="B289" s="1">
        <v>2026</v>
      </c>
      <c r="C289" s="1">
        <v>4</v>
      </c>
      <c r="D289" s="1">
        <v>30</v>
      </c>
      <c r="E289" s="1">
        <v>10</v>
      </c>
    </row>
    <row r="290" spans="1:5" x14ac:dyDescent="0.3">
      <c r="A290" s="1" t="s">
        <v>895</v>
      </c>
      <c r="B290" s="1">
        <v>2026</v>
      </c>
      <c r="C290" s="1">
        <v>1</v>
      </c>
      <c r="D290" s="1">
        <v>44</v>
      </c>
      <c r="E290" s="1">
        <v>11</v>
      </c>
    </row>
    <row r="291" spans="1:5" x14ac:dyDescent="0.3">
      <c r="A291" s="1" t="s">
        <v>898</v>
      </c>
      <c r="B291" s="1">
        <v>2026</v>
      </c>
      <c r="C291" s="1">
        <v>5</v>
      </c>
      <c r="D291" s="1">
        <v>48</v>
      </c>
      <c r="E291" s="1">
        <v>12</v>
      </c>
    </row>
    <row r="292" spans="1:5" x14ac:dyDescent="0.3">
      <c r="A292" s="1" t="s">
        <v>901</v>
      </c>
      <c r="B292" s="1">
        <v>2026</v>
      </c>
      <c r="C292" s="1">
        <v>3</v>
      </c>
      <c r="D292" s="1">
        <v>39</v>
      </c>
      <c r="E292" s="1">
        <v>9</v>
      </c>
    </row>
    <row r="293" spans="1:5" x14ac:dyDescent="0.3">
      <c r="A293" s="1" t="s">
        <v>904</v>
      </c>
      <c r="B293" s="1">
        <v>2026</v>
      </c>
      <c r="C293" s="1">
        <v>3</v>
      </c>
      <c r="D293" s="1">
        <v>28</v>
      </c>
      <c r="E293" s="1">
        <v>8</v>
      </c>
    </row>
    <row r="294" spans="1:5" x14ac:dyDescent="0.3">
      <c r="A294" s="1" t="s">
        <v>907</v>
      </c>
      <c r="B294" s="1">
        <v>2026</v>
      </c>
      <c r="C294" s="1">
        <v>5</v>
      </c>
      <c r="D294" s="1">
        <v>2</v>
      </c>
      <c r="E294" s="1">
        <v>1</v>
      </c>
    </row>
    <row r="295" spans="1:5" x14ac:dyDescent="0.3">
      <c r="A295" s="1" t="s">
        <v>910</v>
      </c>
      <c r="B295" s="1">
        <v>2026</v>
      </c>
      <c r="C295" s="1">
        <v>3</v>
      </c>
      <c r="D295" s="1">
        <v>24</v>
      </c>
      <c r="E295" s="1">
        <v>5</v>
      </c>
    </row>
    <row r="296" spans="1:5" x14ac:dyDescent="0.3">
      <c r="A296" s="1" t="s">
        <v>913</v>
      </c>
      <c r="B296" s="1">
        <v>2026</v>
      </c>
      <c r="C296" s="1">
        <v>3</v>
      </c>
      <c r="D296" s="1">
        <v>4</v>
      </c>
      <c r="E296" s="1">
        <v>8</v>
      </c>
    </row>
    <row r="297" spans="1:5" x14ac:dyDescent="0.3">
      <c r="A297" s="1" t="s">
        <v>916</v>
      </c>
      <c r="B297" s="1">
        <v>2026</v>
      </c>
      <c r="C297" s="1">
        <v>3</v>
      </c>
      <c r="D297" s="1">
        <v>29</v>
      </c>
      <c r="E297" s="1">
        <v>0</v>
      </c>
    </row>
    <row r="298" spans="1:5" x14ac:dyDescent="0.3">
      <c r="A298" s="1" t="s">
        <v>919</v>
      </c>
      <c r="B298" s="1">
        <v>2026</v>
      </c>
      <c r="C298" s="1">
        <v>3</v>
      </c>
      <c r="D298" s="1">
        <v>41</v>
      </c>
      <c r="E298" s="1">
        <v>6</v>
      </c>
    </row>
    <row r="299" spans="1:5" x14ac:dyDescent="0.3">
      <c r="A299" s="1" t="s">
        <v>922</v>
      </c>
      <c r="B299" s="1">
        <v>2026</v>
      </c>
      <c r="C299" s="1">
        <v>3</v>
      </c>
      <c r="D299" s="1">
        <v>21</v>
      </c>
      <c r="E299" s="1">
        <v>10</v>
      </c>
    </row>
    <row r="300" spans="1:5" x14ac:dyDescent="0.3">
      <c r="A300" s="1" t="s">
        <v>925</v>
      </c>
      <c r="B300" s="1">
        <v>2026</v>
      </c>
      <c r="C300" s="1">
        <v>5</v>
      </c>
      <c r="D300" s="1">
        <v>31</v>
      </c>
      <c r="E300" s="1">
        <v>0</v>
      </c>
    </row>
    <row r="301" spans="1:5" x14ac:dyDescent="0.3">
      <c r="A301" s="1" t="s">
        <v>928</v>
      </c>
      <c r="B301" s="1">
        <v>2026</v>
      </c>
      <c r="C301" s="1">
        <v>1</v>
      </c>
      <c r="D301" s="1">
        <v>48</v>
      </c>
      <c r="E301" s="1">
        <v>8</v>
      </c>
    </row>
    <row r="302" spans="1:5" x14ac:dyDescent="0.3">
      <c r="A302" s="1" t="s">
        <v>931</v>
      </c>
      <c r="B302" s="1">
        <v>2026</v>
      </c>
      <c r="C302" s="1">
        <v>4</v>
      </c>
      <c r="D302" s="1">
        <v>28</v>
      </c>
      <c r="E302" s="1">
        <v>6</v>
      </c>
    </row>
    <row r="303" spans="1:5" x14ac:dyDescent="0.3">
      <c r="A303" s="1" t="s">
        <v>934</v>
      </c>
      <c r="B303" s="1">
        <v>2026</v>
      </c>
      <c r="C303" s="1">
        <v>2</v>
      </c>
      <c r="D303" s="1">
        <v>9</v>
      </c>
      <c r="E303" s="1">
        <v>12</v>
      </c>
    </row>
    <row r="304" spans="1:5" x14ac:dyDescent="0.3">
      <c r="A304" s="1" t="s">
        <v>936</v>
      </c>
      <c r="B304" s="1">
        <v>2026</v>
      </c>
      <c r="C304" s="1">
        <v>1</v>
      </c>
      <c r="D304" s="1">
        <v>57</v>
      </c>
      <c r="E304" s="1">
        <v>0</v>
      </c>
    </row>
    <row r="305" spans="1:5" x14ac:dyDescent="0.3">
      <c r="A305" s="1" t="s">
        <v>939</v>
      </c>
      <c r="B305" s="1">
        <v>2026</v>
      </c>
      <c r="C305" s="1">
        <v>5</v>
      </c>
      <c r="D305" s="1">
        <v>27</v>
      </c>
      <c r="E305" s="1">
        <v>0</v>
      </c>
    </row>
    <row r="306" spans="1:5" x14ac:dyDescent="0.3">
      <c r="A306" s="1" t="s">
        <v>942</v>
      </c>
      <c r="B306" s="1">
        <v>2026</v>
      </c>
      <c r="C306" s="1">
        <v>2</v>
      </c>
      <c r="D306" s="1">
        <v>19</v>
      </c>
      <c r="E306" s="1">
        <v>2</v>
      </c>
    </row>
    <row r="307" spans="1:5" x14ac:dyDescent="0.3">
      <c r="A307" s="1" t="s">
        <v>945</v>
      </c>
      <c r="B307" s="1">
        <v>2026</v>
      </c>
      <c r="C307" s="1">
        <v>2</v>
      </c>
      <c r="D307" s="1">
        <v>23</v>
      </c>
      <c r="E307" s="1">
        <v>5</v>
      </c>
    </row>
    <row r="308" spans="1:5" x14ac:dyDescent="0.3">
      <c r="A308" s="1" t="s">
        <v>948</v>
      </c>
      <c r="B308" s="1">
        <v>2026</v>
      </c>
      <c r="C308" s="1">
        <v>2</v>
      </c>
      <c r="D308" s="1">
        <v>38</v>
      </c>
      <c r="E308" s="1">
        <v>11</v>
      </c>
    </row>
    <row r="309" spans="1:5" x14ac:dyDescent="0.3">
      <c r="A309" s="1" t="s">
        <v>951</v>
      </c>
      <c r="B309" s="1">
        <v>2026</v>
      </c>
      <c r="C309" s="1">
        <v>3</v>
      </c>
      <c r="D309" s="1">
        <v>17</v>
      </c>
      <c r="E309" s="1">
        <v>8</v>
      </c>
    </row>
    <row r="310" spans="1:5" x14ac:dyDescent="0.3">
      <c r="A310" s="1" t="s">
        <v>954</v>
      </c>
      <c r="B310" s="1">
        <v>2026</v>
      </c>
      <c r="C310" s="1">
        <v>1</v>
      </c>
      <c r="D310" s="1">
        <v>26</v>
      </c>
      <c r="E310" s="1">
        <v>8</v>
      </c>
    </row>
    <row r="311" spans="1:5" x14ac:dyDescent="0.3">
      <c r="A311" s="1" t="s">
        <v>956</v>
      </c>
      <c r="B311" s="1">
        <v>2026</v>
      </c>
      <c r="C311" s="1">
        <v>3</v>
      </c>
      <c r="D311" s="1">
        <v>60</v>
      </c>
      <c r="E311" s="1">
        <v>12</v>
      </c>
    </row>
    <row r="312" spans="1:5" x14ac:dyDescent="0.3">
      <c r="A312" s="1" t="s">
        <v>959</v>
      </c>
      <c r="B312" s="1">
        <v>2026</v>
      </c>
      <c r="C312" s="1">
        <v>2</v>
      </c>
      <c r="D312" s="1">
        <v>44</v>
      </c>
      <c r="E312" s="1">
        <v>1</v>
      </c>
    </row>
    <row r="313" spans="1:5" x14ac:dyDescent="0.3">
      <c r="A313" s="1" t="s">
        <v>961</v>
      </c>
      <c r="B313" s="1">
        <v>2026</v>
      </c>
      <c r="C313" s="1">
        <v>4</v>
      </c>
      <c r="D313" s="1">
        <v>13</v>
      </c>
      <c r="E313" s="1">
        <v>5</v>
      </c>
    </row>
    <row r="314" spans="1:5" x14ac:dyDescent="0.3">
      <c r="A314" s="1" t="s">
        <v>964</v>
      </c>
      <c r="B314" s="1">
        <v>2026</v>
      </c>
      <c r="C314" s="1">
        <v>5</v>
      </c>
      <c r="D314" s="1">
        <v>50</v>
      </c>
      <c r="E314" s="1">
        <v>6</v>
      </c>
    </row>
    <row r="315" spans="1:5" x14ac:dyDescent="0.3">
      <c r="A315" s="1" t="s">
        <v>967</v>
      </c>
      <c r="B315" s="1">
        <v>2026</v>
      </c>
      <c r="C315" s="1">
        <v>3</v>
      </c>
      <c r="D315" s="1">
        <v>16</v>
      </c>
      <c r="E315" s="1">
        <v>5</v>
      </c>
    </row>
    <row r="316" spans="1:5" x14ac:dyDescent="0.3">
      <c r="A316" s="1" t="s">
        <v>970</v>
      </c>
      <c r="B316" s="1">
        <v>2026</v>
      </c>
      <c r="C316" s="1">
        <v>1</v>
      </c>
      <c r="D316" s="1">
        <v>28</v>
      </c>
      <c r="E316" s="1">
        <v>8</v>
      </c>
    </row>
    <row r="317" spans="1:5" x14ac:dyDescent="0.3">
      <c r="A317" s="1" t="s">
        <v>973</v>
      </c>
      <c r="B317" s="1">
        <v>2026</v>
      </c>
      <c r="C317" s="1">
        <v>5</v>
      </c>
      <c r="D317" s="1">
        <v>39</v>
      </c>
      <c r="E317" s="1">
        <v>7</v>
      </c>
    </row>
    <row r="318" spans="1:5" x14ac:dyDescent="0.3">
      <c r="A318" s="1" t="s">
        <v>976</v>
      </c>
      <c r="B318" s="1">
        <v>2026</v>
      </c>
      <c r="C318" s="1">
        <v>2</v>
      </c>
      <c r="D318" s="1">
        <v>40</v>
      </c>
      <c r="E318" s="1">
        <v>3</v>
      </c>
    </row>
    <row r="319" spans="1:5" x14ac:dyDescent="0.3">
      <c r="A319" s="1" t="s">
        <v>979</v>
      </c>
      <c r="B319" s="1">
        <v>2026</v>
      </c>
      <c r="C319" s="1">
        <v>2</v>
      </c>
      <c r="D319" s="1">
        <v>32</v>
      </c>
      <c r="E319" s="1">
        <v>5</v>
      </c>
    </row>
    <row r="320" spans="1:5" x14ac:dyDescent="0.3">
      <c r="A320" s="1" t="s">
        <v>982</v>
      </c>
      <c r="B320" s="1">
        <v>2026</v>
      </c>
      <c r="C320" s="1">
        <v>3</v>
      </c>
      <c r="D320" s="1">
        <v>39</v>
      </c>
      <c r="E320" s="1">
        <v>11</v>
      </c>
    </row>
    <row r="321" spans="1:5" x14ac:dyDescent="0.3">
      <c r="A321" s="1" t="s">
        <v>985</v>
      </c>
      <c r="B321" s="1">
        <v>2026</v>
      </c>
      <c r="C321" s="1">
        <v>2</v>
      </c>
      <c r="D321" s="1">
        <v>30</v>
      </c>
      <c r="E321" s="1">
        <v>12</v>
      </c>
    </row>
    <row r="322" spans="1:5" x14ac:dyDescent="0.3">
      <c r="A322" s="1" t="s">
        <v>987</v>
      </c>
      <c r="B322" s="1">
        <v>2026</v>
      </c>
      <c r="C322" s="1">
        <v>5</v>
      </c>
      <c r="D322" s="1">
        <v>54</v>
      </c>
      <c r="E322" s="1">
        <v>9</v>
      </c>
    </row>
    <row r="323" spans="1:5" x14ac:dyDescent="0.3">
      <c r="A323" s="1" t="s">
        <v>990</v>
      </c>
      <c r="B323" s="1">
        <v>2026</v>
      </c>
      <c r="C323" s="1">
        <v>3</v>
      </c>
      <c r="D323" s="1">
        <v>22</v>
      </c>
      <c r="E323" s="1">
        <v>5</v>
      </c>
    </row>
    <row r="324" spans="1:5" x14ac:dyDescent="0.3">
      <c r="A324" s="1" t="s">
        <v>993</v>
      </c>
      <c r="B324" s="1">
        <v>2026</v>
      </c>
      <c r="C324" s="1">
        <v>3</v>
      </c>
      <c r="D324" s="1">
        <v>20</v>
      </c>
      <c r="E324" s="1">
        <v>11</v>
      </c>
    </row>
    <row r="325" spans="1:5" x14ac:dyDescent="0.3">
      <c r="A325" s="1" t="s">
        <v>996</v>
      </c>
      <c r="B325" s="1">
        <v>2026</v>
      </c>
      <c r="C325" s="1">
        <v>4</v>
      </c>
      <c r="D325" s="1">
        <v>3</v>
      </c>
      <c r="E325" s="1">
        <v>4</v>
      </c>
    </row>
    <row r="326" spans="1:5" x14ac:dyDescent="0.3">
      <c r="A326" s="1" t="s">
        <v>999</v>
      </c>
      <c r="B326" s="1">
        <v>2026</v>
      </c>
      <c r="C326" s="1">
        <v>1</v>
      </c>
      <c r="D326" s="1">
        <v>15</v>
      </c>
      <c r="E326" s="1">
        <v>12</v>
      </c>
    </row>
    <row r="327" spans="1:5" x14ac:dyDescent="0.3">
      <c r="A327" s="1" t="s">
        <v>1002</v>
      </c>
      <c r="B327" s="1">
        <v>2026</v>
      </c>
      <c r="C327" s="1">
        <v>1</v>
      </c>
      <c r="D327" s="1">
        <v>52</v>
      </c>
      <c r="E327" s="1">
        <v>0</v>
      </c>
    </row>
    <row r="328" spans="1:5" x14ac:dyDescent="0.3">
      <c r="A328" s="1" t="s">
        <v>1005</v>
      </c>
      <c r="B328" s="1">
        <v>2026</v>
      </c>
      <c r="C328" s="1">
        <v>5</v>
      </c>
      <c r="D328" s="1">
        <v>47</v>
      </c>
      <c r="E328" s="1">
        <v>8</v>
      </c>
    </row>
    <row r="329" spans="1:5" x14ac:dyDescent="0.3">
      <c r="A329" s="1" t="s">
        <v>1008</v>
      </c>
      <c r="B329" s="1">
        <v>2026</v>
      </c>
      <c r="C329" s="1">
        <v>5</v>
      </c>
      <c r="D329" s="1">
        <v>40</v>
      </c>
      <c r="E329" s="1">
        <v>7</v>
      </c>
    </row>
    <row r="330" spans="1:5" x14ac:dyDescent="0.3">
      <c r="A330" s="1" t="s">
        <v>1011</v>
      </c>
      <c r="B330" s="1">
        <v>2026</v>
      </c>
      <c r="C330" s="1">
        <v>5</v>
      </c>
      <c r="D330" s="1">
        <v>53</v>
      </c>
      <c r="E330" s="1">
        <v>5</v>
      </c>
    </row>
    <row r="331" spans="1:5" x14ac:dyDescent="0.3">
      <c r="A331" s="1" t="s">
        <v>1014</v>
      </c>
      <c r="B331" s="1">
        <v>2026</v>
      </c>
      <c r="C331" s="1">
        <v>1</v>
      </c>
      <c r="D331" s="1">
        <v>49</v>
      </c>
      <c r="E331" s="1">
        <v>1</v>
      </c>
    </row>
    <row r="332" spans="1:5" x14ac:dyDescent="0.3">
      <c r="A332" s="1" t="s">
        <v>1017</v>
      </c>
      <c r="B332" s="1">
        <v>2026</v>
      </c>
      <c r="C332" s="1">
        <v>1</v>
      </c>
      <c r="D332" s="1">
        <v>48</v>
      </c>
      <c r="E332" s="1">
        <v>7</v>
      </c>
    </row>
    <row r="333" spans="1:5" x14ac:dyDescent="0.3">
      <c r="A333" s="1" t="s">
        <v>1020</v>
      </c>
      <c r="B333" s="1">
        <v>2026</v>
      </c>
      <c r="C333" s="1">
        <v>5</v>
      </c>
      <c r="D333" s="1">
        <v>48</v>
      </c>
      <c r="E333" s="1">
        <v>12</v>
      </c>
    </row>
    <row r="334" spans="1:5" x14ac:dyDescent="0.3">
      <c r="A334" s="1" t="s">
        <v>1022</v>
      </c>
      <c r="B334" s="1">
        <v>2026</v>
      </c>
      <c r="C334" s="1">
        <v>3</v>
      </c>
      <c r="D334" s="1">
        <v>59</v>
      </c>
      <c r="E334" s="1">
        <v>8</v>
      </c>
    </row>
    <row r="335" spans="1:5" x14ac:dyDescent="0.3">
      <c r="A335" s="1" t="s">
        <v>1025</v>
      </c>
      <c r="B335" s="1">
        <v>2026</v>
      </c>
      <c r="C335" s="1">
        <v>3</v>
      </c>
      <c r="D335" s="1">
        <v>50</v>
      </c>
      <c r="E335" s="1">
        <v>0</v>
      </c>
    </row>
    <row r="336" spans="1:5" x14ac:dyDescent="0.3">
      <c r="A336" s="1" t="s">
        <v>1028</v>
      </c>
      <c r="B336" s="1">
        <v>2026</v>
      </c>
      <c r="C336" s="1">
        <v>1</v>
      </c>
      <c r="D336" s="1">
        <v>51</v>
      </c>
      <c r="E336" s="1">
        <v>7</v>
      </c>
    </row>
    <row r="337" spans="1:5" x14ac:dyDescent="0.3">
      <c r="A337" s="1" t="s">
        <v>1031</v>
      </c>
      <c r="B337" s="1">
        <v>2026</v>
      </c>
      <c r="C337" s="1">
        <v>2</v>
      </c>
      <c r="D337" s="1">
        <v>57</v>
      </c>
      <c r="E337" s="1">
        <v>8</v>
      </c>
    </row>
    <row r="338" spans="1:5" x14ac:dyDescent="0.3">
      <c r="A338" s="1" t="s">
        <v>1034</v>
      </c>
      <c r="B338" s="1">
        <v>2026</v>
      </c>
      <c r="C338" s="1">
        <v>1</v>
      </c>
      <c r="D338" s="1">
        <v>2</v>
      </c>
      <c r="E338" s="1">
        <v>1</v>
      </c>
    </row>
    <row r="339" spans="1:5" x14ac:dyDescent="0.3">
      <c r="A339" s="1" t="s">
        <v>1037</v>
      </c>
      <c r="B339" s="1">
        <v>2026</v>
      </c>
      <c r="C339" s="1">
        <v>1</v>
      </c>
      <c r="D339" s="1">
        <v>49</v>
      </c>
      <c r="E339" s="1">
        <v>0</v>
      </c>
    </row>
    <row r="340" spans="1:5" x14ac:dyDescent="0.3">
      <c r="A340" s="1" t="s">
        <v>1040</v>
      </c>
      <c r="B340" s="1">
        <v>2026</v>
      </c>
      <c r="C340" s="1">
        <v>3</v>
      </c>
      <c r="D340" s="1">
        <v>21</v>
      </c>
      <c r="E340" s="1">
        <v>6</v>
      </c>
    </row>
    <row r="341" spans="1:5" x14ac:dyDescent="0.3">
      <c r="A341" s="1" t="s">
        <v>1043</v>
      </c>
      <c r="B341" s="1">
        <v>2026</v>
      </c>
      <c r="C341" s="1">
        <v>3</v>
      </c>
      <c r="D341" s="1">
        <v>9</v>
      </c>
      <c r="E341" s="1">
        <v>8</v>
      </c>
    </row>
    <row r="342" spans="1:5" x14ac:dyDescent="0.3">
      <c r="A342" s="1" t="s">
        <v>1046</v>
      </c>
      <c r="B342" s="1">
        <v>2026</v>
      </c>
      <c r="C342" s="1">
        <v>2</v>
      </c>
      <c r="D342" s="1">
        <v>29</v>
      </c>
      <c r="E342" s="1">
        <v>12</v>
      </c>
    </row>
    <row r="343" spans="1:5" x14ac:dyDescent="0.3">
      <c r="A343" s="1" t="s">
        <v>1049</v>
      </c>
      <c r="B343" s="1">
        <v>2026</v>
      </c>
      <c r="C343" s="1">
        <v>5</v>
      </c>
      <c r="D343" s="1">
        <v>17</v>
      </c>
      <c r="E343" s="1">
        <v>0</v>
      </c>
    </row>
    <row r="344" spans="1:5" x14ac:dyDescent="0.3">
      <c r="A344" s="1" t="s">
        <v>1052</v>
      </c>
      <c r="B344" s="1">
        <v>2026</v>
      </c>
      <c r="C344" s="1">
        <v>4</v>
      </c>
      <c r="D344" s="1">
        <v>1</v>
      </c>
      <c r="E344" s="1">
        <v>5</v>
      </c>
    </row>
    <row r="345" spans="1:5" x14ac:dyDescent="0.3">
      <c r="A345" s="1" t="s">
        <v>1055</v>
      </c>
      <c r="B345" s="1">
        <v>2026</v>
      </c>
      <c r="C345" s="1">
        <v>5</v>
      </c>
      <c r="D345" s="1">
        <v>23</v>
      </c>
      <c r="E345" s="1">
        <v>9</v>
      </c>
    </row>
    <row r="346" spans="1:5" x14ac:dyDescent="0.3">
      <c r="A346" s="1" t="s">
        <v>1058</v>
      </c>
      <c r="B346" s="1">
        <v>2026</v>
      </c>
      <c r="C346" s="1">
        <v>2</v>
      </c>
      <c r="D346" s="1">
        <v>30</v>
      </c>
      <c r="E346" s="1">
        <v>9</v>
      </c>
    </row>
    <row r="347" spans="1:5" x14ac:dyDescent="0.3">
      <c r="A347" s="1" t="s">
        <v>1061</v>
      </c>
      <c r="B347" s="1">
        <v>2026</v>
      </c>
      <c r="C347" s="1">
        <v>3</v>
      </c>
      <c r="D347" s="1">
        <v>44</v>
      </c>
      <c r="E347" s="1">
        <v>4</v>
      </c>
    </row>
    <row r="348" spans="1:5" x14ac:dyDescent="0.3">
      <c r="A348" s="1" t="s">
        <v>1064</v>
      </c>
      <c r="B348" s="1">
        <v>2026</v>
      </c>
      <c r="C348" s="1">
        <v>1</v>
      </c>
      <c r="D348" s="1">
        <v>46</v>
      </c>
      <c r="E348" s="1">
        <v>8</v>
      </c>
    </row>
    <row r="349" spans="1:5" x14ac:dyDescent="0.3">
      <c r="A349" s="1" t="s">
        <v>1067</v>
      </c>
      <c r="B349" s="1">
        <v>2026</v>
      </c>
      <c r="C349" s="1">
        <v>2</v>
      </c>
      <c r="D349" s="1">
        <v>1</v>
      </c>
      <c r="E349" s="1">
        <v>4</v>
      </c>
    </row>
    <row r="350" spans="1:5" x14ac:dyDescent="0.3">
      <c r="A350" s="1" t="s">
        <v>1070</v>
      </c>
      <c r="B350" s="1">
        <v>2026</v>
      </c>
      <c r="C350" s="1">
        <v>3</v>
      </c>
      <c r="D350" s="1">
        <v>7</v>
      </c>
      <c r="E350" s="1">
        <v>1</v>
      </c>
    </row>
    <row r="351" spans="1:5" x14ac:dyDescent="0.3">
      <c r="A351" s="1" t="s">
        <v>1073</v>
      </c>
      <c r="B351" s="1">
        <v>2026</v>
      </c>
      <c r="C351" s="1">
        <v>4</v>
      </c>
      <c r="D351" s="1">
        <v>19</v>
      </c>
      <c r="E351" s="1">
        <v>3</v>
      </c>
    </row>
    <row r="352" spans="1:5" x14ac:dyDescent="0.3">
      <c r="A352" s="1" t="s">
        <v>1076</v>
      </c>
      <c r="B352" s="1">
        <v>2026</v>
      </c>
      <c r="C352" s="1">
        <v>2</v>
      </c>
      <c r="D352" s="1">
        <v>43</v>
      </c>
      <c r="E352" s="1">
        <v>8</v>
      </c>
    </row>
    <row r="353" spans="1:5" x14ac:dyDescent="0.3">
      <c r="A353" s="1" t="s">
        <v>1079</v>
      </c>
      <c r="B353" s="1">
        <v>2026</v>
      </c>
      <c r="C353" s="1">
        <v>2</v>
      </c>
      <c r="D353" s="1">
        <v>55</v>
      </c>
      <c r="E353" s="1">
        <v>3</v>
      </c>
    </row>
    <row r="354" spans="1:5" x14ac:dyDescent="0.3">
      <c r="A354" s="1" t="s">
        <v>1082</v>
      </c>
      <c r="B354" s="1">
        <v>2026</v>
      </c>
      <c r="C354" s="1">
        <v>1</v>
      </c>
      <c r="D354" s="1">
        <v>25</v>
      </c>
      <c r="E354" s="1">
        <v>2</v>
      </c>
    </row>
    <row r="355" spans="1:5" x14ac:dyDescent="0.3">
      <c r="A355" s="1" t="s">
        <v>1085</v>
      </c>
      <c r="B355" s="1">
        <v>2026</v>
      </c>
      <c r="C355" s="1">
        <v>1</v>
      </c>
      <c r="D355" s="1">
        <v>57</v>
      </c>
      <c r="E355" s="1">
        <v>3</v>
      </c>
    </row>
    <row r="356" spans="1:5" x14ac:dyDescent="0.3">
      <c r="A356" s="1" t="s">
        <v>1088</v>
      </c>
      <c r="B356" s="1">
        <v>2026</v>
      </c>
      <c r="C356" s="1">
        <v>5</v>
      </c>
      <c r="D356" s="1">
        <v>36</v>
      </c>
      <c r="E356" s="1">
        <v>11</v>
      </c>
    </row>
    <row r="357" spans="1:5" x14ac:dyDescent="0.3">
      <c r="A357" s="1" t="s">
        <v>1091</v>
      </c>
      <c r="B357" s="1">
        <v>2026</v>
      </c>
      <c r="C357" s="1">
        <v>1</v>
      </c>
      <c r="D357" s="1">
        <v>6</v>
      </c>
      <c r="E357" s="1">
        <v>10</v>
      </c>
    </row>
    <row r="358" spans="1:5" x14ac:dyDescent="0.3">
      <c r="A358" s="1" t="s">
        <v>1094</v>
      </c>
      <c r="B358" s="1">
        <v>2026</v>
      </c>
      <c r="C358" s="1">
        <v>4</v>
      </c>
      <c r="D358" s="1">
        <v>56</v>
      </c>
      <c r="E358" s="1">
        <v>3</v>
      </c>
    </row>
    <row r="359" spans="1:5" x14ac:dyDescent="0.3">
      <c r="A359" s="1" t="s">
        <v>1097</v>
      </c>
      <c r="B359" s="1">
        <v>2026</v>
      </c>
      <c r="C359" s="1">
        <v>5</v>
      </c>
      <c r="D359" s="1">
        <v>58</v>
      </c>
      <c r="E359" s="1">
        <v>3</v>
      </c>
    </row>
    <row r="360" spans="1:5" x14ac:dyDescent="0.3">
      <c r="A360" s="1" t="s">
        <v>1100</v>
      </c>
      <c r="B360" s="1">
        <v>2026</v>
      </c>
      <c r="C360" s="1">
        <v>3</v>
      </c>
      <c r="D360" s="1">
        <v>40</v>
      </c>
      <c r="E360" s="1">
        <v>5</v>
      </c>
    </row>
    <row r="361" spans="1:5" x14ac:dyDescent="0.3">
      <c r="A361" s="1" t="s">
        <v>1103</v>
      </c>
      <c r="B361" s="1">
        <v>2026</v>
      </c>
      <c r="C361" s="1">
        <v>3</v>
      </c>
      <c r="D361" s="1">
        <v>40</v>
      </c>
      <c r="E361" s="1">
        <v>5</v>
      </c>
    </row>
    <row r="362" spans="1:5" x14ac:dyDescent="0.3">
      <c r="A362" s="1" t="s">
        <v>1106</v>
      </c>
      <c r="B362" s="1">
        <v>2026</v>
      </c>
      <c r="C362" s="1">
        <v>4</v>
      </c>
      <c r="D362" s="1">
        <v>32</v>
      </c>
      <c r="E362" s="1">
        <v>4</v>
      </c>
    </row>
    <row r="363" spans="1:5" x14ac:dyDescent="0.3">
      <c r="A363" s="1" t="s">
        <v>1109</v>
      </c>
      <c r="B363" s="1">
        <v>2026</v>
      </c>
      <c r="C363" s="1">
        <v>5</v>
      </c>
      <c r="D363" s="1">
        <v>7</v>
      </c>
      <c r="E363" s="1">
        <v>4</v>
      </c>
    </row>
    <row r="364" spans="1:5" x14ac:dyDescent="0.3">
      <c r="A364" s="1" t="s">
        <v>1112</v>
      </c>
      <c r="B364" s="1">
        <v>2026</v>
      </c>
      <c r="C364" s="1">
        <v>5</v>
      </c>
      <c r="D364" s="1">
        <v>1</v>
      </c>
      <c r="E364" s="1">
        <v>4</v>
      </c>
    </row>
    <row r="365" spans="1:5" x14ac:dyDescent="0.3">
      <c r="A365" s="1" t="s">
        <v>1115</v>
      </c>
      <c r="B365" s="1">
        <v>2026</v>
      </c>
      <c r="C365" s="1">
        <v>3</v>
      </c>
      <c r="D365" s="1">
        <v>37</v>
      </c>
      <c r="E365" s="1">
        <v>10</v>
      </c>
    </row>
    <row r="366" spans="1:5" x14ac:dyDescent="0.3">
      <c r="A366" s="1" t="s">
        <v>1118</v>
      </c>
      <c r="B366" s="1">
        <v>2026</v>
      </c>
      <c r="C366" s="1">
        <v>3</v>
      </c>
      <c r="D366" s="1">
        <v>26</v>
      </c>
      <c r="E366" s="1">
        <v>3</v>
      </c>
    </row>
    <row r="367" spans="1:5" x14ac:dyDescent="0.3">
      <c r="A367" s="1" t="s">
        <v>1121</v>
      </c>
      <c r="B367" s="1">
        <v>2026</v>
      </c>
      <c r="C367" s="1">
        <v>3</v>
      </c>
      <c r="D367" s="1">
        <v>39</v>
      </c>
      <c r="E367" s="1">
        <v>7</v>
      </c>
    </row>
    <row r="368" spans="1:5" x14ac:dyDescent="0.3">
      <c r="A368" s="1" t="s">
        <v>1124</v>
      </c>
      <c r="B368" s="1">
        <v>2026</v>
      </c>
      <c r="C368" s="1">
        <v>5</v>
      </c>
      <c r="D368" s="1">
        <v>37</v>
      </c>
      <c r="E368" s="1">
        <v>3</v>
      </c>
    </row>
    <row r="369" spans="1:5" x14ac:dyDescent="0.3">
      <c r="A369" s="1" t="s">
        <v>1127</v>
      </c>
      <c r="B369" s="1">
        <v>2026</v>
      </c>
      <c r="C369" s="1">
        <v>2</v>
      </c>
      <c r="D369" s="1">
        <v>60</v>
      </c>
      <c r="E369" s="1">
        <v>10</v>
      </c>
    </row>
    <row r="370" spans="1:5" x14ac:dyDescent="0.3">
      <c r="A370" s="1" t="s">
        <v>1130</v>
      </c>
      <c r="B370" s="1">
        <v>2026</v>
      </c>
      <c r="C370" s="1">
        <v>5</v>
      </c>
      <c r="D370" s="1">
        <v>21</v>
      </c>
      <c r="E370" s="1">
        <v>9</v>
      </c>
    </row>
    <row r="371" spans="1:5" x14ac:dyDescent="0.3">
      <c r="A371" s="1" t="s">
        <v>1133</v>
      </c>
      <c r="B371" s="1">
        <v>2026</v>
      </c>
      <c r="C371" s="1">
        <v>2</v>
      </c>
      <c r="D371" s="1">
        <v>11</v>
      </c>
      <c r="E371" s="1">
        <v>8</v>
      </c>
    </row>
    <row r="372" spans="1:5" x14ac:dyDescent="0.3">
      <c r="A372" s="1" t="s">
        <v>1136</v>
      </c>
      <c r="B372" s="1">
        <v>2026</v>
      </c>
      <c r="C372" s="1">
        <v>4</v>
      </c>
      <c r="D372" s="1">
        <v>28</v>
      </c>
      <c r="E372" s="1">
        <v>2</v>
      </c>
    </row>
    <row r="373" spans="1:5" x14ac:dyDescent="0.3">
      <c r="A373" s="1" t="s">
        <v>1139</v>
      </c>
      <c r="B373" s="1">
        <v>2026</v>
      </c>
      <c r="C373" s="1">
        <v>1</v>
      </c>
      <c r="D373" s="1">
        <v>55</v>
      </c>
      <c r="E373" s="1">
        <v>7</v>
      </c>
    </row>
    <row r="374" spans="1:5" x14ac:dyDescent="0.3">
      <c r="A374" s="1" t="s">
        <v>1141</v>
      </c>
      <c r="B374" s="1">
        <v>2026</v>
      </c>
      <c r="C374" s="1">
        <v>5</v>
      </c>
      <c r="D374" s="1">
        <v>31</v>
      </c>
      <c r="E374" s="1">
        <v>12</v>
      </c>
    </row>
    <row r="375" spans="1:5" x14ac:dyDescent="0.3">
      <c r="A375" s="1" t="s">
        <v>1143</v>
      </c>
      <c r="B375" s="1">
        <v>2026</v>
      </c>
      <c r="C375" s="1">
        <v>5</v>
      </c>
      <c r="D375" s="1">
        <v>53</v>
      </c>
      <c r="E375" s="1">
        <v>11</v>
      </c>
    </row>
    <row r="376" spans="1:5" x14ac:dyDescent="0.3">
      <c r="A376" s="1" t="s">
        <v>1146</v>
      </c>
      <c r="B376" s="1">
        <v>2026</v>
      </c>
      <c r="C376" s="1">
        <v>3</v>
      </c>
      <c r="D376" s="1">
        <v>29</v>
      </c>
      <c r="E376" s="1">
        <v>3</v>
      </c>
    </row>
    <row r="377" spans="1:5" x14ac:dyDescent="0.3">
      <c r="A377" s="1" t="s">
        <v>1149</v>
      </c>
      <c r="B377" s="1">
        <v>2026</v>
      </c>
      <c r="C377" s="1">
        <v>3</v>
      </c>
      <c r="D377" s="1">
        <v>36</v>
      </c>
      <c r="E377" s="1">
        <v>4</v>
      </c>
    </row>
    <row r="378" spans="1:5" x14ac:dyDescent="0.3">
      <c r="A378" s="1" t="s">
        <v>1152</v>
      </c>
      <c r="B378" s="1">
        <v>2026</v>
      </c>
      <c r="C378" s="1">
        <v>1</v>
      </c>
      <c r="D378" s="1">
        <v>40</v>
      </c>
      <c r="E378" s="1">
        <v>8</v>
      </c>
    </row>
    <row r="379" spans="1:5" x14ac:dyDescent="0.3">
      <c r="A379" s="1" t="s">
        <v>1155</v>
      </c>
      <c r="B379" s="1">
        <v>2026</v>
      </c>
      <c r="C379" s="1">
        <v>3</v>
      </c>
      <c r="D379" s="1">
        <v>53</v>
      </c>
      <c r="E379" s="1">
        <v>2</v>
      </c>
    </row>
    <row r="380" spans="1:5" x14ac:dyDescent="0.3">
      <c r="A380" s="1" t="s">
        <v>1158</v>
      </c>
      <c r="B380" s="1">
        <v>2026</v>
      </c>
      <c r="C380" s="1">
        <v>3</v>
      </c>
      <c r="D380" s="1">
        <v>53</v>
      </c>
      <c r="E380" s="1">
        <v>4</v>
      </c>
    </row>
    <row r="381" spans="1:5" x14ac:dyDescent="0.3">
      <c r="A381" s="1" t="s">
        <v>1161</v>
      </c>
      <c r="B381" s="1">
        <v>2026</v>
      </c>
      <c r="C381" s="1">
        <v>2</v>
      </c>
      <c r="D381" s="1">
        <v>52</v>
      </c>
      <c r="E381" s="1">
        <v>9</v>
      </c>
    </row>
    <row r="382" spans="1:5" x14ac:dyDescent="0.3">
      <c r="A382" s="1" t="s">
        <v>1164</v>
      </c>
      <c r="B382" s="1">
        <v>2026</v>
      </c>
      <c r="C382" s="1">
        <v>4</v>
      </c>
      <c r="D382" s="1">
        <v>3</v>
      </c>
      <c r="E382" s="1">
        <v>4</v>
      </c>
    </row>
    <row r="383" spans="1:5" x14ac:dyDescent="0.3">
      <c r="A383" s="1" t="s">
        <v>1166</v>
      </c>
      <c r="B383" s="1">
        <v>2026</v>
      </c>
      <c r="C383" s="1">
        <v>3</v>
      </c>
      <c r="D383" s="1">
        <v>11</v>
      </c>
      <c r="E383" s="1">
        <v>11</v>
      </c>
    </row>
    <row r="384" spans="1:5" x14ac:dyDescent="0.3">
      <c r="A384" s="1" t="s">
        <v>1169</v>
      </c>
      <c r="B384" s="1">
        <v>2026</v>
      </c>
      <c r="C384" s="1">
        <v>4</v>
      </c>
      <c r="D384" s="1">
        <v>18</v>
      </c>
      <c r="E384" s="1">
        <v>10</v>
      </c>
    </row>
    <row r="385" spans="1:5" x14ac:dyDescent="0.3">
      <c r="A385" s="1" t="s">
        <v>1172</v>
      </c>
      <c r="B385" s="1">
        <v>2026</v>
      </c>
      <c r="C385" s="1">
        <v>2</v>
      </c>
      <c r="D385" s="1">
        <v>36</v>
      </c>
      <c r="E385" s="1">
        <v>5</v>
      </c>
    </row>
    <row r="386" spans="1:5" x14ac:dyDescent="0.3">
      <c r="A386" s="1" t="s">
        <v>1175</v>
      </c>
      <c r="B386" s="1">
        <v>2026</v>
      </c>
      <c r="C386" s="1">
        <v>4</v>
      </c>
      <c r="D386" s="1">
        <v>41</v>
      </c>
      <c r="E386" s="1">
        <v>5</v>
      </c>
    </row>
    <row r="387" spans="1:5" x14ac:dyDescent="0.3">
      <c r="A387" s="1" t="s">
        <v>1177</v>
      </c>
      <c r="B387" s="1">
        <v>2026</v>
      </c>
      <c r="C387" s="1">
        <v>4</v>
      </c>
      <c r="D387" s="1">
        <v>12</v>
      </c>
      <c r="E387" s="1">
        <v>2</v>
      </c>
    </row>
    <row r="388" spans="1:5" x14ac:dyDescent="0.3">
      <c r="A388" s="1" t="s">
        <v>1180</v>
      </c>
      <c r="B388" s="1">
        <v>2026</v>
      </c>
      <c r="C388" s="1">
        <v>1</v>
      </c>
      <c r="D388" s="1">
        <v>50</v>
      </c>
      <c r="E388" s="1">
        <v>5</v>
      </c>
    </row>
    <row r="389" spans="1:5" x14ac:dyDescent="0.3">
      <c r="A389" s="1" t="s">
        <v>1183</v>
      </c>
      <c r="B389" s="1">
        <v>2026</v>
      </c>
      <c r="C389" s="1">
        <v>1</v>
      </c>
      <c r="D389" s="1">
        <v>1</v>
      </c>
      <c r="E389" s="1">
        <v>8</v>
      </c>
    </row>
    <row r="390" spans="1:5" x14ac:dyDescent="0.3">
      <c r="A390" s="1" t="s">
        <v>1186</v>
      </c>
      <c r="B390" s="1">
        <v>2026</v>
      </c>
      <c r="C390" s="1">
        <v>3</v>
      </c>
      <c r="D390" s="1">
        <v>3</v>
      </c>
      <c r="E390" s="1">
        <v>4</v>
      </c>
    </row>
    <row r="391" spans="1:5" x14ac:dyDescent="0.3">
      <c r="A391" s="1" t="s">
        <v>1189</v>
      </c>
      <c r="B391" s="1">
        <v>2026</v>
      </c>
      <c r="C391" s="1">
        <v>5</v>
      </c>
      <c r="D391" s="1">
        <v>14</v>
      </c>
      <c r="E391" s="1">
        <v>10</v>
      </c>
    </row>
    <row r="392" spans="1:5" x14ac:dyDescent="0.3">
      <c r="A392" s="1" t="s">
        <v>1192</v>
      </c>
      <c r="B392" s="1">
        <v>2026</v>
      </c>
      <c r="C392" s="1">
        <v>5</v>
      </c>
      <c r="D392" s="1">
        <v>26</v>
      </c>
      <c r="E392" s="1">
        <v>2</v>
      </c>
    </row>
    <row r="393" spans="1:5" x14ac:dyDescent="0.3">
      <c r="A393" s="1" t="s">
        <v>1195</v>
      </c>
      <c r="B393" s="1">
        <v>2026</v>
      </c>
      <c r="C393" s="1">
        <v>4</v>
      </c>
      <c r="D393" s="1">
        <v>11</v>
      </c>
      <c r="E393" s="1">
        <v>0</v>
      </c>
    </row>
    <row r="394" spans="1:5" x14ac:dyDescent="0.3">
      <c r="A394" s="1" t="s">
        <v>1198</v>
      </c>
      <c r="B394" s="1">
        <v>2026</v>
      </c>
      <c r="C394" s="1">
        <v>4</v>
      </c>
      <c r="D394" s="1">
        <v>49</v>
      </c>
      <c r="E394" s="1">
        <v>12</v>
      </c>
    </row>
    <row r="395" spans="1:5" x14ac:dyDescent="0.3">
      <c r="A395" s="1" t="s">
        <v>1201</v>
      </c>
      <c r="B395" s="1">
        <v>2026</v>
      </c>
      <c r="C395" s="1">
        <v>4</v>
      </c>
      <c r="D395" s="1">
        <v>46</v>
      </c>
      <c r="E395" s="1">
        <v>9</v>
      </c>
    </row>
    <row r="396" spans="1:5" x14ac:dyDescent="0.3">
      <c r="A396" s="1" t="s">
        <v>1204</v>
      </c>
      <c r="B396" s="1">
        <v>2026</v>
      </c>
      <c r="C396" s="1">
        <v>2</v>
      </c>
      <c r="D396" s="1">
        <v>27</v>
      </c>
      <c r="E396" s="1">
        <v>12</v>
      </c>
    </row>
    <row r="397" spans="1:5" x14ac:dyDescent="0.3">
      <c r="A397" s="1" t="s">
        <v>1207</v>
      </c>
      <c r="B397" s="1">
        <v>2026</v>
      </c>
      <c r="C397" s="1">
        <v>5</v>
      </c>
      <c r="D397" s="1">
        <v>26</v>
      </c>
      <c r="E397" s="1">
        <v>5</v>
      </c>
    </row>
    <row r="398" spans="1:5" x14ac:dyDescent="0.3">
      <c r="A398" s="1" t="s">
        <v>1210</v>
      </c>
      <c r="B398" s="1">
        <v>2026</v>
      </c>
      <c r="C398" s="1">
        <v>4</v>
      </c>
      <c r="D398" s="1">
        <v>39</v>
      </c>
      <c r="E398" s="1">
        <v>4</v>
      </c>
    </row>
    <row r="399" spans="1:5" x14ac:dyDescent="0.3">
      <c r="A399" s="1" t="s">
        <v>1213</v>
      </c>
      <c r="B399" s="1">
        <v>2026</v>
      </c>
      <c r="C399" s="1">
        <v>3</v>
      </c>
      <c r="D399" s="1">
        <v>6</v>
      </c>
      <c r="E399" s="1">
        <v>0</v>
      </c>
    </row>
    <row r="400" spans="1:5" x14ac:dyDescent="0.3">
      <c r="A400" s="1" t="s">
        <v>1216</v>
      </c>
      <c r="B400" s="1">
        <v>2026</v>
      </c>
      <c r="C400" s="1">
        <v>1</v>
      </c>
      <c r="D400" s="1">
        <v>47</v>
      </c>
      <c r="E400" s="1">
        <v>5</v>
      </c>
    </row>
    <row r="401" spans="1:5" x14ac:dyDescent="0.3">
      <c r="A401" s="1" t="s">
        <v>1218</v>
      </c>
      <c r="B401" s="1">
        <v>2026</v>
      </c>
      <c r="C401" s="1">
        <v>5</v>
      </c>
      <c r="D401" s="1">
        <v>47</v>
      </c>
      <c r="E401" s="1">
        <v>6</v>
      </c>
    </row>
    <row r="402" spans="1:5" x14ac:dyDescent="0.3">
      <c r="A402" s="1" t="s">
        <v>1221</v>
      </c>
      <c r="B402" s="1">
        <v>2026</v>
      </c>
      <c r="C402" s="1">
        <v>5</v>
      </c>
      <c r="D402" s="1">
        <v>23</v>
      </c>
      <c r="E402" s="1">
        <v>4</v>
      </c>
    </row>
    <row r="403" spans="1:5" x14ac:dyDescent="0.3">
      <c r="A403" s="1" t="s">
        <v>1224</v>
      </c>
      <c r="B403" s="1">
        <v>2026</v>
      </c>
      <c r="C403" s="1">
        <v>2</v>
      </c>
      <c r="D403" s="1">
        <v>9</v>
      </c>
      <c r="E403" s="1">
        <v>11</v>
      </c>
    </row>
    <row r="404" spans="1:5" x14ac:dyDescent="0.3">
      <c r="A404" s="1" t="s">
        <v>1227</v>
      </c>
      <c r="B404" s="1">
        <v>2026</v>
      </c>
      <c r="C404" s="1">
        <v>1</v>
      </c>
      <c r="D404" s="1">
        <v>34</v>
      </c>
      <c r="E404" s="1">
        <v>6</v>
      </c>
    </row>
    <row r="405" spans="1:5" x14ac:dyDescent="0.3">
      <c r="A405" s="1" t="s">
        <v>1230</v>
      </c>
      <c r="B405" s="1">
        <v>2026</v>
      </c>
      <c r="C405" s="1">
        <v>2</v>
      </c>
      <c r="D405" s="1">
        <v>33</v>
      </c>
      <c r="E405" s="1">
        <v>7</v>
      </c>
    </row>
    <row r="406" spans="1:5" x14ac:dyDescent="0.3">
      <c r="A406" s="1" t="s">
        <v>1233</v>
      </c>
      <c r="B406" s="1">
        <v>2026</v>
      </c>
      <c r="C406" s="1">
        <v>4</v>
      </c>
      <c r="D406" s="1">
        <v>44</v>
      </c>
      <c r="E406" s="1">
        <v>9</v>
      </c>
    </row>
    <row r="407" spans="1:5" x14ac:dyDescent="0.3">
      <c r="A407" s="1" t="s">
        <v>1236</v>
      </c>
      <c r="B407" s="1">
        <v>2026</v>
      </c>
      <c r="C407" s="1">
        <v>3</v>
      </c>
      <c r="D407" s="1">
        <v>13</v>
      </c>
      <c r="E407" s="1">
        <v>1</v>
      </c>
    </row>
    <row r="408" spans="1:5" x14ac:dyDescent="0.3">
      <c r="A408" s="1" t="s">
        <v>1239</v>
      </c>
      <c r="B408" s="1">
        <v>2026</v>
      </c>
      <c r="C408" s="1">
        <v>3</v>
      </c>
      <c r="D408" s="1">
        <v>33</v>
      </c>
      <c r="E408" s="1">
        <v>4</v>
      </c>
    </row>
    <row r="409" spans="1:5" x14ac:dyDescent="0.3">
      <c r="A409" s="1" t="s">
        <v>1242</v>
      </c>
      <c r="B409" s="1">
        <v>2026</v>
      </c>
      <c r="C409" s="1">
        <v>5</v>
      </c>
      <c r="D409" s="1">
        <v>36</v>
      </c>
      <c r="E409" s="1">
        <v>0</v>
      </c>
    </row>
    <row r="410" spans="1:5" x14ac:dyDescent="0.3">
      <c r="A410" s="1" t="s">
        <v>1245</v>
      </c>
      <c r="B410" s="1">
        <v>2026</v>
      </c>
      <c r="C410" s="1">
        <v>1</v>
      </c>
      <c r="D410" s="1">
        <v>39</v>
      </c>
      <c r="E410" s="1">
        <v>7</v>
      </c>
    </row>
    <row r="411" spans="1:5" x14ac:dyDescent="0.3">
      <c r="A411" s="1" t="s">
        <v>1248</v>
      </c>
      <c r="B411" s="1">
        <v>2026</v>
      </c>
      <c r="C411" s="1">
        <v>5</v>
      </c>
      <c r="D411" s="1">
        <v>22</v>
      </c>
      <c r="E411" s="1">
        <v>8</v>
      </c>
    </row>
    <row r="412" spans="1:5" x14ac:dyDescent="0.3">
      <c r="A412" s="1" t="s">
        <v>1251</v>
      </c>
      <c r="B412" s="1">
        <v>2026</v>
      </c>
      <c r="C412" s="1">
        <v>1</v>
      </c>
      <c r="D412" s="1">
        <v>57</v>
      </c>
      <c r="E412" s="1">
        <v>0</v>
      </c>
    </row>
    <row r="413" spans="1:5" x14ac:dyDescent="0.3">
      <c r="A413" s="1" t="s">
        <v>1254</v>
      </c>
      <c r="B413" s="1">
        <v>2026</v>
      </c>
      <c r="C413" s="1">
        <v>3</v>
      </c>
      <c r="D413" s="1">
        <v>30</v>
      </c>
      <c r="E413" s="1">
        <v>6</v>
      </c>
    </row>
    <row r="414" spans="1:5" x14ac:dyDescent="0.3">
      <c r="A414" s="1" t="s">
        <v>1257</v>
      </c>
      <c r="B414" s="1">
        <v>2026</v>
      </c>
      <c r="C414" s="1">
        <v>4</v>
      </c>
      <c r="D414" s="1">
        <v>24</v>
      </c>
      <c r="E414" s="1">
        <v>4</v>
      </c>
    </row>
    <row r="415" spans="1:5" x14ac:dyDescent="0.3">
      <c r="A415" s="1" t="s">
        <v>1260</v>
      </c>
      <c r="B415" s="1">
        <v>2026</v>
      </c>
      <c r="C415" s="1">
        <v>3</v>
      </c>
      <c r="D415" s="1">
        <v>10</v>
      </c>
      <c r="E415" s="1">
        <v>3</v>
      </c>
    </row>
    <row r="416" spans="1:5" x14ac:dyDescent="0.3">
      <c r="A416" s="1" t="s">
        <v>1263</v>
      </c>
      <c r="B416" s="1">
        <v>2026</v>
      </c>
      <c r="C416" s="1">
        <v>1</v>
      </c>
      <c r="D416" s="1">
        <v>22</v>
      </c>
      <c r="E416" s="1">
        <v>7</v>
      </c>
    </row>
    <row r="417" spans="1:5" x14ac:dyDescent="0.3">
      <c r="A417" s="1" t="s">
        <v>1266</v>
      </c>
      <c r="B417" s="1">
        <v>2026</v>
      </c>
      <c r="C417" s="1">
        <v>2</v>
      </c>
      <c r="D417" s="1">
        <v>3</v>
      </c>
      <c r="E417" s="1">
        <v>0</v>
      </c>
    </row>
    <row r="418" spans="1:5" x14ac:dyDescent="0.3">
      <c r="A418" s="1" t="s">
        <v>1269</v>
      </c>
      <c r="B418" s="1">
        <v>2026</v>
      </c>
      <c r="C418" s="1">
        <v>1</v>
      </c>
      <c r="D418" s="1">
        <v>45</v>
      </c>
      <c r="E418" s="1">
        <v>8</v>
      </c>
    </row>
    <row r="419" spans="1:5" x14ac:dyDescent="0.3">
      <c r="A419" s="1" t="s">
        <v>1272</v>
      </c>
      <c r="B419" s="1">
        <v>2026</v>
      </c>
      <c r="C419" s="1">
        <v>3</v>
      </c>
      <c r="D419" s="1">
        <v>31</v>
      </c>
      <c r="E419" s="1">
        <v>9</v>
      </c>
    </row>
    <row r="420" spans="1:5" x14ac:dyDescent="0.3">
      <c r="A420" s="1" t="s">
        <v>1275</v>
      </c>
      <c r="B420" s="1">
        <v>2026</v>
      </c>
      <c r="C420" s="1">
        <v>3</v>
      </c>
      <c r="D420" s="1">
        <v>47</v>
      </c>
      <c r="E420" s="1">
        <v>0</v>
      </c>
    </row>
    <row r="421" spans="1:5" x14ac:dyDescent="0.3">
      <c r="A421" s="1" t="s">
        <v>1278</v>
      </c>
      <c r="B421" s="1">
        <v>2026</v>
      </c>
      <c r="C421" s="1">
        <v>1</v>
      </c>
      <c r="D421" s="1">
        <v>18</v>
      </c>
      <c r="E421" s="1">
        <v>2</v>
      </c>
    </row>
    <row r="422" spans="1:5" x14ac:dyDescent="0.3">
      <c r="A422" s="1" t="s">
        <v>1281</v>
      </c>
      <c r="B422" s="1">
        <v>2026</v>
      </c>
      <c r="C422" s="1">
        <v>1</v>
      </c>
      <c r="D422" s="1">
        <v>25</v>
      </c>
      <c r="E422" s="1">
        <v>6</v>
      </c>
    </row>
    <row r="423" spans="1:5" x14ac:dyDescent="0.3">
      <c r="A423" s="1" t="s">
        <v>1284</v>
      </c>
      <c r="B423" s="1">
        <v>2026</v>
      </c>
      <c r="C423" s="1">
        <v>4</v>
      </c>
      <c r="D423" s="1">
        <v>60</v>
      </c>
      <c r="E423" s="1">
        <v>6</v>
      </c>
    </row>
    <row r="424" spans="1:5" x14ac:dyDescent="0.3">
      <c r="A424" s="1" t="s">
        <v>1287</v>
      </c>
      <c r="B424" s="1">
        <v>2026</v>
      </c>
      <c r="C424" s="1">
        <v>4</v>
      </c>
      <c r="D424" s="1">
        <v>53</v>
      </c>
      <c r="E424" s="1">
        <v>8</v>
      </c>
    </row>
    <row r="425" spans="1:5" x14ac:dyDescent="0.3">
      <c r="A425" s="1" t="s">
        <v>1290</v>
      </c>
      <c r="B425" s="1">
        <v>2026</v>
      </c>
      <c r="C425" s="1">
        <v>3</v>
      </c>
      <c r="D425" s="1">
        <v>17</v>
      </c>
      <c r="E425" s="1">
        <v>9</v>
      </c>
    </row>
    <row r="426" spans="1:5" x14ac:dyDescent="0.3">
      <c r="A426" s="1" t="s">
        <v>1293</v>
      </c>
      <c r="B426" s="1">
        <v>2026</v>
      </c>
      <c r="C426" s="1">
        <v>2</v>
      </c>
      <c r="D426" s="1">
        <v>25</v>
      </c>
      <c r="E426" s="1">
        <v>7</v>
      </c>
    </row>
    <row r="427" spans="1:5" x14ac:dyDescent="0.3">
      <c r="A427" s="1" t="s">
        <v>1296</v>
      </c>
      <c r="B427" s="1">
        <v>2026</v>
      </c>
      <c r="C427" s="1">
        <v>5</v>
      </c>
      <c r="D427" s="1">
        <v>42</v>
      </c>
      <c r="E427" s="1">
        <v>2</v>
      </c>
    </row>
    <row r="428" spans="1:5" x14ac:dyDescent="0.3">
      <c r="A428" s="1" t="s">
        <v>1299</v>
      </c>
      <c r="B428" s="1">
        <v>2026</v>
      </c>
      <c r="C428" s="1">
        <v>3</v>
      </c>
      <c r="D428" s="1">
        <v>2</v>
      </c>
      <c r="E428" s="1">
        <v>2</v>
      </c>
    </row>
    <row r="429" spans="1:5" x14ac:dyDescent="0.3">
      <c r="A429" s="1" t="s">
        <v>1302</v>
      </c>
      <c r="B429" s="1">
        <v>2026</v>
      </c>
      <c r="C429" s="1">
        <v>2</v>
      </c>
      <c r="D429" s="1">
        <v>19</v>
      </c>
      <c r="E429" s="1">
        <v>3</v>
      </c>
    </row>
    <row r="430" spans="1:5" x14ac:dyDescent="0.3">
      <c r="A430" s="1" t="s">
        <v>1304</v>
      </c>
      <c r="B430" s="1">
        <v>2026</v>
      </c>
      <c r="C430" s="1">
        <v>1</v>
      </c>
      <c r="D430" s="1">
        <v>35</v>
      </c>
      <c r="E430" s="1">
        <v>5</v>
      </c>
    </row>
    <row r="431" spans="1:5" x14ac:dyDescent="0.3">
      <c r="A431" s="1" t="s">
        <v>1306</v>
      </c>
      <c r="B431" s="1">
        <v>2026</v>
      </c>
      <c r="C431" s="1">
        <v>5</v>
      </c>
      <c r="D431" s="1">
        <v>12</v>
      </c>
      <c r="E431" s="1">
        <v>7</v>
      </c>
    </row>
    <row r="432" spans="1:5" x14ac:dyDescent="0.3">
      <c r="A432" s="1" t="s">
        <v>1309</v>
      </c>
      <c r="B432" s="1">
        <v>2026</v>
      </c>
      <c r="C432" s="1">
        <v>2</v>
      </c>
      <c r="D432" s="1">
        <v>55</v>
      </c>
      <c r="E432" s="1">
        <v>3</v>
      </c>
    </row>
    <row r="433" spans="1:5" x14ac:dyDescent="0.3">
      <c r="A433" s="1" t="s">
        <v>1312</v>
      </c>
      <c r="B433" s="1">
        <v>2026</v>
      </c>
      <c r="C433" s="1">
        <v>4</v>
      </c>
      <c r="D433" s="1">
        <v>41</v>
      </c>
      <c r="E433" s="1">
        <v>7</v>
      </c>
    </row>
    <row r="434" spans="1:5" x14ac:dyDescent="0.3">
      <c r="A434" s="1" t="s">
        <v>1315</v>
      </c>
      <c r="B434" s="1">
        <v>2026</v>
      </c>
      <c r="C434" s="1">
        <v>1</v>
      </c>
      <c r="D434" s="1">
        <v>45</v>
      </c>
      <c r="E434" s="1">
        <v>7</v>
      </c>
    </row>
    <row r="435" spans="1:5" x14ac:dyDescent="0.3">
      <c r="A435" s="1" t="s">
        <v>1318</v>
      </c>
      <c r="B435" s="1">
        <v>2026</v>
      </c>
      <c r="C435" s="1">
        <v>4</v>
      </c>
      <c r="D435" s="1">
        <v>51</v>
      </c>
      <c r="E435" s="1">
        <v>9</v>
      </c>
    </row>
    <row r="436" spans="1:5" x14ac:dyDescent="0.3">
      <c r="A436" s="1" t="s">
        <v>1321</v>
      </c>
      <c r="B436" s="1">
        <v>2026</v>
      </c>
      <c r="C436" s="1">
        <v>1</v>
      </c>
      <c r="D436" s="1">
        <v>5</v>
      </c>
      <c r="E436" s="1">
        <v>10</v>
      </c>
    </row>
    <row r="437" spans="1:5" x14ac:dyDescent="0.3">
      <c r="A437" s="1" t="s">
        <v>1323</v>
      </c>
      <c r="B437" s="1">
        <v>2026</v>
      </c>
      <c r="C437" s="1">
        <v>1</v>
      </c>
      <c r="D437" s="1">
        <v>27</v>
      </c>
      <c r="E437" s="1">
        <v>9</v>
      </c>
    </row>
    <row r="438" spans="1:5" x14ac:dyDescent="0.3">
      <c r="A438" s="1" t="s">
        <v>1325</v>
      </c>
      <c r="B438" s="1">
        <v>2026</v>
      </c>
      <c r="C438" s="1">
        <v>2</v>
      </c>
      <c r="D438" s="1">
        <v>41</v>
      </c>
      <c r="E438" s="1">
        <v>5</v>
      </c>
    </row>
    <row r="439" spans="1:5" x14ac:dyDescent="0.3">
      <c r="A439" s="1" t="s">
        <v>1328</v>
      </c>
      <c r="B439" s="1">
        <v>2026</v>
      </c>
      <c r="C439" s="1">
        <v>2</v>
      </c>
      <c r="D439" s="1">
        <v>58</v>
      </c>
      <c r="E439" s="1">
        <v>11</v>
      </c>
    </row>
    <row r="440" spans="1:5" x14ac:dyDescent="0.3">
      <c r="A440" s="1" t="s">
        <v>1331</v>
      </c>
      <c r="B440" s="1">
        <v>2026</v>
      </c>
      <c r="C440" s="1">
        <v>2</v>
      </c>
      <c r="D440" s="1">
        <v>58</v>
      </c>
      <c r="E440" s="1">
        <v>9</v>
      </c>
    </row>
    <row r="441" spans="1:5" x14ac:dyDescent="0.3">
      <c r="A441" s="1" t="s">
        <v>1334</v>
      </c>
      <c r="B441" s="1">
        <v>2026</v>
      </c>
      <c r="C441" s="1">
        <v>4</v>
      </c>
      <c r="D441" s="1">
        <v>28</v>
      </c>
      <c r="E441" s="1">
        <v>1</v>
      </c>
    </row>
    <row r="442" spans="1:5" x14ac:dyDescent="0.3">
      <c r="A442" s="1" t="s">
        <v>1336</v>
      </c>
      <c r="B442" s="1">
        <v>2026</v>
      </c>
      <c r="C442" s="1">
        <v>2</v>
      </c>
      <c r="D442" s="1">
        <v>35</v>
      </c>
      <c r="E442" s="1">
        <v>12</v>
      </c>
    </row>
    <row r="443" spans="1:5" x14ac:dyDescent="0.3">
      <c r="A443" s="1" t="s">
        <v>1339</v>
      </c>
      <c r="B443" s="1">
        <v>2026</v>
      </c>
      <c r="C443" s="1">
        <v>2</v>
      </c>
      <c r="D443" s="1">
        <v>37</v>
      </c>
      <c r="E443" s="1">
        <v>6</v>
      </c>
    </row>
    <row r="444" spans="1:5" x14ac:dyDescent="0.3">
      <c r="A444" s="1" t="s">
        <v>1342</v>
      </c>
      <c r="B444" s="1">
        <v>2026</v>
      </c>
      <c r="C444" s="1">
        <v>2</v>
      </c>
      <c r="D444" s="1">
        <v>51</v>
      </c>
      <c r="E444" s="1">
        <v>2</v>
      </c>
    </row>
    <row r="445" spans="1:5" x14ac:dyDescent="0.3">
      <c r="A445" s="1" t="s">
        <v>1345</v>
      </c>
      <c r="B445" s="1">
        <v>2026</v>
      </c>
      <c r="C445" s="1">
        <v>2</v>
      </c>
      <c r="D445" s="1">
        <v>13</v>
      </c>
      <c r="E445" s="1">
        <v>5</v>
      </c>
    </row>
    <row r="446" spans="1:5" x14ac:dyDescent="0.3">
      <c r="A446" s="1" t="s">
        <v>1348</v>
      </c>
      <c r="B446" s="1">
        <v>2026</v>
      </c>
      <c r="C446" s="1">
        <v>2</v>
      </c>
      <c r="D446" s="1">
        <v>27</v>
      </c>
      <c r="E446" s="1">
        <v>10</v>
      </c>
    </row>
    <row r="447" spans="1:5" x14ac:dyDescent="0.3">
      <c r="A447" s="1" t="s">
        <v>1351</v>
      </c>
      <c r="B447" s="1">
        <v>2026</v>
      </c>
      <c r="C447" s="1">
        <v>1</v>
      </c>
      <c r="D447" s="1">
        <v>58</v>
      </c>
      <c r="E447" s="1">
        <v>11</v>
      </c>
    </row>
    <row r="448" spans="1:5" x14ac:dyDescent="0.3">
      <c r="A448" s="1" t="s">
        <v>1354</v>
      </c>
      <c r="B448" s="1">
        <v>2026</v>
      </c>
      <c r="C448" s="1">
        <v>1</v>
      </c>
      <c r="D448" s="1">
        <v>32</v>
      </c>
      <c r="E448" s="1">
        <v>10</v>
      </c>
    </row>
    <row r="449" spans="1:5" x14ac:dyDescent="0.3">
      <c r="A449" s="1" t="s">
        <v>1357</v>
      </c>
      <c r="B449" s="1">
        <v>2026</v>
      </c>
      <c r="C449" s="1">
        <v>4</v>
      </c>
      <c r="D449" s="1">
        <v>57</v>
      </c>
      <c r="E449" s="1">
        <v>6</v>
      </c>
    </row>
    <row r="450" spans="1:5" x14ac:dyDescent="0.3">
      <c r="A450" s="1" t="s">
        <v>1360</v>
      </c>
      <c r="B450" s="1">
        <v>2026</v>
      </c>
      <c r="C450" s="1">
        <v>1</v>
      </c>
      <c r="D450" s="1">
        <v>32</v>
      </c>
      <c r="E450" s="1">
        <v>0</v>
      </c>
    </row>
    <row r="451" spans="1:5" x14ac:dyDescent="0.3">
      <c r="A451" s="1" t="s">
        <v>1363</v>
      </c>
      <c r="B451" s="1">
        <v>2026</v>
      </c>
      <c r="C451" s="1">
        <v>2</v>
      </c>
      <c r="D451" s="1">
        <v>59</v>
      </c>
      <c r="E451" s="1">
        <v>9</v>
      </c>
    </row>
    <row r="452" spans="1:5" x14ac:dyDescent="0.3">
      <c r="A452" s="1" t="s">
        <v>1366</v>
      </c>
      <c r="B452" s="1">
        <v>2026</v>
      </c>
      <c r="C452" s="1">
        <v>5</v>
      </c>
      <c r="D452" s="1">
        <v>49</v>
      </c>
      <c r="E452" s="1">
        <v>6</v>
      </c>
    </row>
    <row r="453" spans="1:5" x14ac:dyDescent="0.3">
      <c r="A453" s="1" t="s">
        <v>1369</v>
      </c>
      <c r="B453" s="1">
        <v>2026</v>
      </c>
      <c r="C453" s="1">
        <v>3</v>
      </c>
      <c r="D453" s="1">
        <v>5</v>
      </c>
      <c r="E453" s="1">
        <v>1</v>
      </c>
    </row>
    <row r="454" spans="1:5" x14ac:dyDescent="0.3">
      <c r="A454" s="1" t="s">
        <v>1372</v>
      </c>
      <c r="B454" s="1">
        <v>2026</v>
      </c>
      <c r="C454" s="1">
        <v>4</v>
      </c>
      <c r="D454" s="1">
        <v>58</v>
      </c>
      <c r="E454" s="1">
        <v>10</v>
      </c>
    </row>
    <row r="455" spans="1:5" x14ac:dyDescent="0.3">
      <c r="A455" s="1" t="s">
        <v>1375</v>
      </c>
      <c r="B455" s="1">
        <v>2026</v>
      </c>
      <c r="C455" s="1">
        <v>2</v>
      </c>
      <c r="D455" s="1">
        <v>35</v>
      </c>
      <c r="E455" s="1">
        <v>4</v>
      </c>
    </row>
    <row r="456" spans="1:5" x14ac:dyDescent="0.3">
      <c r="A456" s="1" t="s">
        <v>1378</v>
      </c>
      <c r="B456" s="1">
        <v>2026</v>
      </c>
      <c r="C456" s="1">
        <v>3</v>
      </c>
      <c r="D456" s="1">
        <v>1</v>
      </c>
      <c r="E456" s="1">
        <v>1</v>
      </c>
    </row>
    <row r="457" spans="1:5" x14ac:dyDescent="0.3">
      <c r="A457" s="1" t="s">
        <v>1381</v>
      </c>
      <c r="B457" s="1">
        <v>2026</v>
      </c>
      <c r="C457" s="1">
        <v>4</v>
      </c>
      <c r="D457" s="1">
        <v>17</v>
      </c>
      <c r="E457" s="1">
        <v>5</v>
      </c>
    </row>
    <row r="458" spans="1:5" x14ac:dyDescent="0.3">
      <c r="A458" s="1" t="s">
        <v>1384</v>
      </c>
      <c r="B458" s="1">
        <v>2026</v>
      </c>
      <c r="C458" s="1">
        <v>1</v>
      </c>
      <c r="D458" s="1">
        <v>47</v>
      </c>
      <c r="E458" s="1">
        <v>7</v>
      </c>
    </row>
    <row r="459" spans="1:5" x14ac:dyDescent="0.3">
      <c r="A459" s="1" t="s">
        <v>1387</v>
      </c>
      <c r="B459" s="1">
        <v>2026</v>
      </c>
      <c r="C459" s="1">
        <v>4</v>
      </c>
      <c r="D459" s="1">
        <v>18</v>
      </c>
      <c r="E459" s="1">
        <v>3</v>
      </c>
    </row>
    <row r="460" spans="1:5" x14ac:dyDescent="0.3">
      <c r="A460" s="1" t="s">
        <v>1390</v>
      </c>
      <c r="B460" s="1">
        <v>2026</v>
      </c>
      <c r="C460" s="1">
        <v>3</v>
      </c>
      <c r="D460" s="1">
        <v>21</v>
      </c>
      <c r="E460" s="1">
        <v>12</v>
      </c>
    </row>
    <row r="461" spans="1:5" x14ac:dyDescent="0.3">
      <c r="A461" s="1" t="s">
        <v>1393</v>
      </c>
      <c r="B461" s="1">
        <v>2026</v>
      </c>
      <c r="C461" s="1">
        <v>1</v>
      </c>
      <c r="D461" s="1">
        <v>41</v>
      </c>
      <c r="E461" s="1">
        <v>5</v>
      </c>
    </row>
    <row r="462" spans="1:5" x14ac:dyDescent="0.3">
      <c r="A462" s="1" t="s">
        <v>1395</v>
      </c>
      <c r="B462" s="1">
        <v>2026</v>
      </c>
      <c r="C462" s="1">
        <v>2</v>
      </c>
      <c r="D462" s="1">
        <v>29</v>
      </c>
      <c r="E462" s="1">
        <v>0</v>
      </c>
    </row>
    <row r="463" spans="1:5" x14ac:dyDescent="0.3">
      <c r="A463" s="1" t="s">
        <v>1398</v>
      </c>
      <c r="B463" s="1">
        <v>2026</v>
      </c>
      <c r="C463" s="1">
        <v>2</v>
      </c>
      <c r="D463" s="1">
        <v>21</v>
      </c>
      <c r="E463" s="1">
        <v>0</v>
      </c>
    </row>
    <row r="464" spans="1:5" x14ac:dyDescent="0.3">
      <c r="A464" s="1" t="s">
        <v>1401</v>
      </c>
      <c r="B464" s="1">
        <v>2026</v>
      </c>
      <c r="C464" s="1">
        <v>1</v>
      </c>
      <c r="D464" s="1">
        <v>1</v>
      </c>
      <c r="E464" s="1">
        <v>5</v>
      </c>
    </row>
    <row r="465" spans="1:5" x14ac:dyDescent="0.3">
      <c r="A465" s="1" t="s">
        <v>1404</v>
      </c>
      <c r="B465" s="1">
        <v>2026</v>
      </c>
      <c r="C465" s="1">
        <v>4</v>
      </c>
      <c r="D465" s="1">
        <v>30</v>
      </c>
      <c r="E465" s="1">
        <v>9</v>
      </c>
    </row>
    <row r="466" spans="1:5" x14ac:dyDescent="0.3">
      <c r="A466" s="1" t="s">
        <v>1407</v>
      </c>
      <c r="B466" s="1">
        <v>2026</v>
      </c>
      <c r="C466" s="1">
        <v>3</v>
      </c>
      <c r="D466" s="1">
        <v>35</v>
      </c>
      <c r="E466" s="1">
        <v>9</v>
      </c>
    </row>
    <row r="467" spans="1:5" x14ac:dyDescent="0.3">
      <c r="A467" s="1" t="s">
        <v>1410</v>
      </c>
      <c r="B467" s="1">
        <v>2026</v>
      </c>
      <c r="C467" s="1">
        <v>1</v>
      </c>
      <c r="D467" s="1">
        <v>25</v>
      </c>
      <c r="E467" s="1">
        <v>5</v>
      </c>
    </row>
    <row r="468" spans="1:5" x14ac:dyDescent="0.3">
      <c r="A468" s="1" t="s">
        <v>1413</v>
      </c>
      <c r="B468" s="1">
        <v>2026</v>
      </c>
      <c r="C468" s="1">
        <v>2</v>
      </c>
      <c r="D468" s="1">
        <v>44</v>
      </c>
      <c r="E468" s="1">
        <v>2</v>
      </c>
    </row>
    <row r="469" spans="1:5" x14ac:dyDescent="0.3">
      <c r="A469" s="1" t="s">
        <v>1416</v>
      </c>
      <c r="B469" s="1">
        <v>2026</v>
      </c>
      <c r="C469" s="1">
        <v>2</v>
      </c>
      <c r="D469" s="1">
        <v>38</v>
      </c>
      <c r="E469" s="1">
        <v>11</v>
      </c>
    </row>
    <row r="470" spans="1:5" x14ac:dyDescent="0.3">
      <c r="A470" s="1" t="s">
        <v>1419</v>
      </c>
      <c r="B470" s="1">
        <v>2026</v>
      </c>
      <c r="C470" s="1">
        <v>4</v>
      </c>
      <c r="D470" s="1">
        <v>56</v>
      </c>
      <c r="E470" s="1">
        <v>6</v>
      </c>
    </row>
    <row r="471" spans="1:5" x14ac:dyDescent="0.3">
      <c r="A471" s="1" t="s">
        <v>1422</v>
      </c>
      <c r="B471" s="1">
        <v>2026</v>
      </c>
      <c r="C471" s="1">
        <v>1</v>
      </c>
      <c r="D471" s="1">
        <v>20</v>
      </c>
      <c r="E471" s="1">
        <v>4</v>
      </c>
    </row>
    <row r="472" spans="1:5" x14ac:dyDescent="0.3">
      <c r="A472" s="1" t="s">
        <v>1425</v>
      </c>
      <c r="B472" s="1">
        <v>2026</v>
      </c>
      <c r="C472" s="1">
        <v>4</v>
      </c>
      <c r="D472" s="1">
        <v>28</v>
      </c>
      <c r="E472" s="1">
        <v>4</v>
      </c>
    </row>
    <row r="473" spans="1:5" x14ac:dyDescent="0.3">
      <c r="A473" s="1" t="s">
        <v>1427</v>
      </c>
      <c r="B473" s="1">
        <v>2026</v>
      </c>
      <c r="C473" s="1">
        <v>4</v>
      </c>
      <c r="D473" s="1">
        <v>30</v>
      </c>
      <c r="E473" s="1">
        <v>5</v>
      </c>
    </row>
    <row r="474" spans="1:5" x14ac:dyDescent="0.3">
      <c r="A474" s="1" t="s">
        <v>1430</v>
      </c>
      <c r="B474" s="1">
        <v>2026</v>
      </c>
      <c r="C474" s="1">
        <v>5</v>
      </c>
      <c r="D474" s="1">
        <v>47</v>
      </c>
      <c r="E474" s="1">
        <v>4</v>
      </c>
    </row>
    <row r="475" spans="1:5" x14ac:dyDescent="0.3">
      <c r="A475" s="1" t="s">
        <v>1432</v>
      </c>
      <c r="B475" s="1">
        <v>2026</v>
      </c>
      <c r="C475" s="1">
        <v>4</v>
      </c>
      <c r="D475" s="1">
        <v>32</v>
      </c>
      <c r="E475" s="1">
        <v>8</v>
      </c>
    </row>
    <row r="476" spans="1:5" x14ac:dyDescent="0.3">
      <c r="A476" s="1" t="s">
        <v>1435</v>
      </c>
      <c r="B476" s="1">
        <v>2026</v>
      </c>
      <c r="C476" s="1">
        <v>4</v>
      </c>
      <c r="D476" s="1">
        <v>25</v>
      </c>
      <c r="E476" s="1">
        <v>1</v>
      </c>
    </row>
    <row r="477" spans="1:5" x14ac:dyDescent="0.3">
      <c r="A477" s="1" t="s">
        <v>1437</v>
      </c>
      <c r="B477" s="1">
        <v>2026</v>
      </c>
      <c r="C477" s="1">
        <v>5</v>
      </c>
      <c r="D477" s="1">
        <v>20</v>
      </c>
      <c r="E477" s="1">
        <v>3</v>
      </c>
    </row>
    <row r="478" spans="1:5" x14ac:dyDescent="0.3">
      <c r="A478" s="1" t="s">
        <v>1440</v>
      </c>
      <c r="B478" s="1">
        <v>2026</v>
      </c>
      <c r="C478" s="1">
        <v>3</v>
      </c>
      <c r="D478" s="1">
        <v>50</v>
      </c>
      <c r="E478" s="1">
        <v>11</v>
      </c>
    </row>
    <row r="479" spans="1:5" x14ac:dyDescent="0.3">
      <c r="A479" s="1" t="s">
        <v>1443</v>
      </c>
      <c r="B479" s="1">
        <v>2026</v>
      </c>
      <c r="C479" s="1">
        <v>3</v>
      </c>
      <c r="D479" s="1">
        <v>17</v>
      </c>
      <c r="E479" s="1">
        <v>0</v>
      </c>
    </row>
    <row r="480" spans="1:5" x14ac:dyDescent="0.3">
      <c r="A480" s="1" t="s">
        <v>1445</v>
      </c>
      <c r="B480" s="1">
        <v>2026</v>
      </c>
      <c r="C480" s="1">
        <v>3</v>
      </c>
      <c r="D480" s="1">
        <v>28</v>
      </c>
      <c r="E480" s="1">
        <v>9</v>
      </c>
    </row>
    <row r="481" spans="1:5" x14ac:dyDescent="0.3">
      <c r="A481" s="1" t="s">
        <v>1448</v>
      </c>
      <c r="B481" s="1">
        <v>2026</v>
      </c>
      <c r="C481" s="1">
        <v>2</v>
      </c>
      <c r="D481" s="1">
        <v>19</v>
      </c>
      <c r="E481" s="1">
        <v>10</v>
      </c>
    </row>
    <row r="482" spans="1:5" x14ac:dyDescent="0.3">
      <c r="A482" s="1" t="s">
        <v>1451</v>
      </c>
      <c r="B482" s="1">
        <v>2026</v>
      </c>
      <c r="C482" s="1">
        <v>5</v>
      </c>
      <c r="D482" s="1">
        <v>1</v>
      </c>
      <c r="E482" s="1">
        <v>3</v>
      </c>
    </row>
    <row r="483" spans="1:5" x14ac:dyDescent="0.3">
      <c r="A483" s="1" t="s">
        <v>1454</v>
      </c>
      <c r="B483" s="1">
        <v>2026</v>
      </c>
      <c r="C483" s="1">
        <v>3</v>
      </c>
      <c r="D483" s="1">
        <v>16</v>
      </c>
      <c r="E483" s="1">
        <v>2</v>
      </c>
    </row>
    <row r="484" spans="1:5" x14ac:dyDescent="0.3">
      <c r="A484" s="1" t="s">
        <v>1457</v>
      </c>
      <c r="B484" s="1">
        <v>2026</v>
      </c>
      <c r="C484" s="1">
        <v>3</v>
      </c>
      <c r="D484" s="1">
        <v>32</v>
      </c>
      <c r="E484" s="1">
        <v>6</v>
      </c>
    </row>
    <row r="485" spans="1:5" x14ac:dyDescent="0.3">
      <c r="A485" s="1" t="s">
        <v>1460</v>
      </c>
      <c r="B485" s="1">
        <v>2026</v>
      </c>
      <c r="C485" s="1">
        <v>2</v>
      </c>
      <c r="D485" s="1">
        <v>52</v>
      </c>
      <c r="E485" s="1">
        <v>2</v>
      </c>
    </row>
    <row r="486" spans="1:5" x14ac:dyDescent="0.3">
      <c r="A486" s="1" t="s">
        <v>1463</v>
      </c>
      <c r="B486" s="1">
        <v>2026</v>
      </c>
      <c r="C486" s="1">
        <v>4</v>
      </c>
      <c r="D486" s="1">
        <v>14</v>
      </c>
      <c r="E486" s="1">
        <v>4</v>
      </c>
    </row>
    <row r="487" spans="1:5" x14ac:dyDescent="0.3">
      <c r="A487" s="1" t="s">
        <v>1466</v>
      </c>
      <c r="B487" s="1">
        <v>2026</v>
      </c>
      <c r="C487" s="1">
        <v>4</v>
      </c>
      <c r="D487" s="1">
        <v>15</v>
      </c>
      <c r="E487" s="1">
        <v>6</v>
      </c>
    </row>
    <row r="488" spans="1:5" x14ac:dyDescent="0.3">
      <c r="A488" s="1" t="s">
        <v>1469</v>
      </c>
      <c r="B488" s="1">
        <v>2026</v>
      </c>
      <c r="C488" s="1">
        <v>2</v>
      </c>
      <c r="D488" s="1">
        <v>45</v>
      </c>
      <c r="E488" s="1">
        <v>8</v>
      </c>
    </row>
    <row r="489" spans="1:5" x14ac:dyDescent="0.3">
      <c r="A489" s="1" t="s">
        <v>1472</v>
      </c>
      <c r="B489" s="1">
        <v>2026</v>
      </c>
      <c r="C489" s="1">
        <v>1</v>
      </c>
      <c r="D489" s="1">
        <v>30</v>
      </c>
      <c r="E489" s="1">
        <v>3</v>
      </c>
    </row>
    <row r="490" spans="1:5" x14ac:dyDescent="0.3">
      <c r="A490" s="1" t="s">
        <v>1475</v>
      </c>
      <c r="B490" s="1">
        <v>2026</v>
      </c>
      <c r="C490" s="1">
        <v>5</v>
      </c>
      <c r="D490" s="1">
        <v>1</v>
      </c>
      <c r="E490" s="1">
        <v>2</v>
      </c>
    </row>
    <row r="491" spans="1:5" x14ac:dyDescent="0.3">
      <c r="A491" s="1" t="s">
        <v>1477</v>
      </c>
      <c r="B491" s="1">
        <v>2026</v>
      </c>
      <c r="C491" s="1">
        <v>2</v>
      </c>
      <c r="D491" s="1">
        <v>54</v>
      </c>
      <c r="E491" s="1">
        <v>11</v>
      </c>
    </row>
    <row r="492" spans="1:5" x14ac:dyDescent="0.3">
      <c r="A492" s="1" t="s">
        <v>1480</v>
      </c>
      <c r="B492" s="1">
        <v>2026</v>
      </c>
      <c r="C492" s="1">
        <v>4</v>
      </c>
      <c r="D492" s="1">
        <v>9</v>
      </c>
      <c r="E492" s="1">
        <v>6</v>
      </c>
    </row>
    <row r="493" spans="1:5" x14ac:dyDescent="0.3">
      <c r="A493" s="1" t="s">
        <v>1482</v>
      </c>
      <c r="B493" s="1">
        <v>2026</v>
      </c>
      <c r="C493" s="1">
        <v>5</v>
      </c>
      <c r="D493" s="1">
        <v>33</v>
      </c>
      <c r="E493" s="1">
        <v>7</v>
      </c>
    </row>
    <row r="494" spans="1:5" x14ac:dyDescent="0.3">
      <c r="A494" s="1" t="s">
        <v>1485</v>
      </c>
      <c r="B494" s="1">
        <v>2026</v>
      </c>
      <c r="C494" s="1">
        <v>1</v>
      </c>
      <c r="D494" s="1">
        <v>18</v>
      </c>
      <c r="E494" s="1">
        <v>12</v>
      </c>
    </row>
    <row r="495" spans="1:5" x14ac:dyDescent="0.3">
      <c r="A495" s="1" t="s">
        <v>1487</v>
      </c>
      <c r="B495" s="1">
        <v>2026</v>
      </c>
      <c r="C495" s="1">
        <v>5</v>
      </c>
      <c r="D495" s="1">
        <v>53</v>
      </c>
      <c r="E495" s="1">
        <v>2</v>
      </c>
    </row>
    <row r="496" spans="1:5" x14ac:dyDescent="0.3">
      <c r="A496" s="1" t="s">
        <v>1490</v>
      </c>
      <c r="B496" s="1">
        <v>2026</v>
      </c>
      <c r="C496" s="1">
        <v>4</v>
      </c>
      <c r="D496" s="1">
        <v>12</v>
      </c>
      <c r="E496" s="1">
        <v>0</v>
      </c>
    </row>
    <row r="497" spans="1:5" x14ac:dyDescent="0.3">
      <c r="A497" s="1" t="s">
        <v>1493</v>
      </c>
      <c r="B497" s="1">
        <v>2026</v>
      </c>
      <c r="C497" s="1">
        <v>1</v>
      </c>
      <c r="D497" s="1">
        <v>54</v>
      </c>
      <c r="E497" s="1">
        <v>0</v>
      </c>
    </row>
    <row r="498" spans="1:5" x14ac:dyDescent="0.3">
      <c r="A498" s="1" t="s">
        <v>1496</v>
      </c>
      <c r="B498" s="1">
        <v>2026</v>
      </c>
      <c r="C498" s="1">
        <v>2</v>
      </c>
      <c r="D498" s="1">
        <v>28</v>
      </c>
      <c r="E498" s="1">
        <v>11</v>
      </c>
    </row>
    <row r="499" spans="1:5" x14ac:dyDescent="0.3">
      <c r="A499" s="1" t="s">
        <v>1499</v>
      </c>
      <c r="B499" s="1">
        <v>2026</v>
      </c>
      <c r="C499" s="1">
        <v>2</v>
      </c>
      <c r="D499" s="1">
        <v>36</v>
      </c>
      <c r="E499" s="1">
        <v>2</v>
      </c>
    </row>
    <row r="500" spans="1:5" x14ac:dyDescent="0.3">
      <c r="A500" s="1" t="s">
        <v>1502</v>
      </c>
      <c r="B500" s="1">
        <v>2026</v>
      </c>
      <c r="C500" s="1">
        <v>3</v>
      </c>
      <c r="D500" s="1">
        <v>4</v>
      </c>
      <c r="E500" s="1">
        <v>2</v>
      </c>
    </row>
    <row r="501" spans="1:5" x14ac:dyDescent="0.3">
      <c r="A501" s="1" t="s">
        <v>1505</v>
      </c>
      <c r="B501" s="1">
        <v>2026</v>
      </c>
      <c r="C501" s="1">
        <v>3</v>
      </c>
      <c r="D501" s="1">
        <v>47</v>
      </c>
      <c r="E501" s="1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Employees</vt:lpstr>
      <vt:lpstr>Sheet1</vt:lpstr>
      <vt:lpstr>Filter(8)</vt:lpstr>
      <vt:lpstr>Sheet2</vt:lpstr>
      <vt:lpstr>Departments</vt:lpstr>
      <vt:lpstr>Performance</vt:lpstr>
      <vt:lpstr>'Filter(8)'!Criteria</vt:lpstr>
      <vt:lpstr>'Filter(8)'!Extract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Sumon Kundu</cp:lastModifiedBy>
  <dcterms:created xsi:type="dcterms:W3CDTF">2026-07-30T06:46:47Z</dcterms:created>
  <dcterms:modified xsi:type="dcterms:W3CDTF">2026-08-19T10:40:26Z</dcterms:modified>
</cp:coreProperties>
</file>