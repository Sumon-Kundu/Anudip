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Home Work/"/>
    </mc:Choice>
  </mc:AlternateContent>
  <xr:revisionPtr revIDLastSave="1" documentId="8_{BE775734-A522-4EC7-A026-2EB1D7031849}" xr6:coauthVersionLast="47" xr6:coauthVersionMax="47" xr10:uidLastSave="{87F06502-9F17-40ED-88B0-CE2860AD1C9B}"/>
  <bookViews>
    <workbookView xWindow="-108" yWindow="-108" windowWidth="23256" windowHeight="12456" xr2:uid="{43016ABF-7490-49D0-AC75-50199ACC13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9" i="1"/>
  <c r="N4" i="1"/>
  <c r="M5" i="1"/>
  <c r="M6" i="1"/>
  <c r="M7" i="1"/>
  <c r="M8" i="1"/>
  <c r="M9" i="1"/>
  <c r="M4" i="1"/>
  <c r="L5" i="1"/>
  <c r="L6" i="1"/>
  <c r="L7" i="1"/>
  <c r="L8" i="1"/>
  <c r="L9" i="1"/>
  <c r="L4" i="1"/>
  <c r="K5" i="1"/>
  <c r="K6" i="1"/>
  <c r="K7" i="1"/>
  <c r="K8" i="1"/>
  <c r="K9" i="1"/>
  <c r="K4" i="1"/>
  <c r="J5" i="1"/>
  <c r="J6" i="1"/>
  <c r="J7" i="1"/>
  <c r="J8" i="1"/>
  <c r="J9" i="1"/>
  <c r="J4" i="1"/>
  <c r="I5" i="1"/>
  <c r="I6" i="1"/>
  <c r="I7" i="1"/>
  <c r="I8" i="1"/>
  <c r="I9" i="1"/>
  <c r="I4" i="1"/>
  <c r="H5" i="1"/>
  <c r="H6" i="1"/>
  <c r="H7" i="1"/>
  <c r="H8" i="1"/>
  <c r="H9" i="1"/>
  <c r="H4" i="1"/>
  <c r="G5" i="1"/>
  <c r="G6" i="1"/>
  <c r="G7" i="1"/>
  <c r="G8" i="1"/>
  <c r="G9" i="1"/>
  <c r="G4" i="1"/>
  <c r="F5" i="1"/>
  <c r="F6" i="1"/>
  <c r="F7" i="1"/>
  <c r="F8" i="1"/>
  <c r="F9" i="1"/>
  <c r="F4" i="1"/>
</calcChain>
</file>

<file path=xl/sharedStrings.xml><?xml version="1.0" encoding="utf-8"?>
<sst xmlns="http://schemas.openxmlformats.org/spreadsheetml/2006/main" count="38" uniqueCount="36">
  <si>
    <t>ProductID</t>
  </si>
  <si>
    <t>Product</t>
  </si>
  <si>
    <t>Sales</t>
  </si>
  <si>
    <t>Target</t>
  </si>
  <si>
    <t>Region</t>
  </si>
  <si>
    <t>ProductA</t>
  </si>
  <si>
    <t>ProductB</t>
  </si>
  <si>
    <t>ProductC</t>
  </si>
  <si>
    <t>ProductD</t>
  </si>
  <si>
    <t>ProductE</t>
  </si>
  <si>
    <t>ProductF</t>
  </si>
  <si>
    <t>North</t>
  </si>
  <si>
    <t>South</t>
  </si>
  <si>
    <t>East</t>
  </si>
  <si>
    <t>West</t>
  </si>
  <si>
    <t>Met its sales Target</t>
  </si>
  <si>
    <t>Regional Bonus</t>
  </si>
  <si>
    <t>Commission Rate</t>
  </si>
  <si>
    <t>Bonus Percentage</t>
  </si>
  <si>
    <t>Bonus Ammount</t>
  </si>
  <si>
    <t>Sales Performance</t>
  </si>
  <si>
    <t>Price Tier</t>
  </si>
  <si>
    <t>Year-end Bonus</t>
  </si>
  <si>
    <t>Performer</t>
  </si>
  <si>
    <t xml:space="preserve">1. Use the IF function to evaluate whether each product met its sales target. </t>
  </si>
  <si>
    <t>2. Use the IF function to determine if a product is eligible for a regional bonus. Products in the "North" region with sales over 200 are eligible.</t>
  </si>
  <si>
    <t xml:space="preserve">3. Use nested IF functions to assign a commission rate based on sales. Sales &gt;= 200 get a 10% commission, sales &gt;= 150 get a 7% commission, and others get a 5% commission. </t>
  </si>
  <si>
    <t xml:space="preserve">4. Use the IF function to calculate a bonus amount. If sales met or exceeded the target, the bonus is 10% of the sales; otherwise, it's 5%. </t>
  </si>
  <si>
    <t xml:space="preserve">5. Use the IF function to categorize sales performance as "Excellent" (&gt;=200), "Good" (&gt;=150), or "Needs Improvement" (&lt;150). </t>
  </si>
  <si>
    <t xml:space="preserve">6. Use the IF function to assign a price tier based on the sales value. "High" for sales &gt; 200, "Medium" for sales between 100 and 200, and "Low" for sales &lt; 100. </t>
  </si>
  <si>
    <t xml:space="preserve">7. Use the IF function to calculate the year-end bonus. If sales &gt;= 150 and region is "North", the bonus is $500, otherwise, it's $300. </t>
  </si>
  <si>
    <t xml:space="preserve">8. Use the IF function to mark high performers. A product is a high performer if its sales are in the top 25% of all sales. </t>
  </si>
  <si>
    <t>IF Statement Exercise</t>
  </si>
  <si>
    <t>Dataset</t>
  </si>
  <si>
    <t>Answers</t>
  </si>
  <si>
    <t>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</si>
</sst>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4"/>
      <color theme="9" tint="0.39997558519241921"/>
      <name val="Calibri"/>
      <family val="2"/>
      <scheme val="minor"/>
    </font>
    <font>
      <b/>
      <u/>
      <sz val="2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u/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AB9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0" fillId="2" borderId="0" xfId="0" applyFill="1"/>
    <xf numFmtId="0" fontId="4" fillId="2" borderId="0" xfId="0" applyFont="1" applyFill="1"/>
    <xf numFmtId="0" fontId="6" fillId="2" borderId="0" xfId="0" applyFont="1" applyFill="1" applyAlignment="1">
      <alignment horizontal="center"/>
    </xf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B9BDD"/>
      <color rgb="FFE890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DE839F-8FCB-4443-AAAE-5021F2D30338}" name="Table1" displayName="Table1" ref="A3:E9" totalsRowShown="0">
  <autoFilter ref="A3:E9" xr:uid="{17DE839F-8FCB-4443-AAAE-5021F2D30338}"/>
  <tableColumns count="5">
    <tableColumn id="1" xr3:uid="{51C73D47-9E49-405D-81D3-1E5A2990118E}" name="ProductID"/>
    <tableColumn id="2" xr3:uid="{B098DD0D-7402-4C6C-9C0E-18278452CB41}" name="Product"/>
    <tableColumn id="3" xr3:uid="{E0C1492C-13CF-48CD-80E2-5EBABF48B72D}" name="Sales"/>
    <tableColumn id="4" xr3:uid="{47522FBC-6554-4225-948D-2CB23560F10F}" name="Target"/>
    <tableColumn id="5" xr3:uid="{5F92E6A2-DC65-41E1-A217-87783E7FA577}" name="Region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C53C2D-B77F-4604-9AAC-17BBAACCFBD2}" name="Table2" displayName="Table2" ref="F3:N9" totalsRowShown="0">
  <autoFilter ref="F3:N9" xr:uid="{4CC53C2D-B77F-4604-9AAC-17BBAACCFBD2}"/>
  <tableColumns count="9">
    <tableColumn id="1" xr3:uid="{674CBDED-15A7-4749-8057-AD0F1CBE275C}" name="Met its sales Target">
      <calculatedColumnFormula>C4=D4</calculatedColumnFormula>
    </tableColumn>
    <tableColumn id="2" xr3:uid="{5EA6683A-9AC2-490F-87F6-F1B77829A332}" name="Regional Bonus">
      <calculatedColumnFormula>IF(AND(E4="North",C4&gt;200),"Bonus","No Bonus")</calculatedColumnFormula>
    </tableColumn>
    <tableColumn id="3" xr3:uid="{2B948FEA-E2DB-4B43-A7D8-24A334F9A9A7}" name="Commission Rate">
      <calculatedColumnFormula>IF(C4&gt;=200,"10%",IF(C4&gt;=150,"7%","5%"))</calculatedColumnFormula>
    </tableColumn>
    <tableColumn id="4" xr3:uid="{8D3BCB9F-2B05-4E64-B4FB-9445D4D8E73C}" name="Bonus Percentage">
      <calculatedColumnFormula>IF(C4&gt;=D4,"10%","5%")</calculatedColumnFormula>
    </tableColumn>
    <tableColumn id="5" xr3:uid="{F6A5604E-4775-4FCA-B893-1284A4685859}" name="Bonus Ammount">
      <calculatedColumnFormula>C4*I4</calculatedColumnFormula>
    </tableColumn>
    <tableColumn id="6" xr3:uid="{A7A69C7A-1AA4-4CE9-B0F2-017927F61EDB}" name="Sales Performance">
      <calculatedColumnFormula>IF(C4&gt;=200,"Excellent",IF(C4&gt;=150,"Good","Needs Improvement"))</calculatedColumnFormula>
    </tableColumn>
    <tableColumn id="7" xr3:uid="{797EF5A7-1976-4505-9CC7-DC094745DF88}" name="Price Tier">
      <calculatedColumnFormula>IF(C4&gt;200,"High",IF(C4&gt;=100,"Medium","Low"))</calculatedColumnFormula>
    </tableColumn>
    <tableColumn id="8" xr3:uid="{2F8C89D5-886D-49D6-AD93-33D3663DD7CE}" name="Year-end Bonus">
      <calculatedColumnFormula>IF(AND(C4&gt;=150,E4="North"),"$500","$300")</calculatedColumnFormula>
    </tableColumn>
    <tableColumn id="9" xr3:uid="{93654595-B2FE-4A57-A3BB-F3E622196D2A}" name="Performer">
      <calculatedColumnFormula>IF(C4&gt;_xlfn.PERCENTILE.INC($C$4:$C$9,0.75),"High Performer","Low Performer")</calculatedColumnFormula>
    </tableColumn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0A2DD-5DF4-4AB7-883F-89775A8C2175}">
  <dimension ref="A1:N21"/>
  <sheetViews>
    <sheetView tabSelected="1" workbookViewId="0">
      <selection activeCell="K24" sqref="K24"/>
    </sheetView>
  </sheetViews>
  <sheetFormatPr defaultRowHeight="14.4" x14ac:dyDescent="0.3"/>
  <cols>
    <col min="1" max="1" width="11.33203125" customWidth="1"/>
    <col min="2" max="2" width="9.5546875" customWidth="1"/>
    <col min="3" max="3" width="7.109375" customWidth="1"/>
    <col min="4" max="4" width="8.21875" customWidth="1"/>
    <col min="5" max="5" width="8.6640625" customWidth="1"/>
    <col min="6" max="6" width="18.88671875" customWidth="1"/>
    <col min="7" max="7" width="15.77734375" customWidth="1"/>
    <col min="8" max="8" width="17.33203125" customWidth="1"/>
    <col min="9" max="9" width="18" customWidth="1"/>
    <col min="10" max="10" width="17.109375" customWidth="1"/>
    <col min="11" max="11" width="18.44140625" customWidth="1"/>
    <col min="12" max="12" width="10.5546875" customWidth="1"/>
    <col min="13" max="13" width="16.109375" customWidth="1"/>
    <col min="14" max="14" width="13.44140625" bestFit="1" customWidth="1"/>
  </cols>
  <sheetData>
    <row r="1" spans="1:14" x14ac:dyDescent="0.3">
      <c r="A1" s="3" t="s">
        <v>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 t="s">
        <v>22</v>
      </c>
      <c r="N3" t="s">
        <v>23</v>
      </c>
    </row>
    <row r="4" spans="1:14" x14ac:dyDescent="0.3">
      <c r="A4">
        <v>101</v>
      </c>
      <c r="B4" t="s">
        <v>5</v>
      </c>
      <c r="C4">
        <v>120</v>
      </c>
      <c r="D4">
        <v>150</v>
      </c>
      <c r="E4" t="s">
        <v>11</v>
      </c>
      <c r="F4" t="b">
        <f>C4=D4</f>
        <v>0</v>
      </c>
      <c r="G4" t="str">
        <f>IF(AND(E4="North",C4&gt;200),"Bonus","No Bonus")</f>
        <v>No Bonus</v>
      </c>
      <c r="H4" t="str">
        <f>IF(C4&gt;=200,"10%",IF(C4&gt;=150,"7%","5%"))</f>
        <v>5%</v>
      </c>
      <c r="I4" t="str">
        <f>IF(C4&gt;=D4,"10%","5%")</f>
        <v>5%</v>
      </c>
      <c r="J4">
        <f>C4*I4</f>
        <v>6</v>
      </c>
      <c r="K4" t="str">
        <f>IF(C4&gt;=200,"Excellent",IF(C4&gt;=150,"Good","Needs Improvement"))</f>
        <v>Needs Improvement</v>
      </c>
      <c r="L4" t="str">
        <f>IF(C4&gt;200,"High",IF(C4&gt;=100,"Medium","Low"))</f>
        <v>Medium</v>
      </c>
      <c r="M4" t="str">
        <f>IF(AND(C4&gt;=150,E4="North"),"$500","$300")</f>
        <v>$300</v>
      </c>
      <c r="N4" t="str">
        <f>IF(C4&gt;_xlfn.PERCENTILE.INC($C$4:$C$9,0.75),"High Performer","Low Performer")</f>
        <v>Low Performer</v>
      </c>
    </row>
    <row r="5" spans="1:14" x14ac:dyDescent="0.3">
      <c r="A5">
        <v>102</v>
      </c>
      <c r="B5" t="s">
        <v>6</v>
      </c>
      <c r="C5">
        <v>150</v>
      </c>
      <c r="D5">
        <v>140</v>
      </c>
      <c r="E5" t="s">
        <v>12</v>
      </c>
      <c r="F5" t="b">
        <f t="shared" ref="F5:F9" si="0">C5=D5</f>
        <v>0</v>
      </c>
      <c r="G5" t="str">
        <f t="shared" ref="G5:G9" si="1">IF(AND(E5="North",C5&gt;200),"Bonus","No Bonus")</f>
        <v>No Bonus</v>
      </c>
      <c r="H5" t="str">
        <f t="shared" ref="H5:H9" si="2">IF(C5&gt;=200,"10%",IF(C5&gt;=150,"7%","5%"))</f>
        <v>7%</v>
      </c>
      <c r="I5" t="str">
        <f t="shared" ref="I5:I9" si="3">IF(C5&gt;=D5,"10%","5%")</f>
        <v>10%</v>
      </c>
      <c r="J5">
        <f t="shared" ref="J5:J9" si="4">C5*I5</f>
        <v>15</v>
      </c>
      <c r="K5" t="str">
        <f t="shared" ref="K5:K9" si="5">IF(C5&gt;=200,"Excellent",IF(C5&gt;=150,"Good","Needs Improvement"))</f>
        <v>Good</v>
      </c>
      <c r="L5" t="str">
        <f t="shared" ref="L5:L9" si="6">IF(C5&gt;200,"High",IF(C5&gt;=100,"Medium","Low"))</f>
        <v>Medium</v>
      </c>
      <c r="M5" t="str">
        <f t="shared" ref="M5:M9" si="7">IF(AND(C5&gt;=150,E5="North"),"$500","$300")</f>
        <v>$300</v>
      </c>
      <c r="N5" t="str">
        <f t="shared" ref="N5:N9" si="8">IF(C5&gt;_xlfn.PERCENTILE.INC($C$4:$C$9,0.75),"High Performer","Low Performer")</f>
        <v>Low Performer</v>
      </c>
    </row>
    <row r="6" spans="1:14" x14ac:dyDescent="0.3">
      <c r="A6">
        <v>103</v>
      </c>
      <c r="B6" t="s">
        <v>7</v>
      </c>
      <c r="C6">
        <v>200</v>
      </c>
      <c r="D6">
        <v>200</v>
      </c>
      <c r="E6" t="s">
        <v>13</v>
      </c>
      <c r="F6" t="b">
        <f t="shared" si="0"/>
        <v>1</v>
      </c>
      <c r="G6" t="str">
        <f t="shared" si="1"/>
        <v>No Bonus</v>
      </c>
      <c r="H6" t="str">
        <f t="shared" si="2"/>
        <v>10%</v>
      </c>
      <c r="I6" t="str">
        <f t="shared" si="3"/>
        <v>10%</v>
      </c>
      <c r="J6">
        <f t="shared" si="4"/>
        <v>20</v>
      </c>
      <c r="K6" t="str">
        <f t="shared" si="5"/>
        <v>Excellent</v>
      </c>
      <c r="L6" t="str">
        <f t="shared" si="6"/>
        <v>Medium</v>
      </c>
      <c r="M6" t="str">
        <f t="shared" si="7"/>
        <v>$300</v>
      </c>
      <c r="N6" t="str">
        <f t="shared" si="8"/>
        <v>High Performer</v>
      </c>
    </row>
    <row r="7" spans="1:14" x14ac:dyDescent="0.3">
      <c r="A7">
        <v>104</v>
      </c>
      <c r="B7" t="s">
        <v>8</v>
      </c>
      <c r="C7">
        <v>90</v>
      </c>
      <c r="D7">
        <v>100</v>
      </c>
      <c r="E7" t="s">
        <v>14</v>
      </c>
      <c r="F7" t="b">
        <f t="shared" si="0"/>
        <v>0</v>
      </c>
      <c r="G7" t="str">
        <f t="shared" si="1"/>
        <v>No Bonus</v>
      </c>
      <c r="H7" t="str">
        <f t="shared" si="2"/>
        <v>5%</v>
      </c>
      <c r="I7" t="str">
        <f t="shared" si="3"/>
        <v>5%</v>
      </c>
      <c r="J7">
        <f t="shared" si="4"/>
        <v>4.5</v>
      </c>
      <c r="K7" t="str">
        <f t="shared" si="5"/>
        <v>Needs Improvement</v>
      </c>
      <c r="L7" t="str">
        <f t="shared" si="6"/>
        <v>Low</v>
      </c>
      <c r="M7" t="str">
        <f t="shared" si="7"/>
        <v>$300</v>
      </c>
      <c r="N7" t="str">
        <f t="shared" si="8"/>
        <v>Low Performer</v>
      </c>
    </row>
    <row r="8" spans="1:14" x14ac:dyDescent="0.3">
      <c r="A8">
        <v>105</v>
      </c>
      <c r="B8" t="s">
        <v>9</v>
      </c>
      <c r="C8">
        <v>220</v>
      </c>
      <c r="D8">
        <v>210</v>
      </c>
      <c r="E8" t="s">
        <v>11</v>
      </c>
      <c r="F8" t="b">
        <f t="shared" si="0"/>
        <v>0</v>
      </c>
      <c r="G8" t="str">
        <f t="shared" si="1"/>
        <v>Bonus</v>
      </c>
      <c r="H8" t="str">
        <f t="shared" si="2"/>
        <v>10%</v>
      </c>
      <c r="I8" t="str">
        <f t="shared" si="3"/>
        <v>10%</v>
      </c>
      <c r="J8">
        <f t="shared" si="4"/>
        <v>22</v>
      </c>
      <c r="K8" t="str">
        <f t="shared" si="5"/>
        <v>Excellent</v>
      </c>
      <c r="L8" t="str">
        <f t="shared" si="6"/>
        <v>High</v>
      </c>
      <c r="M8" t="str">
        <f t="shared" si="7"/>
        <v>$500</v>
      </c>
      <c r="N8" t="str">
        <f t="shared" si="8"/>
        <v>High Performer</v>
      </c>
    </row>
    <row r="9" spans="1:14" x14ac:dyDescent="0.3">
      <c r="A9">
        <v>106</v>
      </c>
      <c r="B9" t="s">
        <v>10</v>
      </c>
      <c r="C9">
        <v>130</v>
      </c>
      <c r="D9">
        <v>160</v>
      </c>
      <c r="E9" t="s">
        <v>12</v>
      </c>
      <c r="F9" t="b">
        <f t="shared" si="0"/>
        <v>0</v>
      </c>
      <c r="G9" t="str">
        <f t="shared" si="1"/>
        <v>No Bonus</v>
      </c>
      <c r="H9" t="str">
        <f t="shared" si="2"/>
        <v>5%</v>
      </c>
      <c r="I9" t="str">
        <f t="shared" si="3"/>
        <v>5%</v>
      </c>
      <c r="J9">
        <f t="shared" si="4"/>
        <v>6.5</v>
      </c>
      <c r="K9" t="str">
        <f t="shared" si="5"/>
        <v>Needs Improvement</v>
      </c>
      <c r="L9" t="str">
        <f t="shared" si="6"/>
        <v>Medium</v>
      </c>
      <c r="M9" t="str">
        <f t="shared" si="7"/>
        <v>$300</v>
      </c>
      <c r="N9" t="str">
        <f t="shared" si="8"/>
        <v>Low Performer</v>
      </c>
    </row>
    <row r="10" spans="1:14" ht="18" x14ac:dyDescent="0.35">
      <c r="A10" s="1" t="s">
        <v>33</v>
      </c>
      <c r="B10" s="1"/>
      <c r="C10" s="1"/>
      <c r="D10" s="1"/>
      <c r="E10" s="1"/>
      <c r="F10" s="2" t="s">
        <v>34</v>
      </c>
      <c r="G10" s="2"/>
      <c r="H10" s="2"/>
      <c r="I10" s="2"/>
      <c r="J10" s="2"/>
      <c r="K10" s="2"/>
      <c r="L10" s="2"/>
      <c r="M10" s="2"/>
      <c r="N10" s="2"/>
    </row>
    <row r="13" spans="1:14" ht="15.6" x14ac:dyDescent="0.3">
      <c r="B13" s="7" t="s">
        <v>24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4"/>
    </row>
    <row r="14" spans="1:14" ht="15.6" x14ac:dyDescent="0.3">
      <c r="B14" s="7" t="s">
        <v>25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4"/>
    </row>
    <row r="15" spans="1:14" ht="15.6" x14ac:dyDescent="0.3">
      <c r="B15" s="7" t="s">
        <v>26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4"/>
    </row>
    <row r="16" spans="1:14" ht="15.6" x14ac:dyDescent="0.3">
      <c r="B16" s="7" t="s">
        <v>27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4"/>
    </row>
    <row r="17" spans="2:13" ht="15.6" x14ac:dyDescent="0.3">
      <c r="B17" s="7" t="s">
        <v>28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4"/>
    </row>
    <row r="18" spans="2:13" ht="15.6" x14ac:dyDescent="0.3">
      <c r="B18" s="7" t="s">
        <v>29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4"/>
    </row>
    <row r="19" spans="2:13" ht="15.6" x14ac:dyDescent="0.3">
      <c r="B19" s="7" t="s">
        <v>30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4"/>
    </row>
    <row r="20" spans="2:13" ht="15.6" x14ac:dyDescent="0.3">
      <c r="B20" s="7" t="s">
        <v>31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4"/>
    </row>
    <row r="21" spans="2:13" ht="18" x14ac:dyDescent="0.35">
      <c r="G21" s="6" t="s">
        <v>35</v>
      </c>
      <c r="H21" s="6"/>
      <c r="I21" s="6"/>
    </row>
  </sheetData>
  <mergeCells count="4">
    <mergeCell ref="A1:N2"/>
    <mergeCell ref="A10:E10"/>
    <mergeCell ref="F10:N10"/>
    <mergeCell ref="G21:I2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Sumon Kundu</dc:creator>
  <cp:lastModifiedBy>Sumon Kundu</cp:lastModifiedBy>
  <dcterms:created xsi:type="dcterms:W3CDTF">2026-08-04T03:06:56Z</dcterms:created>
  <dcterms:modified xsi:type="dcterms:W3CDTF">2026-08-04T04:13:48Z</dcterms:modified>
</cp:coreProperties>
</file>