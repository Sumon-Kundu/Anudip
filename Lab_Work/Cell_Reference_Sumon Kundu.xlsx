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30d753e6c46f0632/Desktop/Anudip/"/>
    </mc:Choice>
  </mc:AlternateContent>
  <xr:revisionPtr revIDLastSave="0" documentId="8_{ACC064A7-38CC-4462-BA0F-03F52C041411}" xr6:coauthVersionLast="47" xr6:coauthVersionMax="47" xr10:uidLastSave="{00000000-0000-0000-0000-000000000000}"/>
  <bookViews>
    <workbookView xWindow="-108" yWindow="-108" windowWidth="23256" windowHeight="12456" xr2:uid="{E4A71674-C356-4CBD-8289-A6E4BA65B5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9" i="1" l="1"/>
  <c r="I9" i="1" s="1"/>
  <c r="G5" i="1"/>
  <c r="H5" i="1" s="1"/>
  <c r="I5" i="1" s="1"/>
  <c r="G6" i="1"/>
  <c r="H6" i="1" s="1"/>
  <c r="G7" i="1"/>
  <c r="H7" i="1" s="1"/>
  <c r="G8" i="1"/>
  <c r="H8" i="1" s="1"/>
  <c r="G9" i="1"/>
  <c r="G10" i="1"/>
  <c r="H10" i="1" s="1"/>
  <c r="I10" i="1" s="1"/>
  <c r="G11" i="1"/>
  <c r="H11" i="1" s="1"/>
  <c r="G12" i="1"/>
  <c r="H12" i="1" s="1"/>
  <c r="J5" i="1" l="1"/>
  <c r="K5" i="1" s="1"/>
  <c r="J10" i="1"/>
  <c r="K10" i="1"/>
  <c r="J9" i="1"/>
  <c r="K9" i="1"/>
  <c r="I12" i="1"/>
  <c r="I11" i="1"/>
  <c r="I8" i="1"/>
  <c r="I7" i="1"/>
  <c r="I6" i="1"/>
  <c r="J6" i="1" l="1"/>
  <c r="K6" i="1" s="1"/>
  <c r="J7" i="1"/>
  <c r="K7" i="1" s="1"/>
  <c r="J11" i="1"/>
  <c r="K11" i="1" s="1"/>
  <c r="J12" i="1"/>
  <c r="K12" i="1" s="1"/>
  <c r="J8" i="1"/>
  <c r="K8" i="1" s="1"/>
</calcChain>
</file>

<file path=xl/sharedStrings.xml><?xml version="1.0" encoding="utf-8"?>
<sst xmlns="http://schemas.openxmlformats.org/spreadsheetml/2006/main" count="35" uniqueCount="30">
  <si>
    <t>Order ID</t>
  </si>
  <si>
    <t>Product</t>
  </si>
  <si>
    <t>Price</t>
  </si>
  <si>
    <t>Quantity</t>
  </si>
  <si>
    <t>CELL REFERENCE</t>
  </si>
  <si>
    <t xml:space="preserve">Salesperson </t>
  </si>
  <si>
    <t>Total Price</t>
  </si>
  <si>
    <t>Discount Ammount</t>
  </si>
  <si>
    <t>Price after Discount</t>
  </si>
  <si>
    <t>Tax Ammount</t>
  </si>
  <si>
    <t>Total Bill</t>
  </si>
  <si>
    <t>Pen</t>
  </si>
  <si>
    <t>Pencil</t>
  </si>
  <si>
    <t>Notebook</t>
  </si>
  <si>
    <t>Eraser</t>
  </si>
  <si>
    <t>Marker</t>
  </si>
  <si>
    <t>Scale</t>
  </si>
  <si>
    <t>Sharpener</t>
  </si>
  <si>
    <t>File</t>
  </si>
  <si>
    <t>Discount %</t>
  </si>
  <si>
    <t xml:space="preserve">Amit </t>
  </si>
  <si>
    <t>Riya</t>
  </si>
  <si>
    <t>John</t>
  </si>
  <si>
    <t>Company Tax</t>
  </si>
  <si>
    <t>Shipping Charge</t>
  </si>
  <si>
    <t>1.Find the total price of each item.</t>
  </si>
  <si>
    <t>2.Find discount ammount of each item.</t>
  </si>
  <si>
    <t>4.Find the tax ammount.</t>
  </si>
  <si>
    <t>3.Find the price after discount.</t>
  </si>
  <si>
    <t>5.Find the total bill including shipping charge.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</si>
</sst>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 val="double"/>
      <sz val="16"/>
      <color theme="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9" fontId="0" fillId="0" borderId="0" xfId="0" applyNumberFormat="1"/>
    <xf numFmtId="0" fontId="0" fillId="0" borderId="0" xfId="0" applyAlignment="1"/>
    <xf numFmtId="0" fontId="0" fillId="0" borderId="0" xfId="0" applyFill="1" applyBorder="1" applyAlignment="1"/>
    <xf numFmtId="0" fontId="1" fillId="0" borderId="1" xfId="0" applyFont="1" applyBorder="1"/>
    <xf numFmtId="0" fontId="1" fillId="0" borderId="3" xfId="0" applyFont="1" applyBorder="1"/>
    <xf numFmtId="9" fontId="1" fillId="0" borderId="2" xfId="0" applyNumberFormat="1" applyFont="1" applyBorder="1"/>
    <xf numFmtId="0" fontId="1" fillId="0" borderId="4" xfId="0" applyFont="1" applyBorder="1"/>
  </cellXfs>
  <cellStyles count="1">
    <cellStyle name="Normal" xfId="0" builtinId="0"/>
  </cellStyles>
  <dxfs count="7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8BB1D0-D306-4B2F-B154-0CDBFA0CD8A6}" name="Table1" displayName="Table1" ref="A4:K12" totalsRowShown="0">
  <autoFilter ref="A4:K12" xr:uid="{2F8BB1D0-D306-4B2F-B154-0CDBFA0CD8A6}"/>
  <tableColumns count="11">
    <tableColumn id="1" xr3:uid="{8D012CC4-C07A-411C-9F93-B31363914E0A}" name="Order ID"/>
    <tableColumn id="2" xr3:uid="{32EA1776-349D-4709-BAA1-A5950269E152}" name="Product"/>
    <tableColumn id="3" xr3:uid="{B2418A40-89F1-4266-A240-23D10382B6EE}" name="Price"/>
    <tableColumn id="4" xr3:uid="{43B19CE7-12F1-4FF9-A743-A33C058F701C}" name="Quantity"/>
    <tableColumn id="5" xr3:uid="{495F68BC-6649-407D-84F9-5375B437E62E}" name="Discount %" dataDxfId="6"/>
    <tableColumn id="6" xr3:uid="{187AF0C1-9500-49B4-AE56-D52FA5C9C91A}" name="Salesperson "/>
    <tableColumn id="7" xr3:uid="{A2302504-A5B5-4A54-B92B-1C5D4377AFDD}" name="Total Price" dataDxfId="5">
      <calculatedColumnFormula>Table1[[#This Row],[Price]]*Table1[[#This Row],[Quantity]]</calculatedColumnFormula>
    </tableColumn>
    <tableColumn id="8" xr3:uid="{19DA7EE2-E554-4E41-9802-01ED57AD7DBA}" name="Discount Ammount" dataDxfId="4">
      <calculatedColumnFormula>Table1[[#This Row],[Total Price]]*Table1[[#This Row],[Discount %]]</calculatedColumnFormula>
    </tableColumn>
    <tableColumn id="9" xr3:uid="{D00FA65C-9136-40E0-A245-670B32C61F98}" name="Price after Discount" dataDxfId="3">
      <calculatedColumnFormula>Table1[[#This Row],[Total Price]]-Table1[[#This Row],[Discount Ammount]]</calculatedColumnFormula>
    </tableColumn>
    <tableColumn id="10" xr3:uid="{0D15D8B7-0FB0-41AB-9646-6D2FAA0F1925}" name="Tax Ammount" dataDxfId="2">
      <calculatedColumnFormula>Table1[[#This Row],[Price after Discount]]*$N$3</calculatedColumnFormula>
    </tableColumn>
    <tableColumn id="11" xr3:uid="{F69084F2-672C-4A9D-9C86-C00F8AE31EDF}" name="Total Bill" dataDxfId="1">
      <calculatedColumnFormula>Table1[[#This Row],[Price after Discount]]+Table1[[#This Row],[Tax Ammount]]+$N$4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A16F9-AE7B-4282-A34D-FC32F2FFC01A}">
  <dimension ref="A1:R15"/>
  <sheetViews>
    <sheetView tabSelected="1" workbookViewId="0">
      <selection activeCell="M17" sqref="M17"/>
    </sheetView>
  </sheetViews>
  <sheetFormatPr defaultRowHeight="14.4" x14ac:dyDescent="0.3"/>
  <cols>
    <col min="1" max="1" width="9.88671875" customWidth="1"/>
    <col min="2" max="2" width="9.5546875" customWidth="1"/>
    <col min="3" max="3" width="7" customWidth="1"/>
    <col min="4" max="4" width="10.21875" customWidth="1"/>
    <col min="5" max="5" width="12.109375" customWidth="1"/>
    <col min="6" max="6" width="13.33203125" customWidth="1"/>
    <col min="7" max="7" width="11.6640625" customWidth="1"/>
    <col min="8" max="9" width="19.21875" customWidth="1"/>
    <col min="10" max="10" width="14.77734375" customWidth="1"/>
    <col min="11" max="11" width="10" customWidth="1"/>
    <col min="13" max="13" width="14.77734375" bestFit="1" customWidth="1"/>
    <col min="15" max="15" width="37.88671875" bestFit="1" customWidth="1"/>
    <col min="16" max="16" width="13.88671875" bestFit="1" customWidth="1"/>
  </cols>
  <sheetData>
    <row r="1" spans="1:18" x14ac:dyDescent="0.3">
      <c r="A1" s="1" t="s">
        <v>4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spans="1:18" ht="15" thickBot="1" x14ac:dyDescent="0.35">
      <c r="A2" s="2"/>
      <c r="B2" s="2"/>
      <c r="C2" s="2"/>
      <c r="D2" s="2"/>
      <c r="E2" s="2"/>
      <c r="F2" s="2"/>
      <c r="G2" s="2"/>
      <c r="H2" s="2"/>
      <c r="I2" s="2"/>
      <c r="J2" s="2"/>
      <c r="K2" s="2"/>
    </row>
    <row r="3" spans="1:18" x14ac:dyDescent="0.3">
      <c r="M3" s="6" t="s">
        <v>23</v>
      </c>
      <c r="N3" s="8">
        <v>0.18</v>
      </c>
    </row>
    <row r="4" spans="1:18" ht="15" thickBot="1" x14ac:dyDescent="0.35">
      <c r="A4" t="s">
        <v>0</v>
      </c>
      <c r="B4" t="s">
        <v>1</v>
      </c>
      <c r="C4" t="s">
        <v>2</v>
      </c>
      <c r="D4" t="s">
        <v>3</v>
      </c>
      <c r="E4" t="s">
        <v>19</v>
      </c>
      <c r="F4" t="s">
        <v>5</v>
      </c>
      <c r="G4" t="s">
        <v>6</v>
      </c>
      <c r="H4" t="s">
        <v>7</v>
      </c>
      <c r="I4" t="s">
        <v>8</v>
      </c>
      <c r="J4" t="s">
        <v>9</v>
      </c>
      <c r="K4" t="s">
        <v>10</v>
      </c>
      <c r="M4" s="7" t="s">
        <v>24</v>
      </c>
      <c r="N4" s="9">
        <v>20</v>
      </c>
    </row>
    <row r="5" spans="1:18" x14ac:dyDescent="0.3">
      <c r="A5">
        <v>1001</v>
      </c>
      <c r="B5" t="s">
        <v>11</v>
      </c>
      <c r="C5">
        <v>10</v>
      </c>
      <c r="D5">
        <v>5</v>
      </c>
      <c r="E5" s="3">
        <v>0.05</v>
      </c>
      <c r="F5" t="s">
        <v>20</v>
      </c>
      <c r="G5">
        <f>Table1[[#This Row],[Price]]*Table1[[#This Row],[Quantity]]</f>
        <v>50</v>
      </c>
      <c r="H5">
        <f>Table1[[#This Row],[Total Price]]*Table1[[#This Row],[Discount %]]</f>
        <v>2.5</v>
      </c>
      <c r="I5">
        <f>Table1[[#This Row],[Total Price]]-Table1[[#This Row],[Discount Ammount]]</f>
        <v>47.5</v>
      </c>
      <c r="J5">
        <f>Table1[[#This Row],[Price after Discount]]*$N$3</f>
        <v>8.5499999999999989</v>
      </c>
      <c r="K5">
        <f>Table1[[#This Row],[Price after Discount]]+Table1[[#This Row],[Tax Ammount]]+$N$4</f>
        <v>76.05</v>
      </c>
    </row>
    <row r="6" spans="1:18" x14ac:dyDescent="0.3">
      <c r="A6">
        <v>1002</v>
      </c>
      <c r="B6" t="s">
        <v>12</v>
      </c>
      <c r="C6">
        <v>5</v>
      </c>
      <c r="D6">
        <v>10</v>
      </c>
      <c r="E6" s="3">
        <v>0</v>
      </c>
      <c r="F6" t="s">
        <v>21</v>
      </c>
      <c r="G6">
        <f>Table1[[#This Row],[Price]]*Table1[[#This Row],[Quantity]]</f>
        <v>50</v>
      </c>
      <c r="H6">
        <f>Table1[[#This Row],[Total Price]]*Table1[[#This Row],[Discount %]]</f>
        <v>0</v>
      </c>
      <c r="I6">
        <f>Table1[[#This Row],[Total Price]]-Table1[[#This Row],[Discount Ammount]]</f>
        <v>50</v>
      </c>
      <c r="J6">
        <f>Table1[[#This Row],[Price after Discount]]*$N$3</f>
        <v>9</v>
      </c>
      <c r="K6">
        <f>Table1[[#This Row],[Price after Discount]]+Table1[[#This Row],[Tax Ammount]]+$N$4</f>
        <v>79</v>
      </c>
      <c r="O6" s="4" t="s">
        <v>25</v>
      </c>
    </row>
    <row r="7" spans="1:18" x14ac:dyDescent="0.3">
      <c r="A7">
        <v>1003</v>
      </c>
      <c r="B7" t="s">
        <v>13</v>
      </c>
      <c r="C7">
        <v>50</v>
      </c>
      <c r="D7">
        <v>3</v>
      </c>
      <c r="E7" s="3">
        <v>0.1</v>
      </c>
      <c r="F7" t="s">
        <v>22</v>
      </c>
      <c r="G7">
        <f>Table1[[#This Row],[Price]]*Table1[[#This Row],[Quantity]]</f>
        <v>150</v>
      </c>
      <c r="H7">
        <f>Table1[[#This Row],[Total Price]]*Table1[[#This Row],[Discount %]]</f>
        <v>15</v>
      </c>
      <c r="I7">
        <f>Table1[[#This Row],[Total Price]]-Table1[[#This Row],[Discount Ammount]]</f>
        <v>135</v>
      </c>
      <c r="J7">
        <f>Table1[[#This Row],[Price after Discount]]*$N$3</f>
        <v>24.3</v>
      </c>
      <c r="K7">
        <f>Table1[[#This Row],[Price after Discount]]+Table1[[#This Row],[Tax Ammount]]+$N$4</f>
        <v>179.3</v>
      </c>
      <c r="O7" s="4" t="s">
        <v>26</v>
      </c>
      <c r="P7" s="4"/>
      <c r="Q7" s="4"/>
      <c r="R7" s="4"/>
    </row>
    <row r="8" spans="1:18" x14ac:dyDescent="0.3">
      <c r="A8">
        <v>1004</v>
      </c>
      <c r="B8" t="s">
        <v>14</v>
      </c>
      <c r="C8">
        <v>3</v>
      </c>
      <c r="D8">
        <v>20</v>
      </c>
      <c r="E8" s="3">
        <v>0</v>
      </c>
      <c r="F8" t="s">
        <v>20</v>
      </c>
      <c r="G8">
        <f>Table1[[#This Row],[Price]]*Table1[[#This Row],[Quantity]]</f>
        <v>60</v>
      </c>
      <c r="H8">
        <f>Table1[[#This Row],[Total Price]]*Table1[[#This Row],[Discount %]]</f>
        <v>0</v>
      </c>
      <c r="I8">
        <f>Table1[[#This Row],[Total Price]]-Table1[[#This Row],[Discount Ammount]]</f>
        <v>60</v>
      </c>
      <c r="J8">
        <f>Table1[[#This Row],[Price after Discount]]*$N$3</f>
        <v>10.799999999999999</v>
      </c>
      <c r="K8">
        <f>Table1[[#This Row],[Price after Discount]]+Table1[[#This Row],[Tax Ammount]]+$N$4</f>
        <v>90.8</v>
      </c>
      <c r="O8" s="4" t="s">
        <v>28</v>
      </c>
      <c r="P8" s="4"/>
      <c r="Q8" s="4"/>
      <c r="R8" s="4"/>
    </row>
    <row r="9" spans="1:18" x14ac:dyDescent="0.3">
      <c r="A9">
        <v>1005</v>
      </c>
      <c r="B9" t="s">
        <v>15</v>
      </c>
      <c r="C9">
        <v>25</v>
      </c>
      <c r="D9">
        <v>4</v>
      </c>
      <c r="E9" s="3">
        <v>0.05</v>
      </c>
      <c r="F9" t="s">
        <v>21</v>
      </c>
      <c r="G9">
        <f>Table1[[#This Row],[Price]]*Table1[[#This Row],[Quantity]]</f>
        <v>100</v>
      </c>
      <c r="H9">
        <f>Table1[[#This Row],[Total Price]]*Table1[[#This Row],[Discount %]]</f>
        <v>5</v>
      </c>
      <c r="I9">
        <f>Table1[[#This Row],[Total Price]]-Table1[[#This Row],[Discount Ammount]]</f>
        <v>95</v>
      </c>
      <c r="J9">
        <f>Table1[[#This Row],[Price after Discount]]*$N$3</f>
        <v>17.099999999999998</v>
      </c>
      <c r="K9">
        <f>Table1[[#This Row],[Price after Discount]]+Table1[[#This Row],[Tax Ammount]]+$N$4</f>
        <v>132.1</v>
      </c>
      <c r="O9" s="5" t="s">
        <v>27</v>
      </c>
      <c r="P9" s="4"/>
      <c r="Q9" s="4"/>
      <c r="R9" s="4"/>
    </row>
    <row r="10" spans="1:18" x14ac:dyDescent="0.3">
      <c r="A10">
        <v>1006</v>
      </c>
      <c r="B10" t="s">
        <v>16</v>
      </c>
      <c r="C10">
        <v>15</v>
      </c>
      <c r="D10">
        <v>6</v>
      </c>
      <c r="E10" s="3">
        <v>0</v>
      </c>
      <c r="F10" t="s">
        <v>22</v>
      </c>
      <c r="G10">
        <f>Table1[[#This Row],[Price]]*Table1[[#This Row],[Quantity]]</f>
        <v>90</v>
      </c>
      <c r="H10">
        <f>Table1[[#This Row],[Total Price]]*Table1[[#This Row],[Discount %]]</f>
        <v>0</v>
      </c>
      <c r="I10">
        <f>Table1[[#This Row],[Total Price]]-Table1[[#This Row],[Discount Ammount]]</f>
        <v>90</v>
      </c>
      <c r="J10">
        <f>Table1[[#This Row],[Price after Discount]]*$N$3</f>
        <v>16.2</v>
      </c>
      <c r="K10">
        <f>Table1[[#This Row],[Price after Discount]]+Table1[[#This Row],[Tax Ammount]]+$N$4</f>
        <v>126.2</v>
      </c>
      <c r="O10" s="5" t="s">
        <v>29</v>
      </c>
      <c r="P10" s="4"/>
      <c r="Q10" s="4"/>
      <c r="R10" s="4"/>
    </row>
    <row r="11" spans="1:18" x14ac:dyDescent="0.3">
      <c r="A11">
        <v>1007</v>
      </c>
      <c r="B11" t="s">
        <v>17</v>
      </c>
      <c r="C11">
        <v>8</v>
      </c>
      <c r="D11">
        <v>8</v>
      </c>
      <c r="E11" s="3">
        <v>0.05</v>
      </c>
      <c r="F11" t="s">
        <v>20</v>
      </c>
      <c r="G11">
        <f>Table1[[#This Row],[Price]]*Table1[[#This Row],[Quantity]]</f>
        <v>64</v>
      </c>
      <c r="H11">
        <f>Table1[[#This Row],[Total Price]]*Table1[[#This Row],[Discount %]]</f>
        <v>3.2</v>
      </c>
      <c r="I11">
        <f>Table1[[#This Row],[Total Price]]-Table1[[#This Row],[Discount Ammount]]</f>
        <v>60.8</v>
      </c>
      <c r="J11">
        <f>Table1[[#This Row],[Price after Discount]]*$N$3</f>
        <v>10.943999999999999</v>
      </c>
      <c r="K11">
        <f>Table1[[#This Row],[Price after Discount]]+Table1[[#This Row],[Tax Ammount]]+$N$4</f>
        <v>91.744</v>
      </c>
      <c r="P11" s="4"/>
      <c r="Q11" s="4"/>
      <c r="R11" s="4"/>
    </row>
    <row r="12" spans="1:18" x14ac:dyDescent="0.3">
      <c r="A12">
        <v>1008</v>
      </c>
      <c r="B12" t="s">
        <v>18</v>
      </c>
      <c r="C12">
        <v>40</v>
      </c>
      <c r="D12">
        <v>2</v>
      </c>
      <c r="E12" s="3">
        <v>0.1</v>
      </c>
      <c r="F12" t="s">
        <v>21</v>
      </c>
      <c r="G12">
        <f>Table1[[#This Row],[Price]]*Table1[[#This Row],[Quantity]]</f>
        <v>80</v>
      </c>
      <c r="H12">
        <f>Table1[[#This Row],[Total Price]]*Table1[[#This Row],[Discount %]]</f>
        <v>8</v>
      </c>
      <c r="I12">
        <f>Table1[[#This Row],[Total Price]]-Table1[[#This Row],[Discount Ammount]]</f>
        <v>72</v>
      </c>
      <c r="J12">
        <f>Table1[[#This Row],[Price after Discount]]*$N$3</f>
        <v>12.959999999999999</v>
      </c>
      <c r="K12">
        <f>Table1[[#This Row],[Price after Discount]]+Table1[[#This Row],[Tax Ammount]]+$N$4</f>
        <v>104.96</v>
      </c>
      <c r="O12" s="4"/>
      <c r="P12" s="4"/>
      <c r="Q12" s="4"/>
      <c r="R12" s="4"/>
    </row>
    <row r="13" spans="1:18" x14ac:dyDescent="0.3">
      <c r="O13" s="4"/>
      <c r="P13" s="4"/>
      <c r="Q13" s="4"/>
      <c r="R13" s="4"/>
    </row>
    <row r="14" spans="1:18" x14ac:dyDescent="0.3">
      <c r="O14" s="4"/>
      <c r="P14" s="4"/>
      <c r="Q14" s="4"/>
      <c r="R14" s="4"/>
    </row>
    <row r="15" spans="1:18" x14ac:dyDescent="0.3">
      <c r="O15" s="4"/>
      <c r="P15" s="4"/>
      <c r="Q15" s="4"/>
      <c r="R15" s="4"/>
    </row>
  </sheetData>
  <mergeCells count="1">
    <mergeCell ref="A1:K2"/>
  </mergeCells>
  <conditionalFormatting sqref="O6:O10">
    <cfRule type="uniqu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Sumon Kundu</dc:creator>
  <cp:lastModifiedBy>Sumon Kundu</cp:lastModifiedBy>
  <dcterms:created xsi:type="dcterms:W3CDTF">2026-07-28T03:17:02Z</dcterms:created>
  <dcterms:modified xsi:type="dcterms:W3CDTF">2026-07-28T04:13:24Z</dcterms:modified>
</cp:coreProperties>
</file>