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Lab Work/"/>
    </mc:Choice>
  </mc:AlternateContent>
  <xr:revisionPtr revIDLastSave="239" documentId="8_{6A02B915-C334-420A-A555-A4C874FBD9F3}" xr6:coauthVersionLast="47" xr6:coauthVersionMax="47" xr10:uidLastSave="{F76E35B2-012A-4012-AC65-968E3D4FF028}"/>
  <bookViews>
    <workbookView xWindow="-108" yWindow="-108" windowWidth="23256" windowHeight="12456" activeTab="1" xr2:uid="{8CC5FB70-B875-481C-9814-1252AC453D5F}"/>
  </bookViews>
  <sheets>
    <sheet name="Products" sheetId="1" r:id="rId1"/>
    <sheet name="Ord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2" l="1"/>
  <c r="P3" i="2"/>
  <c r="P4" i="2"/>
  <c r="P5" i="2"/>
  <c r="P6" i="2"/>
  <c r="P7" i="2"/>
  <c r="P2" i="2"/>
  <c r="O3" i="2"/>
  <c r="O4" i="2"/>
  <c r="O5" i="2"/>
  <c r="O6" i="2"/>
  <c r="O7" i="2"/>
  <c r="E3" i="1"/>
  <c r="E4" i="1"/>
  <c r="E5" i="1"/>
  <c r="E6" i="1"/>
  <c r="E7" i="1"/>
  <c r="E2" i="1"/>
  <c r="D3" i="1"/>
  <c r="D4" i="1"/>
  <c r="D5" i="1"/>
  <c r="D6" i="1"/>
  <c r="D7" i="1"/>
  <c r="D2" i="1"/>
  <c r="K3" i="2"/>
  <c r="K4" i="2"/>
  <c r="K5" i="2"/>
  <c r="K6" i="2"/>
  <c r="K7" i="2"/>
  <c r="K2" i="2"/>
  <c r="F2" i="2"/>
  <c r="G2" i="2" s="1"/>
  <c r="I3" i="2"/>
  <c r="I4" i="2"/>
  <c r="I5" i="2"/>
  <c r="I6" i="2"/>
  <c r="I7" i="2"/>
  <c r="I2" i="2"/>
  <c r="H3" i="2"/>
  <c r="H4" i="2"/>
  <c r="H5" i="2"/>
  <c r="H6" i="2"/>
  <c r="H7" i="2"/>
  <c r="H2" i="2"/>
  <c r="F3" i="2"/>
  <c r="G3" i="2" s="1"/>
  <c r="F4" i="2"/>
  <c r="G4" i="2" s="1"/>
  <c r="F5" i="2"/>
  <c r="G5" i="2" s="1"/>
  <c r="F6" i="2"/>
  <c r="G6" i="2" s="1"/>
  <c r="F7" i="2"/>
  <c r="G7" i="2" s="1"/>
  <c r="E3" i="2"/>
  <c r="J3" i="2" s="1"/>
  <c r="E4" i="2"/>
  <c r="J4" i="2" s="1"/>
  <c r="E5" i="2"/>
  <c r="J5" i="2" s="1"/>
  <c r="E6" i="2"/>
  <c r="J6" i="2" s="1"/>
  <c r="E7" i="2"/>
  <c r="J7" i="2" s="1"/>
  <c r="E2" i="2"/>
  <c r="J2" i="2" s="1"/>
  <c r="K9" i="2" l="1"/>
</calcChain>
</file>

<file path=xl/sharedStrings.xml><?xml version="1.0" encoding="utf-8"?>
<sst xmlns="http://schemas.openxmlformats.org/spreadsheetml/2006/main" count="34" uniqueCount="29">
  <si>
    <t>ProductID</t>
  </si>
  <si>
    <t>Product</t>
  </si>
  <si>
    <t>Price</t>
  </si>
  <si>
    <t>ProductA</t>
  </si>
  <si>
    <t>ProductB</t>
  </si>
  <si>
    <t>ProductC</t>
  </si>
  <si>
    <t>ProductD</t>
  </si>
  <si>
    <t>ProductE</t>
  </si>
  <si>
    <t>ProductF</t>
  </si>
  <si>
    <t>OrderID</t>
  </si>
  <si>
    <t>Quantity</t>
  </si>
  <si>
    <t xml:space="preserve">1. Use VLOOKUP to find the product names for each ProductID in the Orders worksheet. </t>
  </si>
  <si>
    <t xml:space="preserve">2. Use VLOOKUP to find the price for each ProductID in the Orders worksheet, then calculate the TotalPrice by multiplying the Quantity by the Product Price. </t>
  </si>
  <si>
    <t xml:space="preserve">3. Use VLOOKUP to check if there are any ProductIDs in the Orders worksheet that do not exist in the Products worksheet. </t>
  </si>
  <si>
    <t xml:space="preserve">4. Assume a discount of 10% is given on all products. Use VLOOKUP to find the original price and then calculate the discounted price. </t>
  </si>
  <si>
    <t xml:space="preserve">5. Use VLOOKUP to find the price for each ProductID and then calculate the order value. Find the maximum order value from the list. </t>
  </si>
  <si>
    <t xml:space="preserve">6. Use VLOOKUP to find out which products from the Products worksheet have not been ordered. </t>
  </si>
  <si>
    <t xml:space="preserve">7. Use VLOOKUP to find the Product name and summarize the total quantity sold for each product. </t>
  </si>
  <si>
    <t>Answer-3</t>
  </si>
  <si>
    <t>Product Name</t>
  </si>
  <si>
    <t>Ordered or Not Ordered</t>
  </si>
  <si>
    <t>Sales</t>
  </si>
  <si>
    <t>Dataset</t>
  </si>
  <si>
    <t>Product Name(1)</t>
  </si>
  <si>
    <t>Product Price(2)</t>
  </si>
  <si>
    <t>Total Price(2)</t>
  </si>
  <si>
    <t>Discounted Price(4)</t>
  </si>
  <si>
    <t>Order Value(5)</t>
  </si>
  <si>
    <t>Maximum Order Value(5):-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</si>
</sst>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1" xfId="0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2" fillId="6" borderId="0" xfId="0" applyFont="1" applyFill="1"/>
    <xf numFmtId="0" fontId="3" fillId="6" borderId="0" xfId="0" applyFont="1" applyFill="1"/>
    <xf numFmtId="0" fontId="0" fillId="6" borderId="0" xfId="0" applyFill="1"/>
    <xf numFmtId="0" fontId="1" fillId="2" borderId="0" xfId="0" applyFont="1" applyFill="1"/>
    <xf numFmtId="0" fontId="0" fillId="0" borderId="0" xfId="0" applyBorder="1"/>
    <xf numFmtId="0" fontId="0" fillId="7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E36D-CBA8-494E-94BC-3AE885593986}">
  <dimension ref="A1:J10"/>
  <sheetViews>
    <sheetView workbookViewId="0">
      <selection activeCell="D18" sqref="D18"/>
    </sheetView>
  </sheetViews>
  <sheetFormatPr defaultRowHeight="14.4" x14ac:dyDescent="0.3"/>
  <cols>
    <col min="4" max="5" width="21.33203125" bestFit="1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6" t="s">
        <v>20</v>
      </c>
      <c r="E1" s="6" t="s">
        <v>20</v>
      </c>
    </row>
    <row r="2" spans="1:10" x14ac:dyDescent="0.3">
      <c r="A2" s="2">
        <v>101</v>
      </c>
      <c r="B2" s="2" t="s">
        <v>3</v>
      </c>
      <c r="C2" s="2">
        <v>120</v>
      </c>
      <c r="D2" s="4">
        <f>IFERROR(VLOOKUP(A2,Orders!$B$2:$B$7,1,0),"Not Ordered")</f>
        <v>101</v>
      </c>
      <c r="E2" s="4" t="str">
        <f>IF(ISERROR(VLOOKUP(A2,Orders!$B$2:$B$7,1,0)),"Not Ordered","Ordered")</f>
        <v>Ordered</v>
      </c>
    </row>
    <row r="3" spans="1:10" x14ac:dyDescent="0.3">
      <c r="A3" s="2">
        <v>102</v>
      </c>
      <c r="B3" s="2" t="s">
        <v>4</v>
      </c>
      <c r="C3" s="2">
        <v>150</v>
      </c>
      <c r="D3" s="4">
        <f>IFERROR(VLOOKUP(A3,Orders!$B$2:$B$7,1,0),"Not Ordered")</f>
        <v>102</v>
      </c>
      <c r="E3" s="4" t="str">
        <f>IF(ISERROR(VLOOKUP(A3,Orders!$B$2:$B$7,1,0)),"Not Ordered","Ordered")</f>
        <v>Ordered</v>
      </c>
    </row>
    <row r="4" spans="1:10" x14ac:dyDescent="0.3">
      <c r="A4" s="2">
        <v>103</v>
      </c>
      <c r="B4" s="2" t="s">
        <v>5</v>
      </c>
      <c r="C4" s="2">
        <v>200</v>
      </c>
      <c r="D4" s="4">
        <f>IFERROR(VLOOKUP(A4,Orders!$B$2:$B$7,1,0),"Not Ordered")</f>
        <v>103</v>
      </c>
      <c r="E4" s="4" t="str">
        <f>IF(ISERROR(VLOOKUP(A4,Orders!$B$2:$B$7,1,0)),"Not Ordered","Ordered")</f>
        <v>Ordered</v>
      </c>
    </row>
    <row r="5" spans="1:10" x14ac:dyDescent="0.3">
      <c r="A5" s="2">
        <v>104</v>
      </c>
      <c r="B5" s="2" t="s">
        <v>6</v>
      </c>
      <c r="C5" s="2">
        <v>90</v>
      </c>
      <c r="D5" s="4">
        <f>IFERROR(VLOOKUP(A5,Orders!$B$2:$B$7,1,0),"Not Ordered")</f>
        <v>104</v>
      </c>
      <c r="E5" s="4" t="str">
        <f>IF(ISERROR(VLOOKUP(A5,Orders!$B$2:$B$7,1,0)),"Not Ordered","Ordered")</f>
        <v>Ordered</v>
      </c>
    </row>
    <row r="6" spans="1:10" x14ac:dyDescent="0.3">
      <c r="A6" s="2">
        <v>105</v>
      </c>
      <c r="B6" s="2" t="s">
        <v>7</v>
      </c>
      <c r="C6" s="2">
        <v>220</v>
      </c>
      <c r="D6" s="4">
        <f>IFERROR(VLOOKUP(A6,Orders!$B$2:$B$7,1,0),"Not Ordered")</f>
        <v>105</v>
      </c>
      <c r="E6" s="4" t="str">
        <f>IF(ISERROR(VLOOKUP(A6,Orders!$B$2:$B$7,1,0)),"Not Ordered","Ordered")</f>
        <v>Ordered</v>
      </c>
    </row>
    <row r="7" spans="1:10" x14ac:dyDescent="0.3">
      <c r="A7" s="2">
        <v>106</v>
      </c>
      <c r="B7" s="2" t="s">
        <v>8</v>
      </c>
      <c r="C7" s="2">
        <v>130</v>
      </c>
      <c r="D7" s="4">
        <f>IFERROR(VLOOKUP(A7,Orders!$B$2:$B$7,1,0),"Not Ordered")</f>
        <v>106</v>
      </c>
      <c r="E7" s="4" t="str">
        <f>IF(ISERROR(VLOOKUP(A7,Orders!$B$2:$B$7,1,0)),"Not Ordered","Ordered")</f>
        <v>Ordered</v>
      </c>
    </row>
    <row r="9" spans="1:10" x14ac:dyDescent="0.3">
      <c r="B9" s="10" t="s">
        <v>22</v>
      </c>
    </row>
    <row r="10" spans="1:10" x14ac:dyDescent="0.3">
      <c r="D10" s="8" t="s">
        <v>16</v>
      </c>
      <c r="E10" s="8"/>
      <c r="F10" s="8"/>
      <c r="G10" s="8"/>
      <c r="H10" s="8"/>
      <c r="I10" s="8"/>
      <c r="J10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E02B-1048-477B-B23C-2AD45D3E0129}">
  <dimension ref="A1:U16"/>
  <sheetViews>
    <sheetView tabSelected="1" zoomScale="87" workbookViewId="0">
      <selection activeCell="B15" sqref="B15"/>
    </sheetView>
  </sheetViews>
  <sheetFormatPr defaultRowHeight="14.4" x14ac:dyDescent="0.3"/>
  <cols>
    <col min="2" max="2" width="9.44140625" bestFit="1" customWidth="1"/>
    <col min="5" max="5" width="15.5546875" bestFit="1" customWidth="1"/>
    <col min="6" max="6" width="14.6640625" bestFit="1" customWidth="1"/>
    <col min="7" max="7" width="12.109375" bestFit="1" customWidth="1"/>
    <col min="8" max="8" width="9.5546875" bestFit="1" customWidth="1"/>
    <col min="10" max="10" width="23.88671875" bestFit="1" customWidth="1"/>
    <col min="11" max="11" width="13.44140625" bestFit="1" customWidth="1"/>
    <col min="12" max="12" width="13.77734375" bestFit="1" customWidth="1"/>
    <col min="14" max="14" width="9.44140625" bestFit="1" customWidth="1"/>
    <col min="15" max="15" width="13.21875" bestFit="1" customWidth="1"/>
  </cols>
  <sheetData>
    <row r="1" spans="1:21" x14ac:dyDescent="0.3">
      <c r="A1" s="5" t="s">
        <v>9</v>
      </c>
      <c r="B1" s="5" t="s">
        <v>0</v>
      </c>
      <c r="C1" s="5" t="s">
        <v>10</v>
      </c>
      <c r="D1" s="1"/>
      <c r="E1" s="6" t="s">
        <v>23</v>
      </c>
      <c r="F1" s="6" t="s">
        <v>24</v>
      </c>
      <c r="G1" s="6" t="s">
        <v>25</v>
      </c>
      <c r="H1" s="6" t="s">
        <v>18</v>
      </c>
      <c r="I1" s="6" t="s">
        <v>18</v>
      </c>
      <c r="J1" s="6" t="s">
        <v>26</v>
      </c>
      <c r="K1" s="6" t="s">
        <v>27</v>
      </c>
      <c r="L1" s="1"/>
      <c r="N1" s="6" t="s">
        <v>0</v>
      </c>
      <c r="O1" s="6" t="s">
        <v>19</v>
      </c>
      <c r="P1" s="6" t="s">
        <v>21</v>
      </c>
    </row>
    <row r="2" spans="1:21" x14ac:dyDescent="0.3">
      <c r="A2" s="2">
        <v>1</v>
      </c>
      <c r="B2" s="2">
        <v>101</v>
      </c>
      <c r="C2" s="2">
        <v>2</v>
      </c>
      <c r="E2" s="4" t="str">
        <f>VLOOKUP(B2,Products!$A$2:$B$7,2,0)</f>
        <v>ProductA</v>
      </c>
      <c r="F2" s="4">
        <f>VLOOKUP(Orders!B2,Products!$A$2:$C$7,3,0)</f>
        <v>120</v>
      </c>
      <c r="G2" s="4">
        <f>Orders!C2*Orders!F2</f>
        <v>240</v>
      </c>
      <c r="H2" s="4">
        <f>IFERROR(VLOOKUP(B2,Products!$A$2:$A$7,1,0),"Not Found")</f>
        <v>101</v>
      </c>
      <c r="I2" s="4" t="str">
        <f>IF(ISERROR(VLOOKUP(B2,Products!$A$2:$B$7,1,0)),"Not Found","Found")</f>
        <v>Found</v>
      </c>
      <c r="J2" s="4">
        <f>VLOOKUP(E2,Products!$B$2:$C$7,2,0)*0.9</f>
        <v>108</v>
      </c>
      <c r="K2" s="4">
        <f>VLOOKUP(B2,Products!$A$2:$C$7,3,0)*Orders!C2</f>
        <v>240</v>
      </c>
      <c r="N2" s="4">
        <v>101</v>
      </c>
      <c r="O2" s="4" t="str">
        <f>VLOOKUP(N2,Products!$A$2:$B$8,2,0)</f>
        <v>ProductA</v>
      </c>
      <c r="P2" s="4">
        <f>SUMIF($B$2:$B$7,N2,$C$2:$C$7)</f>
        <v>2</v>
      </c>
    </row>
    <row r="3" spans="1:21" x14ac:dyDescent="0.3">
      <c r="A3" s="2">
        <v>2</v>
      </c>
      <c r="B3" s="2">
        <v>103</v>
      </c>
      <c r="C3" s="2">
        <v>1</v>
      </c>
      <c r="E3" s="4" t="str">
        <f>VLOOKUP(B3,Products!$A$2:$B$7,2,0)</f>
        <v>ProductC</v>
      </c>
      <c r="F3" s="4">
        <f>VLOOKUP(Orders!B3,Products!$A$2:$C$7,3,0)</f>
        <v>200</v>
      </c>
      <c r="G3" s="4">
        <f>Orders!C3*Orders!F3</f>
        <v>200</v>
      </c>
      <c r="H3" s="4">
        <f>IFERROR(VLOOKUP(B3,Products!$A$2:$A$7,1,0),"Not Found")</f>
        <v>103</v>
      </c>
      <c r="I3" s="4" t="str">
        <f>IF(ISERROR(VLOOKUP(B3,Products!$A$2:$B$7,1,0)),"Not Found","Found")</f>
        <v>Found</v>
      </c>
      <c r="J3" s="4">
        <f>VLOOKUP(E3,Products!$B$2:$C$7,2,0)*0.9</f>
        <v>180</v>
      </c>
      <c r="K3" s="4">
        <f>VLOOKUP(B3,Products!$A$2:$C$7,3,0)*Orders!C3</f>
        <v>200</v>
      </c>
      <c r="N3" s="4">
        <v>102</v>
      </c>
      <c r="O3" s="4" t="str">
        <f>VLOOKUP(N3,Products!$A$2:$B$7,2,0)</f>
        <v>ProductB</v>
      </c>
      <c r="P3" s="4">
        <f t="shared" ref="P3:P7" si="0">SUMIF($B$2:$B$7,N3,$C$2:$C$7)</f>
        <v>5</v>
      </c>
    </row>
    <row r="4" spans="1:21" x14ac:dyDescent="0.3">
      <c r="A4" s="2">
        <v>3</v>
      </c>
      <c r="B4" s="2">
        <v>105</v>
      </c>
      <c r="C4" s="2">
        <v>4</v>
      </c>
      <c r="E4" s="4" t="str">
        <f>VLOOKUP(B4,Products!$A$2:$B$7,2,0)</f>
        <v>ProductE</v>
      </c>
      <c r="F4" s="4">
        <f>VLOOKUP(Orders!B4,Products!$A$2:$C$7,3,0)</f>
        <v>220</v>
      </c>
      <c r="G4" s="4">
        <f>Orders!C4*Orders!F4</f>
        <v>880</v>
      </c>
      <c r="H4" s="4">
        <f>IFERROR(VLOOKUP(B4,Products!$A$2:$A$7,1,0),"Not Found")</f>
        <v>105</v>
      </c>
      <c r="I4" s="4" t="str">
        <f>IF(ISERROR(VLOOKUP(B4,Products!$A$2:$B$7,1,0)),"Not Found","Found")</f>
        <v>Found</v>
      </c>
      <c r="J4" s="4">
        <f>VLOOKUP(E4,Products!$B$2:$C$7,2,0)*0.9</f>
        <v>198</v>
      </c>
      <c r="K4" s="4">
        <f>VLOOKUP(B4,Products!$A$2:$C$7,3,0)*Orders!C4</f>
        <v>880</v>
      </c>
      <c r="N4" s="4">
        <v>103</v>
      </c>
      <c r="O4" s="4" t="str">
        <f>VLOOKUP(N4,Products!$A$2:$B$7,2,0)</f>
        <v>ProductC</v>
      </c>
      <c r="P4" s="4">
        <f t="shared" si="0"/>
        <v>1</v>
      </c>
    </row>
    <row r="5" spans="1:21" x14ac:dyDescent="0.3">
      <c r="A5" s="2">
        <v>4</v>
      </c>
      <c r="B5" s="2">
        <v>106</v>
      </c>
      <c r="C5" s="2">
        <v>3</v>
      </c>
      <c r="E5" s="4" t="str">
        <f>VLOOKUP(B5,Products!$A$2:$B$7,2,0)</f>
        <v>ProductF</v>
      </c>
      <c r="F5" s="4">
        <f>VLOOKUP(Orders!B5,Products!$A$2:$C$7,3,0)</f>
        <v>130</v>
      </c>
      <c r="G5" s="4">
        <f>Orders!C5*Orders!F5</f>
        <v>390</v>
      </c>
      <c r="H5" s="4">
        <f>IFERROR(VLOOKUP(B5,Products!$A$2:$A$7,1,0),"Not Found")</f>
        <v>106</v>
      </c>
      <c r="I5" s="4" t="str">
        <f>IF(ISERROR(VLOOKUP(B5,Products!$A$2:$B$7,1,0)),"Not Found","Found")</f>
        <v>Found</v>
      </c>
      <c r="J5" s="4">
        <f>VLOOKUP(E5,Products!$B$2:$C$7,2,0)*0.9</f>
        <v>117</v>
      </c>
      <c r="K5" s="4">
        <f>VLOOKUP(B5,Products!$A$2:$C$7,3,0)*Orders!C5</f>
        <v>390</v>
      </c>
      <c r="N5" s="4">
        <v>104</v>
      </c>
      <c r="O5" s="4" t="str">
        <f>VLOOKUP(N5,Products!$A$2:$B$7,2,0)</f>
        <v>ProductD</v>
      </c>
      <c r="P5" s="4">
        <f t="shared" si="0"/>
        <v>6</v>
      </c>
    </row>
    <row r="6" spans="1:21" x14ac:dyDescent="0.3">
      <c r="A6" s="2">
        <v>5</v>
      </c>
      <c r="B6" s="2">
        <v>102</v>
      </c>
      <c r="C6" s="2">
        <v>5</v>
      </c>
      <c r="E6" s="4" t="str">
        <f>VLOOKUP(B6,Products!$A$2:$B$7,2,0)</f>
        <v>ProductB</v>
      </c>
      <c r="F6" s="4">
        <f>VLOOKUP(Orders!B6,Products!$A$2:$C$7,3,0)</f>
        <v>150</v>
      </c>
      <c r="G6" s="4">
        <f>Orders!C6*Orders!F6</f>
        <v>750</v>
      </c>
      <c r="H6" s="4">
        <f>IFERROR(VLOOKUP(B6,Products!$A$2:$A$7,1,0),"Not Found")</f>
        <v>102</v>
      </c>
      <c r="I6" s="4" t="str">
        <f>IF(ISERROR(VLOOKUP(B6,Products!$A$2:$B$7,1,0)),"Not Found","Found")</f>
        <v>Found</v>
      </c>
      <c r="J6" s="4">
        <f>VLOOKUP(E6,Products!$B$2:$C$7,2,0)*0.9</f>
        <v>135</v>
      </c>
      <c r="K6" s="4">
        <f>VLOOKUP(B6,Products!$A$2:$C$7,3,0)*Orders!C6</f>
        <v>750</v>
      </c>
      <c r="N6" s="4">
        <v>105</v>
      </c>
      <c r="O6" s="4" t="str">
        <f>VLOOKUP(N6,Products!$A$2:$B$7,2,0)</f>
        <v>ProductE</v>
      </c>
      <c r="P6" s="4">
        <f t="shared" si="0"/>
        <v>4</v>
      </c>
    </row>
    <row r="7" spans="1:21" x14ac:dyDescent="0.3">
      <c r="A7" s="2">
        <v>6</v>
      </c>
      <c r="B7" s="2">
        <v>104</v>
      </c>
      <c r="C7" s="2">
        <v>6</v>
      </c>
      <c r="E7" s="4" t="str">
        <f>VLOOKUP(B7,Products!$A$2:$B$7,2,0)</f>
        <v>ProductD</v>
      </c>
      <c r="F7" s="4">
        <f>VLOOKUP(Orders!B7,Products!$A$2:$C$7,3,0)</f>
        <v>90</v>
      </c>
      <c r="G7" s="4">
        <f>Orders!C7*Orders!F7</f>
        <v>540</v>
      </c>
      <c r="H7" s="4">
        <f>IFERROR(VLOOKUP(B7,Products!$A$2:$A$7,1,0),"Not Found")</f>
        <v>104</v>
      </c>
      <c r="I7" s="4" t="str">
        <f>IF(ISERROR(VLOOKUP(B7,Products!$A$2:$B$7,1,0)),"Not Found","Found")</f>
        <v>Found</v>
      </c>
      <c r="J7" s="4">
        <f>VLOOKUP(E7,Products!$B$2:$C$7,2,0)*0.9</f>
        <v>81</v>
      </c>
      <c r="K7" s="4">
        <f>VLOOKUP(B7,Products!$A$2:$C$7,3,0)*Orders!C7</f>
        <v>540</v>
      </c>
      <c r="N7" s="4">
        <v>106</v>
      </c>
      <c r="O7" s="4" t="str">
        <f>VLOOKUP(N7,Products!$A$2:$B$7,2,0)</f>
        <v>ProductF</v>
      </c>
      <c r="P7" s="4">
        <f t="shared" si="0"/>
        <v>3</v>
      </c>
    </row>
    <row r="8" spans="1:21" x14ac:dyDescent="0.3">
      <c r="A8" s="12"/>
      <c r="B8" s="12"/>
      <c r="C8" s="12"/>
    </row>
    <row r="9" spans="1:21" x14ac:dyDescent="0.3">
      <c r="A9" s="11"/>
      <c r="B9" s="10" t="s">
        <v>22</v>
      </c>
      <c r="C9" s="11"/>
      <c r="J9" s="3" t="s">
        <v>28</v>
      </c>
      <c r="K9" s="4">
        <f>MAX(K2:K7)</f>
        <v>880</v>
      </c>
      <c r="M9" s="8" t="s">
        <v>17</v>
      </c>
      <c r="N9" s="7"/>
      <c r="O9" s="7"/>
      <c r="P9" s="7"/>
      <c r="Q9" s="7"/>
      <c r="R9" s="7"/>
      <c r="S9" s="7"/>
      <c r="T9" s="7"/>
      <c r="U9" s="7"/>
    </row>
    <row r="12" spans="1:21" x14ac:dyDescent="0.3">
      <c r="D12" s="8" t="s">
        <v>11</v>
      </c>
      <c r="E12" s="8"/>
      <c r="F12" s="8"/>
      <c r="G12" s="8"/>
      <c r="H12" s="8"/>
      <c r="I12" s="8"/>
      <c r="J12" s="8"/>
      <c r="K12" s="8"/>
      <c r="L12" s="8"/>
      <c r="M12" s="8"/>
      <c r="N12" s="9"/>
    </row>
    <row r="13" spans="1:21" x14ac:dyDescent="0.3">
      <c r="D13" s="8" t="s">
        <v>12</v>
      </c>
      <c r="E13" s="8"/>
      <c r="F13" s="8"/>
      <c r="G13" s="8"/>
      <c r="H13" s="8"/>
      <c r="I13" s="8"/>
      <c r="J13" s="8"/>
      <c r="K13" s="8"/>
      <c r="L13" s="8"/>
      <c r="M13" s="8"/>
      <c r="N13" s="9"/>
    </row>
    <row r="14" spans="1:21" x14ac:dyDescent="0.3">
      <c r="D14" s="8" t="s">
        <v>13</v>
      </c>
      <c r="E14" s="8"/>
      <c r="F14" s="8"/>
      <c r="G14" s="8"/>
      <c r="H14" s="8"/>
      <c r="I14" s="8"/>
      <c r="J14" s="8"/>
      <c r="K14" s="8"/>
      <c r="L14" s="8"/>
      <c r="M14" s="8"/>
      <c r="N14" s="9"/>
    </row>
    <row r="15" spans="1:21" x14ac:dyDescent="0.3">
      <c r="D15" s="8" t="s">
        <v>14</v>
      </c>
      <c r="E15" s="8"/>
      <c r="F15" s="8"/>
      <c r="G15" s="8"/>
      <c r="H15" s="8"/>
      <c r="I15" s="8"/>
      <c r="J15" s="8"/>
      <c r="K15" s="8"/>
      <c r="L15" s="8"/>
      <c r="M15" s="8"/>
      <c r="N15" s="9"/>
    </row>
    <row r="16" spans="1:21" x14ac:dyDescent="0.3">
      <c r="D16" s="8" t="s">
        <v>15</v>
      </c>
      <c r="E16" s="8"/>
      <c r="F16" s="8"/>
      <c r="G16" s="8"/>
      <c r="H16" s="8"/>
      <c r="I16" s="8"/>
      <c r="J16" s="8"/>
      <c r="K16" s="8"/>
      <c r="L16" s="8"/>
      <c r="M16" s="8"/>
      <c r="N1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2026-08-06T11:00:21Z</dcterms:created>
  <dcterms:modified xsi:type="dcterms:W3CDTF">2026-08-07T11:08:04Z</dcterms:modified>
</cp:coreProperties>
</file>