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Lab Work/"/>
    </mc:Choice>
  </mc:AlternateContent>
  <xr:revisionPtr revIDLastSave="80" documentId="8_{90314973-39AC-4947-AE5F-4F2EDE8728DA}" xr6:coauthVersionLast="47" xr6:coauthVersionMax="47" xr10:uidLastSave="{8361D988-3A26-4313-BC94-4AF6765447CB}"/>
  <bookViews>
    <workbookView xWindow="-108" yWindow="-108" windowWidth="23256" windowHeight="12456" xr2:uid="{7B35CCAD-A5A1-4FC9-AF34-5DAC01A9AA85}"/>
  </bookViews>
  <sheets>
    <sheet name="Sales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9" i="1" l="1"/>
  <c r="P17" i="1"/>
  <c r="P16" i="1"/>
  <c r="P15" i="1"/>
  <c r="P14" i="1"/>
  <c r="P13" i="1"/>
  <c r="P12" i="1"/>
  <c r="P11" i="1"/>
</calcChain>
</file>

<file path=xl/sharedStrings.xml><?xml version="1.0" encoding="utf-8"?>
<sst xmlns="http://schemas.openxmlformats.org/spreadsheetml/2006/main" count="36" uniqueCount="30">
  <si>
    <t>Product ID</t>
  </si>
  <si>
    <t>Product</t>
  </si>
  <si>
    <t>Category</t>
  </si>
  <si>
    <t>Jan Sales</t>
  </si>
  <si>
    <t>Feb Sales</t>
  </si>
  <si>
    <t>Mar Sales</t>
  </si>
  <si>
    <t>Apr Sales</t>
  </si>
  <si>
    <t>May Sales</t>
  </si>
  <si>
    <t>PRODA</t>
  </si>
  <si>
    <t>PRODB</t>
  </si>
  <si>
    <t>PRODC</t>
  </si>
  <si>
    <t>PRODD</t>
  </si>
  <si>
    <t>PRODE</t>
  </si>
  <si>
    <t>PRODF</t>
  </si>
  <si>
    <t>Electronics</t>
  </si>
  <si>
    <t>Furniture</t>
  </si>
  <si>
    <t>Clothing</t>
  </si>
  <si>
    <t xml:space="preserve">1. Use INDEX and MATCH to find the sales for Product C in March. </t>
  </si>
  <si>
    <t xml:space="preserve">2. Use INDEX and MATCH to find the category for Product E. </t>
  </si>
  <si>
    <t xml:space="preserve">3.  Use INDEX and MATCH to find the maximum sales for Product B across all months. </t>
  </si>
  <si>
    <t xml:space="preserve">4. Use INDEX and MATCH to find the month with the maximum sales for Product A. </t>
  </si>
  <si>
    <t xml:space="preserve">5.  Use INDEX, MATCH, and SUMIF to sum the sales for all products in the "Electronics" category for April. </t>
  </si>
  <si>
    <t xml:space="preserve">6. Use INDEX and MATCH to calculate the average sales for Product D across all months. </t>
  </si>
  <si>
    <t xml:space="preserve">7. Use INDEX and MATCH to find the sales for Product ID 105 in May. </t>
  </si>
  <si>
    <t>8. Use INDEX and MATCH to create a dynamic lookup where the user can input a product and a month, and the formula returns the corresponding sales</t>
  </si>
  <si>
    <t>Notes:-We used in the "col num" part of index as 0 because it returns the complete column then</t>
  </si>
  <si>
    <t>Month</t>
  </si>
  <si>
    <t>Sales</t>
  </si>
  <si>
    <t>Questions</t>
  </si>
  <si>
    <t>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</si>
</sst>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6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4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3" xfId="0" applyFill="1" applyBorder="1"/>
    <xf numFmtId="0" fontId="0" fillId="4" borderId="4" xfId="0" applyFill="1" applyBorder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1" fillId="5" borderId="0" xfId="0" applyFont="1" applyFill="1"/>
    <xf numFmtId="0" fontId="1" fillId="7" borderId="4" xfId="0" applyFont="1" applyFill="1" applyBorder="1"/>
    <xf numFmtId="0" fontId="1" fillId="7" borderId="3" xfId="0" applyFont="1" applyFill="1" applyBorder="1"/>
    <xf numFmtId="0" fontId="0" fillId="8" borderId="2" xfId="0" applyFill="1" applyBorder="1"/>
    <xf numFmtId="0" fontId="0" fillId="8" borderId="1" xfId="0" applyFill="1" applyBorder="1"/>
    <xf numFmtId="0" fontId="2" fillId="9" borderId="0" xfId="0" applyFont="1" applyFill="1" applyAlignment="1">
      <alignment vertical="center"/>
    </xf>
    <xf numFmtId="0" fontId="2" fillId="6" borderId="1" xfId="0" applyFont="1" applyFill="1" applyBorder="1"/>
    <xf numFmtId="0" fontId="0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0835-0338-4CFA-90D8-29968D787165}">
  <dimension ref="A1:R19"/>
  <sheetViews>
    <sheetView tabSelected="1" topLeftCell="E1" workbookViewId="0">
      <selection activeCell="P17" sqref="P17"/>
    </sheetView>
  </sheetViews>
  <sheetFormatPr defaultRowHeight="14.4" x14ac:dyDescent="0.3"/>
  <cols>
    <col min="1" max="1" width="11.77734375" customWidth="1"/>
    <col min="2" max="2" width="9.5546875" customWidth="1"/>
    <col min="3" max="3" width="10.44140625" customWidth="1"/>
    <col min="4" max="4" width="10.33203125" customWidth="1"/>
    <col min="5" max="5" width="10.5546875" customWidth="1"/>
    <col min="6" max="6" width="11" customWidth="1"/>
    <col min="7" max="7" width="10.5546875" customWidth="1"/>
    <col min="8" max="8" width="11.33203125" customWidth="1"/>
    <col min="16" max="16" width="9.5546875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18" x14ac:dyDescent="0.3">
      <c r="A2" s="3">
        <v>101</v>
      </c>
      <c r="B2" s="3" t="s">
        <v>8</v>
      </c>
      <c r="C2" s="3" t="s">
        <v>14</v>
      </c>
      <c r="D2" s="3">
        <v>120</v>
      </c>
      <c r="E2" s="16">
        <v>130</v>
      </c>
      <c r="F2" s="3">
        <v>140</v>
      </c>
      <c r="G2" s="3">
        <v>150</v>
      </c>
      <c r="H2" s="4">
        <v>160</v>
      </c>
    </row>
    <row r="3" spans="1:18" x14ac:dyDescent="0.3">
      <c r="A3" s="5">
        <v>102</v>
      </c>
      <c r="B3" s="5" t="s">
        <v>9</v>
      </c>
      <c r="C3" s="5" t="s">
        <v>15</v>
      </c>
      <c r="D3" s="5">
        <v>150</v>
      </c>
      <c r="E3" s="5">
        <v>160</v>
      </c>
      <c r="F3" s="5">
        <v>170</v>
      </c>
      <c r="G3" s="5">
        <v>180</v>
      </c>
      <c r="H3" s="6">
        <v>190</v>
      </c>
    </row>
    <row r="4" spans="1:18" x14ac:dyDescent="0.3">
      <c r="A4" s="3">
        <v>103</v>
      </c>
      <c r="B4" s="3" t="s">
        <v>10</v>
      </c>
      <c r="C4" s="3" t="s">
        <v>14</v>
      </c>
      <c r="D4" s="3">
        <v>200</v>
      </c>
      <c r="E4" s="3">
        <v>210</v>
      </c>
      <c r="F4" s="3">
        <v>220</v>
      </c>
      <c r="G4" s="3">
        <v>230</v>
      </c>
      <c r="H4" s="4">
        <v>240</v>
      </c>
    </row>
    <row r="5" spans="1:18" x14ac:dyDescent="0.3">
      <c r="A5" s="5">
        <v>104</v>
      </c>
      <c r="B5" s="5" t="s">
        <v>11</v>
      </c>
      <c r="C5" s="5" t="s">
        <v>16</v>
      </c>
      <c r="D5" s="5">
        <v>90</v>
      </c>
      <c r="E5" s="5">
        <v>100</v>
      </c>
      <c r="F5" s="5">
        <v>110</v>
      </c>
      <c r="G5" s="5">
        <v>120</v>
      </c>
      <c r="H5" s="6">
        <v>130</v>
      </c>
    </row>
    <row r="6" spans="1:18" x14ac:dyDescent="0.3">
      <c r="A6" s="3">
        <v>105</v>
      </c>
      <c r="B6" s="3" t="s">
        <v>12</v>
      </c>
      <c r="C6" s="3" t="s">
        <v>15</v>
      </c>
      <c r="D6" s="3">
        <v>220</v>
      </c>
      <c r="E6" s="3">
        <v>230</v>
      </c>
      <c r="F6" s="3">
        <v>240</v>
      </c>
      <c r="G6" s="3">
        <v>250</v>
      </c>
      <c r="H6" s="4">
        <v>260</v>
      </c>
    </row>
    <row r="7" spans="1:18" x14ac:dyDescent="0.3">
      <c r="A7" s="7">
        <v>106</v>
      </c>
      <c r="B7" s="7" t="s">
        <v>13</v>
      </c>
      <c r="C7" s="7" t="s">
        <v>14</v>
      </c>
      <c r="D7" s="7">
        <v>130</v>
      </c>
      <c r="E7" s="7">
        <v>140</v>
      </c>
      <c r="F7" s="7">
        <v>150</v>
      </c>
      <c r="G7" s="7">
        <v>160</v>
      </c>
      <c r="H7" s="8">
        <v>170</v>
      </c>
    </row>
    <row r="10" spans="1:18" x14ac:dyDescent="0.3">
      <c r="G10" s="14" t="s">
        <v>28</v>
      </c>
      <c r="P10" s="14" t="s">
        <v>29</v>
      </c>
    </row>
    <row r="11" spans="1:18" x14ac:dyDescent="0.3">
      <c r="B11" s="9" t="s">
        <v>17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P11" s="15">
        <f>INDEX(A1:H7,MATCH("PRODC",B1:B7,0),MATCH("Mar Sales",A1:H1,0))</f>
        <v>220</v>
      </c>
    </row>
    <row r="12" spans="1:18" x14ac:dyDescent="0.3">
      <c r="B12" s="9" t="s">
        <v>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P12" s="15" t="str">
        <f>INDEX(A1:H7,MATCH("PRODE",B1:B7,0),MATCH("Category",A1:H1,0))</f>
        <v>Furniture</v>
      </c>
    </row>
    <row r="13" spans="1:18" x14ac:dyDescent="0.3">
      <c r="B13" s="9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P13" s="15">
        <f>MAX(INDEX(A1:H7,MATCH("PRODB",B1:B7,0),0))</f>
        <v>190</v>
      </c>
      <c r="R13" t="s">
        <v>25</v>
      </c>
    </row>
    <row r="14" spans="1:18" x14ac:dyDescent="0.3">
      <c r="B14" s="9" t="s">
        <v>20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P14" s="15" t="str">
        <f>INDEX(A1:H7,1,MATCH(MAX(INDEX(B2:H7,MATCH("PRODA",B2:B7,0),0)),A2:H2,0))</f>
        <v>May Sales</v>
      </c>
    </row>
    <row r="15" spans="1:18" x14ac:dyDescent="0.3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P15" s="15">
        <f>SUMIF(C2:C7,"Electronics",INDEX(D2:H7,0,MATCH("Apr Sales",D1:H1,0)))</f>
        <v>540</v>
      </c>
    </row>
    <row r="16" spans="1:18" x14ac:dyDescent="0.3">
      <c r="B16" s="9" t="s">
        <v>22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P16" s="15">
        <f>AVERAGE(INDEX(D2:H7,MATCH("PRODD",B2:B7,0),0))</f>
        <v>110</v>
      </c>
    </row>
    <row r="17" spans="2:18" x14ac:dyDescent="0.3">
      <c r="B17" s="9" t="s">
        <v>23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P17" s="15">
        <f>INDEX(A2:H7,MATCH(105,A2:A7,0),MATCH("May Sales",A1:H1,0))</f>
        <v>260</v>
      </c>
    </row>
    <row r="18" spans="2:18" x14ac:dyDescent="0.3">
      <c r="B18" s="9" t="s">
        <v>24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P18" s="10" t="s">
        <v>1</v>
      </c>
      <c r="Q18" s="10" t="s">
        <v>26</v>
      </c>
      <c r="R18" s="11" t="s">
        <v>27</v>
      </c>
    </row>
    <row r="19" spans="2:18" x14ac:dyDescent="0.3">
      <c r="P19" s="12" t="s">
        <v>11</v>
      </c>
      <c r="Q19" s="12" t="s">
        <v>4</v>
      </c>
      <c r="R19" s="13">
        <f>INDEX(B2:H7,MATCH(P19,B2:B7,0),MATCH(Q19,B1:H1,0))</f>
        <v>100</v>
      </c>
    </row>
  </sheetData>
  <dataValidations count="2">
    <dataValidation type="list" allowBlank="1" showInputMessage="1" showErrorMessage="1" sqref="P19" xr:uid="{196681C8-85BD-4806-83C9-FD55DB6F6A86}">
      <formula1>$B$2:$B$7</formula1>
    </dataValidation>
    <dataValidation type="list" allowBlank="1" showInputMessage="1" showErrorMessage="1" sqref="Q19" xr:uid="{CF6CABCD-7F0A-4F8C-8871-2E38E995A51E}">
      <formula1>$D$1:$H$1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2026-08-12T08:38:18Z</dcterms:created>
  <dcterms:modified xsi:type="dcterms:W3CDTF">2026-08-13T11:01:54Z</dcterms:modified>
</cp:coreProperties>
</file>